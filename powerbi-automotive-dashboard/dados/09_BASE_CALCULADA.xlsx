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CALCULADA" sheetId="1" state="visible" r:id="rId3"/>
    <sheet name="DIM_SERVICO" sheetId="2" state="visible" r:id="rId4"/>
    <sheet name="DIM_PECA" sheetId="3" state="visible" r:id="rId5"/>
    <sheet name="RESUMO_KPIS" sheetId="4" state="visible" r:id="rId6"/>
    <sheet name="RESUMO_POR_CATEGORIA" sheetId="5" state="visible" r:id="rId7"/>
    <sheet name="PREMISS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<sst xmlns="http://schemas.openxmlformats.org/spreadsheetml/2006/main" count="3104" uniqueCount="218">
  <si>
    <t xml:space="preserve">id_os</t>
  </si>
  <si>
    <t xml:space="preserve">id_cliente</t>
  </si>
  <si>
    <t xml:space="preserve">id_veiculo</t>
  </si>
  <si>
    <t xml:space="preserve">id_mecanico</t>
  </si>
  <si>
    <t xml:space="preserve">id_peca</t>
  </si>
  <si>
    <t xml:space="preserve">id_servico</t>
  </si>
  <si>
    <t xml:space="preserve">id_tempo</t>
  </si>
  <si>
    <t xml:space="preserve">quantidade_pecas</t>
  </si>
  <si>
    <t xml:space="preserve">custo_peca</t>
  </si>
  <si>
    <t xml:space="preserve">valor_servico</t>
  </si>
  <si>
    <t xml:space="preserve">valor_total</t>
  </si>
  <si>
    <t xml:space="preserve">lucro</t>
  </si>
  <si>
    <t xml:space="preserve">tempo_execucao_horas</t>
  </si>
  <si>
    <t xml:space="preserve">status</t>
  </si>
  <si>
    <t xml:space="preserve">preco_base_servico</t>
  </si>
  <si>
    <t xml:space="preserve">preco_unitario_peca</t>
  </si>
  <si>
    <t xml:space="preserve">custo_unitario_peca</t>
  </si>
  <si>
    <t xml:space="preserve">valor_pecas_calc</t>
  </si>
  <si>
    <t xml:space="preserve">valor_mao_obra_calc</t>
  </si>
  <si>
    <t xml:space="preserve">valor_bruto_calc</t>
  </si>
  <si>
    <t xml:space="preserve">desconto_calc</t>
  </si>
  <si>
    <t xml:space="preserve">valor_total_calc</t>
  </si>
  <si>
    <t xml:space="preserve">checagem</t>
  </si>
  <si>
    <t xml:space="preserve">categoria_servico</t>
  </si>
  <si>
    <t xml:space="preserve">Concluída</t>
  </si>
  <si>
    <t xml:space="preserve">Em Andamento</t>
  </si>
  <si>
    <t xml:space="preserve">Aguardando Peça</t>
  </si>
  <si>
    <t xml:space="preserve">Cancelada</t>
  </si>
  <si>
    <t xml:space="preserve">descricao</t>
  </si>
  <si>
    <t xml:space="preserve">categoria</t>
  </si>
  <si>
    <t xml:space="preserve">preco_base</t>
  </si>
  <si>
    <t xml:space="preserve">Instalação de Som Automotivo</t>
  </si>
  <si>
    <t xml:space="preserve">Elétrica</t>
  </si>
  <si>
    <t xml:space="preserve">Troca de Bandeja</t>
  </si>
  <si>
    <t xml:space="preserve">Suspensão</t>
  </si>
  <si>
    <t xml:space="preserve">Pintura de Retoque</t>
  </si>
  <si>
    <t xml:space="preserve">Pintura</t>
  </si>
  <si>
    <t xml:space="preserve">Troca de Óleo e Filtro</t>
  </si>
  <si>
    <t xml:space="preserve">Revisão</t>
  </si>
  <si>
    <t xml:space="preserve">Reparo de Porta</t>
  </si>
  <si>
    <t xml:space="preserve">Funilaria</t>
  </si>
  <si>
    <t xml:space="preserve">Retífica de Motor</t>
  </si>
  <si>
    <t xml:space="preserve">Motor</t>
  </si>
  <si>
    <t xml:space="preserve">Check-up de Viagem</t>
  </si>
  <si>
    <t xml:space="preserve">Limpeza de Bicos Injetores</t>
  </si>
  <si>
    <t xml:space="preserve">Revisão 20.000 km</t>
  </si>
  <si>
    <t xml:space="preserve">Inspeção Pré-Compra</t>
  </si>
  <si>
    <t xml:space="preserve">Diagnóstico</t>
  </si>
  <si>
    <t xml:space="preserve">Troca de Pastilhas Dianteiras</t>
  </si>
  <si>
    <t xml:space="preserve">Freios</t>
  </si>
  <si>
    <t xml:space="preserve">Revisão 30.000 km</t>
  </si>
  <si>
    <t xml:space="preserve">Diagnóstico de Painel de Instrumentos</t>
  </si>
  <si>
    <t xml:space="preserve">Reparo de Amassado</t>
  </si>
  <si>
    <t xml:space="preserve">Pintura de Para-choque</t>
  </si>
  <si>
    <t xml:space="preserve">Troca de Para-choque</t>
  </si>
  <si>
    <t xml:space="preserve">Polimento e Cristalização</t>
  </si>
  <si>
    <t xml:space="preserve">Reparo de Alternador</t>
  </si>
  <si>
    <t xml:space="preserve">Pintura de Capô</t>
  </si>
  <si>
    <t xml:space="preserve">Reparo de Vidro Elétrico</t>
  </si>
  <si>
    <t xml:space="preserve">Troca de Amortecedores</t>
  </si>
  <si>
    <t xml:space="preserve">Troca de Junta do Cabeçote</t>
  </si>
  <si>
    <t xml:space="preserve">Troca de Discos de Freio</t>
  </si>
  <si>
    <t xml:space="preserve">Troca de Motor de Partida</t>
  </si>
  <si>
    <t xml:space="preserve">Troca de Correia Dentada</t>
  </si>
  <si>
    <t xml:space="preserve">Alinhamento e Balanceamento</t>
  </si>
  <si>
    <t xml:space="preserve">Revisão Geral Completa</t>
  </si>
  <si>
    <t xml:space="preserve">Reparo de Cilindro Mestre</t>
  </si>
  <si>
    <t xml:space="preserve">Scanner Automotivo</t>
  </si>
  <si>
    <t xml:space="preserve">Troca de Pastilhas Traseiras</t>
  </si>
  <si>
    <t xml:space="preserve">Troca de Molas</t>
  </si>
  <si>
    <t xml:space="preserve">Sangria do Sistema de Freios</t>
  </si>
  <si>
    <t xml:space="preserve">Troca de Bieletas</t>
  </si>
  <si>
    <t xml:space="preserve">Revisão 10.000 km</t>
  </si>
  <si>
    <t xml:space="preserve">Diagnóstico Computadorizado</t>
  </si>
  <si>
    <t xml:space="preserve">Pintura Completa</t>
  </si>
  <si>
    <t xml:space="preserve">Ajuste de Freio de Mão</t>
  </si>
  <si>
    <t xml:space="preserve">Troca de Velas</t>
  </si>
  <si>
    <t xml:space="preserve">Geometria 3D</t>
  </si>
  <si>
    <t xml:space="preserve">Troca de Bateria</t>
  </si>
  <si>
    <t xml:space="preserve">Reparo de Vazamento de Óleo</t>
  </si>
  <si>
    <t xml:space="preserve">Diagnóstico Elétrico</t>
  </si>
  <si>
    <t xml:space="preserve">Diagnóstico de Ruídos</t>
  </si>
  <si>
    <t xml:space="preserve">Reparo de Para-lama</t>
  </si>
  <si>
    <t xml:space="preserve">Revisão de Garantia</t>
  </si>
  <si>
    <t xml:space="preserve">Revisão 40.000 km</t>
  </si>
  <si>
    <t xml:space="preserve">Martelinho de Ouro</t>
  </si>
  <si>
    <t xml:space="preserve">fabricante</t>
  </si>
  <si>
    <t xml:space="preserve">custo_unitario</t>
  </si>
  <si>
    <t xml:space="preserve">preco_unitario</t>
  </si>
  <si>
    <t xml:space="preserve">Correia Poly-V</t>
  </si>
  <si>
    <t xml:space="preserve">Varga</t>
  </si>
  <si>
    <t xml:space="preserve">Correias e Tensores</t>
  </si>
  <si>
    <t xml:space="preserve">Platô de Embreagem</t>
  </si>
  <si>
    <t xml:space="preserve">Mahle</t>
  </si>
  <si>
    <t xml:space="preserve">Embreagem</t>
  </si>
  <si>
    <t xml:space="preserve">Bateria 60Ah</t>
  </si>
  <si>
    <t xml:space="preserve">NGK</t>
  </si>
  <si>
    <t xml:space="preserve">Coxim do Câmbio</t>
  </si>
  <si>
    <t xml:space="preserve">Monroe</t>
  </si>
  <si>
    <t xml:space="preserve">Amortecimento</t>
  </si>
  <si>
    <t xml:space="preserve">Óleo Motor 5W30</t>
  </si>
  <si>
    <t xml:space="preserve">Correia Dentada</t>
  </si>
  <si>
    <t xml:space="preserve">Continental</t>
  </si>
  <si>
    <t xml:space="preserve">Óleo Motor 5W40</t>
  </si>
  <si>
    <t xml:space="preserve">Valeo</t>
  </si>
  <si>
    <t xml:space="preserve">Filtro de Cabine</t>
  </si>
  <si>
    <t xml:space="preserve">Bosch</t>
  </si>
  <si>
    <t xml:space="preserve">Filtros</t>
  </si>
  <si>
    <t xml:space="preserve">Fras-le</t>
  </si>
  <si>
    <t xml:space="preserve">Mangueira do Radiador</t>
  </si>
  <si>
    <t xml:space="preserve">Magneti Marelli</t>
  </si>
  <si>
    <t xml:space="preserve">Arrefecimento</t>
  </si>
  <si>
    <t xml:space="preserve">Bobina de Ignição</t>
  </si>
  <si>
    <t xml:space="preserve">Ignição</t>
  </si>
  <si>
    <t xml:space="preserve">Esticador de Correia</t>
  </si>
  <si>
    <t xml:space="preserve">Bateria 70Ah</t>
  </si>
  <si>
    <t xml:space="preserve">TRW</t>
  </si>
  <si>
    <t xml:space="preserve">Filtro de Combustível</t>
  </si>
  <si>
    <t xml:space="preserve">Óleo de Câmbio</t>
  </si>
  <si>
    <t xml:space="preserve">Transmissão</t>
  </si>
  <si>
    <t xml:space="preserve">Bandeja de Suspensão</t>
  </si>
  <si>
    <t xml:space="preserve">Cofap</t>
  </si>
  <si>
    <t xml:space="preserve">Nakata</t>
  </si>
  <si>
    <t xml:space="preserve">Motor de Partida</t>
  </si>
  <si>
    <t xml:space="preserve">Sabó</t>
  </si>
  <si>
    <t xml:space="preserve">Filtro de Ar</t>
  </si>
  <si>
    <t xml:space="preserve">Bieleta</t>
  </si>
  <si>
    <t xml:space="preserve">Sensor de Oxigênio</t>
  </si>
  <si>
    <t xml:space="preserve">Delphi</t>
  </si>
  <si>
    <t xml:space="preserve">Radiador</t>
  </si>
  <si>
    <t xml:space="preserve">Amortecedor Dianteiro</t>
  </si>
  <si>
    <t xml:space="preserve">Pastilha de Freio Traseira</t>
  </si>
  <si>
    <t xml:space="preserve">Rolamento de Embreagem</t>
  </si>
  <si>
    <t xml:space="preserve">Junta do Cabeçote</t>
  </si>
  <si>
    <t xml:space="preserve">Pastilha de Freio Dianteira</t>
  </si>
  <si>
    <t xml:space="preserve">ZF</t>
  </si>
  <si>
    <t xml:space="preserve">Vela de Ignição</t>
  </si>
  <si>
    <t xml:space="preserve">Mola Helicoidal</t>
  </si>
  <si>
    <t xml:space="preserve">Válvula Termostática</t>
  </si>
  <si>
    <t xml:space="preserve">Aditivo Radiador</t>
  </si>
  <si>
    <t xml:space="preserve">Cabo de Embreagem</t>
  </si>
  <si>
    <t xml:space="preserve">Amortecedor Traseiro</t>
  </si>
  <si>
    <t xml:space="preserve">Retrovisor Elétrico</t>
  </si>
  <si>
    <t xml:space="preserve">Carroceria</t>
  </si>
  <si>
    <t xml:space="preserve">Disco de Freio</t>
  </si>
  <si>
    <t xml:space="preserve">Para-choque Traseiro</t>
  </si>
  <si>
    <t xml:space="preserve">Filtro de Óleo</t>
  </si>
  <si>
    <t xml:space="preserve">Módulo de Ignição</t>
  </si>
  <si>
    <t xml:space="preserve">Coxim do Motor</t>
  </si>
  <si>
    <t xml:space="preserve">Fluido de Freio DOT4</t>
  </si>
  <si>
    <t xml:space="preserve">Maçaneta Externa</t>
  </si>
  <si>
    <t xml:space="preserve">Tambor de Freio</t>
  </si>
  <si>
    <t xml:space="preserve">Bomba D'água</t>
  </si>
  <si>
    <t xml:space="preserve">Alternador</t>
  </si>
  <si>
    <t xml:space="preserve">Batente de Suspensão</t>
  </si>
  <si>
    <t xml:space="preserve">Disco de Embreagem</t>
  </si>
  <si>
    <t xml:space="preserve">Para-choque Dianteiro</t>
  </si>
  <si>
    <t xml:space="preserve">Tensor de Correia</t>
  </si>
  <si>
    <t xml:space="preserve">Kit Embreagem</t>
  </si>
  <si>
    <t xml:space="preserve">Cabo de Vela</t>
  </si>
  <si>
    <t xml:space="preserve">RESUMO DE INDICADORES - ORDENS DE SERVIÇO</t>
  </si>
  <si>
    <t xml:space="preserve">Calculado a partir da aba BASE_CALCULADA</t>
  </si>
  <si>
    <t xml:space="preserve">Indicador</t>
  </si>
  <si>
    <t xml:space="preserve">Valor</t>
  </si>
  <si>
    <t xml:space="preserve">Fórmula utilizada</t>
  </si>
  <si>
    <t xml:space="preserve">Total de Ordens de Serviço (SUBTOTAL)</t>
  </si>
  <si>
    <t xml:space="preserve">SUBTOTAL - conta linhas visíveis (filtros)</t>
  </si>
  <si>
    <t xml:space="preserve">Receita Total (SOMA)</t>
  </si>
  <si>
    <t xml:space="preserve">SOMA do valor_total</t>
  </si>
  <si>
    <t xml:space="preserve">Lucro Total (SOMA)</t>
  </si>
  <si>
    <t xml:space="preserve">SOMA do lucro</t>
  </si>
  <si>
    <t xml:space="preserve">Custo Total de Peças (SOMA)</t>
  </si>
  <si>
    <t xml:space="preserve">SOMA do custo_peca</t>
  </si>
  <si>
    <t xml:space="preserve">Receita - Status Concluída (SOMASES)</t>
  </si>
  <si>
    <t xml:space="preserve">SOMASES por status</t>
  </si>
  <si>
    <t xml:space="preserve">Receita - Categoria Revisão (SOMASES)</t>
  </si>
  <si>
    <t xml:space="preserve">SOMASES por categoria de serviço (coluna auxiliar X)</t>
  </si>
  <si>
    <t xml:space="preserve">Ticket Médio por OS (MÉDIA)</t>
  </si>
  <si>
    <t xml:space="preserve">MÉDIA do valor_total</t>
  </si>
  <si>
    <t xml:space="preserve">Tempo Médio de Execução em horas (MÉDIA)</t>
  </si>
  <si>
    <t xml:space="preserve">MÉDIA do tempo_execucao_horas</t>
  </si>
  <si>
    <t xml:space="preserve">Lucro Médio Arredondado 2 casas (ARRED+MÉDIA)</t>
  </si>
  <si>
    <t xml:space="preserve">ARRED aninhado em MÉDIA</t>
  </si>
  <si>
    <t xml:space="preserve">Quantidade de OS Concluídas (CONT.SE)</t>
  </si>
  <si>
    <t xml:space="preserve">CONT.SE por status</t>
  </si>
  <si>
    <t xml:space="preserve">Quantidade de OS Canceladas (CONT.SE)</t>
  </si>
  <si>
    <t xml:space="preserve">Quantidade de Checagens OK (CONT.SE)</t>
  </si>
  <si>
    <t xml:space="preserve">CONT.SE na coluna de auditoria</t>
  </si>
  <si>
    <t xml:space="preserve">Quantidade de Checagens ERRO (CONT.SE)</t>
  </si>
  <si>
    <t xml:space="preserve">Status de Integridade (SE)</t>
  </si>
  <si>
    <t xml:space="preserve">SE condicional sobre o total de erros</t>
  </si>
  <si>
    <t xml:space="preserve">RECEITA E LUCRO POR CATEGORIA DE SERVIÇO</t>
  </si>
  <si>
    <t xml:space="preserve">qtd_os (CONT.SE)</t>
  </si>
  <si>
    <t xml:space="preserve">receita_total (SOMASES)</t>
  </si>
  <si>
    <t xml:space="preserve">lucro_total (SOMASES)</t>
  </si>
  <si>
    <t xml:space="preserve">ticket_medio (SE+ARRED)</t>
  </si>
  <si>
    <t xml:space="preserve">PREMISSAS E NOTAS METODOLÓGICAS</t>
  </si>
  <si>
    <t xml:space="preserve">Parâmetro</t>
  </si>
  <si>
    <t xml:space="preserve">Observação</t>
  </si>
  <si>
    <t xml:space="preserve">Markup médio de peças (%)</t>
  </si>
  <si>
    <t xml:space="preserve">Razão preço de venda / custo unitário, média simples sobre DIM_PECA</t>
  </si>
  <si>
    <t xml:space="preserve">Custo médio de mão de obra (R$)</t>
  </si>
  <si>
    <t xml:space="preserve">Média da coluna valor_mao_obra_calc</t>
  </si>
  <si>
    <t xml:space="preserve">Margem operacional média (%)</t>
  </si>
  <si>
    <t xml:space="preserve">Lucro médio / Receita média</t>
  </si>
  <si>
    <t xml:space="preserve">Preço de serviço médio (R$)</t>
  </si>
  <si>
    <t xml:space="preserve">Média da preco_base em DIM_SERVICO</t>
  </si>
  <si>
    <t xml:space="preserve">Total de Ordens de Serviço na base</t>
  </si>
  <si>
    <t xml:space="preserve">Valor fixo - tamanho da base gerada</t>
  </si>
  <si>
    <t xml:space="preserve">Período coberto pelo calendário</t>
  </si>
  <si>
    <t xml:space="preserve">01/01/2022 a 31/12/2026</t>
  </si>
  <si>
    <t xml:space="preserve">DIM_TEMPO completa, dia a dia</t>
  </si>
  <si>
    <t xml:space="preserve">Notas metodológicas:</t>
  </si>
  <si>
    <t xml:space="preserve">1. Todos os valores de receita, custo e lucro são expressos em Reais (R$).</t>
  </si>
  <si>
    <t xml:space="preserve">2. As fórmulas PROCV referenciam diretamente as abas DIM_SERVICO e DIM_PECA desta mesma pasta de trabalho.</t>
  </si>
  <si>
    <t xml:space="preserve">3. A coluna 'checagem' valida se o valor_total recalculado bate com o valor_total original (tolerância de 2 casas decimais via ARRED).</t>
  </si>
  <si>
    <t xml:space="preserve">4. SUBTOTAL foi utilizado no RESUMO_KPIS para refletir corretamente contagens quando filtros são aplicados na tabela.</t>
  </si>
  <si>
    <t xml:space="preserve">5. Esta base foi gerada de forma sintética para fins de modelagem, treinamento e prototipagem de Data Warehouse / BI; não representa dados reais de clientes.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</si>
</sst>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DCE6F1"/>
        <bgColor rgb="FFC6EFCE"/>
      </patternFill>
    </fill>
    <fill>
      <patternFill patternType="solid">
        <fgColor rgb="FFFFFFFF"/>
        <bgColor rgb="FFFFFFCC"/>
      </patternFill>
    </fill>
    <fill>
      <patternFill patternType="solid">
        <fgColor rgb="FF2E5C8A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75623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E5C8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2E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BASE_CALCULADA" displayName="TAB_BASE_CALCULADA" ref="A1:X1201" headerRowCount="1" totalsRowCount="0" totalsRowShown="0">
  <autoFilter ref="A1:X1201"/>
  <tableColumns count="24">
    <tableColumn id="1" name="id_os"/>
    <tableColumn id="2" name="id_cliente"/>
    <tableColumn id="3" name="id_veiculo"/>
    <tableColumn id="4" name="id_mecanico"/>
    <tableColumn id="5" name="id_peca"/>
    <tableColumn id="6" name="id_servico"/>
    <tableColumn id="7" name="id_tempo"/>
    <tableColumn id="8" name="quantidade_pecas"/>
    <tableColumn id="9" name="custo_peca"/>
    <tableColumn id="10" name="valor_servico"/>
    <tableColumn id="11" name="valor_total"/>
    <tableColumn id="12" name="lucro"/>
    <tableColumn id="13" name="tempo_execucao_horas"/>
    <tableColumn id="14" name="status"/>
    <tableColumn id="15" name="preco_base_servico"/>
    <tableColumn id="16" name="preco_unitario_peca"/>
    <tableColumn id="17" name="custo_unitario_peca"/>
    <tableColumn id="18" name="valor_pecas_calc"/>
    <tableColumn id="19" name="valor_mao_obra_calc"/>
    <tableColumn id="20" name="valor_bruto_calc"/>
    <tableColumn id="21" name="desconto_calc"/>
    <tableColumn id="22" name="valor_total_calc"/>
    <tableColumn id="23" name="checagem"/>
    <tableColumn id="24" name="categoria_servico"/>
  </tableColumns>
</table>
</file>

<file path=xl/tables/table2.xml><?xml version="1.0" encoding="utf-8"?>
<table xmlns="http://schemas.openxmlformats.org/spreadsheetml/2006/main" id="2" name="TAB_DIM_PECA_CALC" displayName="TAB_DIM_PECA_CALC" ref="A1:F501" headerRowCount="1" totalsRowCount="0" totalsRowShown="0">
  <autoFilter ref="A1:F501"/>
  <tableColumns count="6">
    <tableColumn id="1" name="id_peca"/>
    <tableColumn id="2" name="descricao"/>
    <tableColumn id="3" name="fabricante"/>
    <tableColumn id="4" name="categoria"/>
    <tableColumn id="5" name="custo_unitario"/>
    <tableColumn id="6" name="preco_unitario"/>
  </tableColumns>
</table>
</file>

<file path=xl/tables/table3.xml><?xml version="1.0" encoding="utf-8"?>
<table xmlns="http://schemas.openxmlformats.org/spreadsheetml/2006/main" id="3" name="TAB_DIM_SERVICO_CALC" displayName="TAB_DIM_SERVICO_CALC" ref="A1:D151" headerRowCount="1" totalsRowCount="0" totalsRowShown="0">
  <autoFilter ref="A1:D151"/>
  <tableColumns count="4">
    <tableColumn id="1" name="id_servico"/>
    <tableColumn id="2" name="descricao"/>
    <tableColumn id="3" name="categoria"/>
    <tableColumn id="4" name="preco_ba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7" min="15" style="0" width="15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1"/>
    <col collapsed="false" customWidth="true" hidden="false" outlineLevel="0" max="24" min="24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n">
        <v>1</v>
      </c>
      <c r="B2" s="2" t="n">
        <v>372</v>
      </c>
      <c r="C2" s="2" t="n">
        <v>1190</v>
      </c>
      <c r="D2" s="2" t="n">
        <v>978</v>
      </c>
      <c r="E2" s="2" t="n">
        <v>87</v>
      </c>
      <c r="F2" s="2" t="n">
        <v>76</v>
      </c>
      <c r="G2" s="2" t="n">
        <v>951</v>
      </c>
      <c r="H2" s="2" t="n">
        <v>4</v>
      </c>
      <c r="I2" s="3" t="n">
        <v>1382.84</v>
      </c>
      <c r="J2" s="3" t="n">
        <v>258.16</v>
      </c>
      <c r="K2" s="3" t="n">
        <v>2935.36</v>
      </c>
      <c r="L2" s="3" t="n">
        <v>1429.59</v>
      </c>
      <c r="M2" s="2" t="n">
        <v>4.7</v>
      </c>
      <c r="N2" s="2" t="s">
        <v>24</v>
      </c>
      <c r="O2" s="4" t="n">
        <f aca="false">VLOOKUP(F2,DIM_SERVICO!$A$2:$D$151,4,FALSE())</f>
        <v>258.16</v>
      </c>
      <c r="P2" s="4" t="n">
        <f aca="false">VLOOKUP(E2,DIM_PECA!$A$2:$F$501,6,FALSE())</f>
        <v>669.3</v>
      </c>
      <c r="Q2" s="4" t="n">
        <f aca="false">VLOOKUP(E2,DIM_PECA!$A$2:$F$501,5,FALSE())</f>
        <v>345.71</v>
      </c>
      <c r="R2" s="4" t="n">
        <f aca="false">H2*P2</f>
        <v>2677.2</v>
      </c>
      <c r="S2" s="4" t="n">
        <f aca="false">O2*M2</f>
        <v>1213.352</v>
      </c>
      <c r="T2" s="4" t="n">
        <f aca="false">R2+S2</f>
        <v>3890.552</v>
      </c>
      <c r="U2" s="4" t="n">
        <f aca="false">T2-K2</f>
        <v>955.192</v>
      </c>
      <c r="V2" s="4" t="n">
        <f aca="false">R2+S2-U2</f>
        <v>2935.36</v>
      </c>
      <c r="W2" s="5" t="str">
        <f aca="false">IF(ROUND(V2-K2,2)=0,"OK","ERRO")</f>
        <v>OK</v>
      </c>
      <c r="X2" s="5" t="str">
        <f aca="false">VLOOKUP(F2,DIM_SERVICO!$A$2:$D$151,3,FALSE())</f>
        <v>Diagnóstico</v>
      </c>
    </row>
    <row r="3" customFormat="false" ht="15" hidden="false" customHeight="false" outlineLevel="0" collapsed="false">
      <c r="A3" s="6" t="n">
        <v>2</v>
      </c>
      <c r="B3" s="6" t="n">
        <v>872</v>
      </c>
      <c r="C3" s="6" t="n">
        <v>1073</v>
      </c>
      <c r="D3" s="6" t="n">
        <v>730</v>
      </c>
      <c r="E3" s="6" t="n">
        <v>71</v>
      </c>
      <c r="F3" s="6" t="n">
        <v>27</v>
      </c>
      <c r="G3" s="6" t="n">
        <v>7</v>
      </c>
      <c r="H3" s="6" t="n">
        <v>4</v>
      </c>
      <c r="I3" s="7" t="n">
        <v>117.92</v>
      </c>
      <c r="J3" s="7" t="n">
        <v>662.68</v>
      </c>
      <c r="K3" s="7" t="n">
        <v>745.42</v>
      </c>
      <c r="L3" s="7" t="n">
        <v>370.63</v>
      </c>
      <c r="M3" s="6" t="n">
        <v>6.6</v>
      </c>
      <c r="N3" s="6" t="s">
        <v>24</v>
      </c>
      <c r="O3" s="8" t="n">
        <f aca="false">VLOOKUP(F3,DIM_SERVICO!$A$2:$D$151,4,FALSE())</f>
        <v>662.68</v>
      </c>
      <c r="P3" s="8" t="n">
        <f aca="false">VLOOKUP(E3,DIM_PECA!$A$2:$F$501,6,FALSE())</f>
        <v>41.39</v>
      </c>
      <c r="Q3" s="8" t="n">
        <f aca="false">VLOOKUP(E3,DIM_PECA!$A$2:$F$501,5,FALSE())</f>
        <v>29.48</v>
      </c>
      <c r="R3" s="8" t="n">
        <f aca="false">H3*P3</f>
        <v>165.56</v>
      </c>
      <c r="S3" s="8" t="n">
        <f aca="false">O3*M3</f>
        <v>4373.688</v>
      </c>
      <c r="T3" s="8" t="n">
        <f aca="false">R3+S3</f>
        <v>4539.248</v>
      </c>
      <c r="U3" s="8" t="n">
        <f aca="false">T3-K3</f>
        <v>3793.828</v>
      </c>
      <c r="V3" s="8" t="n">
        <f aca="false">R3+S3-U3</f>
        <v>745.42</v>
      </c>
      <c r="W3" s="9" t="str">
        <f aca="false">IF(ROUND(V3-K3,2)=0,"OK","ERRO")</f>
        <v>OK</v>
      </c>
      <c r="X3" s="9" t="str">
        <f aca="false">VLOOKUP(F3,DIM_SERVICO!$A$2:$D$151,3,FALSE())</f>
        <v>Revisão</v>
      </c>
    </row>
    <row r="4" customFormat="false" ht="15" hidden="false" customHeight="false" outlineLevel="0" collapsed="false">
      <c r="A4" s="2" t="n">
        <v>3</v>
      </c>
      <c r="B4" s="2" t="n">
        <v>704</v>
      </c>
      <c r="C4" s="2" t="n">
        <v>1405</v>
      </c>
      <c r="D4" s="2" t="n">
        <v>317</v>
      </c>
      <c r="E4" s="2" t="n">
        <v>259</v>
      </c>
      <c r="F4" s="2" t="n">
        <v>18</v>
      </c>
      <c r="G4" s="2" t="n">
        <v>1801</v>
      </c>
      <c r="H4" s="2" t="n">
        <v>4</v>
      </c>
      <c r="I4" s="3" t="n">
        <v>2048.04</v>
      </c>
      <c r="J4" s="3" t="n">
        <v>1667.15</v>
      </c>
      <c r="K4" s="3" t="n">
        <v>4814.82</v>
      </c>
      <c r="L4" s="3" t="n">
        <v>1867.37</v>
      </c>
      <c r="M4" s="2" t="n">
        <v>0.6</v>
      </c>
      <c r="N4" s="2" t="s">
        <v>24</v>
      </c>
      <c r="O4" s="4" t="n">
        <f aca="false">VLOOKUP(F4,DIM_SERVICO!$A$2:$D$151,4,FALSE())</f>
        <v>1667.15</v>
      </c>
      <c r="P4" s="4" t="n">
        <f aca="false">VLOOKUP(E4,DIM_PECA!$A$2:$F$501,6,FALSE())</f>
        <v>850.27</v>
      </c>
      <c r="Q4" s="4" t="n">
        <f aca="false">VLOOKUP(E4,DIM_PECA!$A$2:$F$501,5,FALSE())</f>
        <v>512.01</v>
      </c>
      <c r="R4" s="4" t="n">
        <f aca="false">H4*P4</f>
        <v>3401.08</v>
      </c>
      <c r="S4" s="4" t="n">
        <f aca="false">O4*M4</f>
        <v>1000.29</v>
      </c>
      <c r="T4" s="4" t="n">
        <f aca="false">R4+S4</f>
        <v>4401.37</v>
      </c>
      <c r="U4" s="4" t="n">
        <f aca="false">T4-K4</f>
        <v>-413.45</v>
      </c>
      <c r="V4" s="4" t="n">
        <f aca="false">R4+S4-U4</f>
        <v>4814.82</v>
      </c>
      <c r="W4" s="5" t="str">
        <f aca="false">IF(ROUND(V4-K4,2)=0,"OK","ERRO")</f>
        <v>OK</v>
      </c>
      <c r="X4" s="5" t="str">
        <f aca="false">VLOOKUP(F4,DIM_SERVICO!$A$2:$D$151,3,FALSE())</f>
        <v>Elétrica</v>
      </c>
    </row>
    <row r="5" customFormat="false" ht="15" hidden="false" customHeight="false" outlineLevel="0" collapsed="false">
      <c r="A5" s="6" t="n">
        <v>4</v>
      </c>
      <c r="B5" s="6" t="n">
        <v>480</v>
      </c>
      <c r="C5" s="6" t="n">
        <v>775</v>
      </c>
      <c r="D5" s="6" t="n">
        <v>734</v>
      </c>
      <c r="E5" s="6" t="n">
        <v>438</v>
      </c>
      <c r="F5" s="6" t="n">
        <v>130</v>
      </c>
      <c r="G5" s="6" t="n">
        <v>1395</v>
      </c>
      <c r="H5" s="6" t="n">
        <v>1</v>
      </c>
      <c r="I5" s="7" t="n">
        <v>1119.28</v>
      </c>
      <c r="J5" s="7" t="n">
        <v>170.79</v>
      </c>
      <c r="K5" s="7" t="n">
        <v>2248.82</v>
      </c>
      <c r="L5" s="7" t="n">
        <v>1053.15</v>
      </c>
      <c r="M5" s="6" t="n">
        <v>4.1</v>
      </c>
      <c r="N5" s="6" t="s">
        <v>24</v>
      </c>
      <c r="O5" s="8" t="n">
        <f aca="false">VLOOKUP(F5,DIM_SERVICO!$A$2:$D$151,4,FALSE())</f>
        <v>170.79</v>
      </c>
      <c r="P5" s="8" t="n">
        <f aca="false">VLOOKUP(E5,DIM_PECA!$A$2:$F$501,6,FALSE())</f>
        <v>2078.03</v>
      </c>
      <c r="Q5" s="8" t="n">
        <f aca="false">VLOOKUP(E5,DIM_PECA!$A$2:$F$501,5,FALSE())</f>
        <v>1119.28</v>
      </c>
      <c r="R5" s="8" t="n">
        <f aca="false">H5*P5</f>
        <v>2078.03</v>
      </c>
      <c r="S5" s="8" t="n">
        <f aca="false">O5*M5</f>
        <v>700.239</v>
      </c>
      <c r="T5" s="8" t="n">
        <f aca="false">R5+S5</f>
        <v>2778.269</v>
      </c>
      <c r="U5" s="8" t="n">
        <f aca="false">T5-K5</f>
        <v>529.449</v>
      </c>
      <c r="V5" s="8" t="n">
        <f aca="false">R5+S5-U5</f>
        <v>2248.82</v>
      </c>
      <c r="W5" s="9" t="str">
        <f aca="false">IF(ROUND(V5-K5,2)=0,"OK","ERRO")</f>
        <v>OK</v>
      </c>
      <c r="X5" s="9" t="str">
        <f aca="false">VLOOKUP(F5,DIM_SERVICO!$A$2:$D$151,3,FALSE())</f>
        <v>Pintura</v>
      </c>
    </row>
    <row r="6" customFormat="false" ht="15" hidden="false" customHeight="false" outlineLevel="0" collapsed="false">
      <c r="A6" s="2" t="n">
        <v>5</v>
      </c>
      <c r="B6" s="2" t="n">
        <v>1359</v>
      </c>
      <c r="C6" s="2" t="n">
        <v>335</v>
      </c>
      <c r="D6" s="2" t="n">
        <v>682</v>
      </c>
      <c r="E6" s="2" t="n">
        <v>88</v>
      </c>
      <c r="F6" s="2" t="n">
        <v>140</v>
      </c>
      <c r="G6" s="2" t="n">
        <v>1377</v>
      </c>
      <c r="H6" s="2" t="n">
        <v>3</v>
      </c>
      <c r="I6" s="3" t="n">
        <v>567.09</v>
      </c>
      <c r="J6" s="3" t="n">
        <v>1109.33</v>
      </c>
      <c r="K6" s="3" t="n">
        <v>2236.8</v>
      </c>
      <c r="L6" s="3" t="n">
        <v>1209.89</v>
      </c>
      <c r="M6" s="2" t="n">
        <v>5.4</v>
      </c>
      <c r="N6" s="2" t="s">
        <v>24</v>
      </c>
      <c r="O6" s="4" t="n">
        <f aca="false">VLOOKUP(F6,DIM_SERVICO!$A$2:$D$151,4,FALSE())</f>
        <v>1109.33</v>
      </c>
      <c r="P6" s="4" t="n">
        <f aca="false">VLOOKUP(E6,DIM_PECA!$A$2:$F$501,6,FALSE())</f>
        <v>391.04</v>
      </c>
      <c r="Q6" s="4" t="n">
        <f aca="false">VLOOKUP(E6,DIM_PECA!$A$2:$F$501,5,FALSE())</f>
        <v>189.03</v>
      </c>
      <c r="R6" s="4" t="n">
        <f aca="false">H6*P6</f>
        <v>1173.12</v>
      </c>
      <c r="S6" s="4" t="n">
        <f aca="false">O6*M6</f>
        <v>5990.382</v>
      </c>
      <c r="T6" s="4" t="n">
        <f aca="false">R6+S6</f>
        <v>7163.502</v>
      </c>
      <c r="U6" s="4" t="n">
        <f aca="false">T6-K6</f>
        <v>4926.702</v>
      </c>
      <c r="V6" s="4" t="n">
        <f aca="false">R6+S6-U6</f>
        <v>2236.8</v>
      </c>
      <c r="W6" s="5" t="str">
        <f aca="false">IF(ROUND(V6-K6,2)=0,"OK","ERRO")</f>
        <v>OK</v>
      </c>
      <c r="X6" s="5" t="str">
        <f aca="false">VLOOKUP(F6,DIM_SERVICO!$A$2:$D$151,3,FALSE())</f>
        <v>Revisão</v>
      </c>
    </row>
    <row r="7" customFormat="false" ht="15" hidden="false" customHeight="false" outlineLevel="0" collapsed="false">
      <c r="A7" s="6" t="n">
        <v>6</v>
      </c>
      <c r="B7" s="6" t="n">
        <v>863</v>
      </c>
      <c r="C7" s="6" t="n">
        <v>154</v>
      </c>
      <c r="D7" s="6" t="n">
        <v>819</v>
      </c>
      <c r="E7" s="6" t="n">
        <v>306</v>
      </c>
      <c r="F7" s="6" t="n">
        <v>35</v>
      </c>
      <c r="G7" s="6" t="n">
        <v>322</v>
      </c>
      <c r="H7" s="6" t="n">
        <v>3</v>
      </c>
      <c r="I7" s="7" t="n">
        <v>793.41</v>
      </c>
      <c r="J7" s="7" t="n">
        <v>1082.38</v>
      </c>
      <c r="K7" s="7" t="n">
        <v>2711.95</v>
      </c>
      <c r="L7" s="7" t="n">
        <v>1395.57</v>
      </c>
      <c r="M7" s="6" t="n">
        <v>9.5</v>
      </c>
      <c r="N7" s="6" t="s">
        <v>25</v>
      </c>
      <c r="O7" s="8" t="n">
        <f aca="false">VLOOKUP(F7,DIM_SERVICO!$A$2:$D$151,4,FALSE())</f>
        <v>1082.38</v>
      </c>
      <c r="P7" s="8" t="n">
        <f aca="false">VLOOKUP(E7,DIM_PECA!$A$2:$F$501,6,FALSE())</f>
        <v>543.19</v>
      </c>
      <c r="Q7" s="8" t="n">
        <f aca="false">VLOOKUP(E7,DIM_PECA!$A$2:$F$501,5,FALSE())</f>
        <v>264.47</v>
      </c>
      <c r="R7" s="8" t="n">
        <f aca="false">H7*P7</f>
        <v>1629.57</v>
      </c>
      <c r="S7" s="8" t="n">
        <f aca="false">O7*M7</f>
        <v>10282.61</v>
      </c>
      <c r="T7" s="8" t="n">
        <f aca="false">R7+S7</f>
        <v>11912.18</v>
      </c>
      <c r="U7" s="8" t="n">
        <f aca="false">T7-K7</f>
        <v>9200.23</v>
      </c>
      <c r="V7" s="8" t="n">
        <f aca="false">R7+S7-U7</f>
        <v>2711.95</v>
      </c>
      <c r="W7" s="9" t="str">
        <f aca="false">IF(ROUND(V7-K7,2)=0,"OK","ERRO")</f>
        <v>OK</v>
      </c>
      <c r="X7" s="9" t="str">
        <f aca="false">VLOOKUP(F7,DIM_SERVICO!$A$2:$D$151,3,FALSE())</f>
        <v>Diagnóstico</v>
      </c>
    </row>
    <row r="8" customFormat="false" ht="15" hidden="false" customHeight="false" outlineLevel="0" collapsed="false">
      <c r="A8" s="2" t="n">
        <v>7</v>
      </c>
      <c r="B8" s="2" t="n">
        <v>258</v>
      </c>
      <c r="C8" s="2" t="n">
        <v>1239</v>
      </c>
      <c r="D8" s="2" t="n">
        <v>809</v>
      </c>
      <c r="E8" s="2" t="n">
        <v>5</v>
      </c>
      <c r="F8" s="2" t="n">
        <v>56</v>
      </c>
      <c r="G8" s="2" t="n">
        <v>253</v>
      </c>
      <c r="H8" s="2" t="n">
        <v>1</v>
      </c>
      <c r="I8" s="3" t="n">
        <v>928.46</v>
      </c>
      <c r="J8" s="3" t="n">
        <v>251.62</v>
      </c>
      <c r="K8" s="3" t="n">
        <v>1705.56</v>
      </c>
      <c r="L8" s="3" t="n">
        <v>685.9</v>
      </c>
      <c r="M8" s="2" t="n">
        <v>3.5</v>
      </c>
      <c r="N8" s="2" t="s">
        <v>24</v>
      </c>
      <c r="O8" s="4" t="n">
        <f aca="false">VLOOKUP(F8,DIM_SERVICO!$A$2:$D$151,4,FALSE())</f>
        <v>251.62</v>
      </c>
      <c r="P8" s="4" t="n">
        <f aca="false">VLOOKUP(E8,DIM_PECA!$A$2:$F$501,6,FALSE())</f>
        <v>1543.71</v>
      </c>
      <c r="Q8" s="4" t="n">
        <f aca="false">VLOOKUP(E8,DIM_PECA!$A$2:$F$501,5,FALSE())</f>
        <v>928.46</v>
      </c>
      <c r="R8" s="4" t="n">
        <f aca="false">H8*P8</f>
        <v>1543.71</v>
      </c>
      <c r="S8" s="4" t="n">
        <f aca="false">O8*M8</f>
        <v>880.67</v>
      </c>
      <c r="T8" s="4" t="n">
        <f aca="false">R8+S8</f>
        <v>2424.38</v>
      </c>
      <c r="U8" s="4" t="n">
        <f aca="false">T8-K8</f>
        <v>718.82</v>
      </c>
      <c r="V8" s="4" t="n">
        <f aca="false">R8+S8-U8</f>
        <v>1705.56</v>
      </c>
      <c r="W8" s="5" t="str">
        <f aca="false">IF(ROUND(V8-K8,2)=0,"OK","ERRO")</f>
        <v>OK</v>
      </c>
      <c r="X8" s="5" t="str">
        <f aca="false">VLOOKUP(F8,DIM_SERVICO!$A$2:$D$151,3,FALSE())</f>
        <v>Revisão</v>
      </c>
    </row>
    <row r="9" customFormat="false" ht="15" hidden="false" customHeight="false" outlineLevel="0" collapsed="false">
      <c r="A9" s="6" t="n">
        <v>8</v>
      </c>
      <c r="B9" s="6" t="n">
        <v>953</v>
      </c>
      <c r="C9" s="6" t="n">
        <v>1485</v>
      </c>
      <c r="D9" s="6" t="n">
        <v>7</v>
      </c>
      <c r="E9" s="6" t="n">
        <v>317</v>
      </c>
      <c r="F9" s="6" t="n">
        <v>140</v>
      </c>
      <c r="G9" s="6" t="n">
        <v>1742</v>
      </c>
      <c r="H9" s="6" t="n">
        <v>3</v>
      </c>
      <c r="I9" s="7" t="n">
        <v>155.61</v>
      </c>
      <c r="J9" s="7" t="n">
        <v>1109.33</v>
      </c>
      <c r="K9" s="7" t="n">
        <v>1291.28</v>
      </c>
      <c r="L9" s="7" t="n">
        <v>690.06</v>
      </c>
      <c r="M9" s="6" t="n">
        <v>11.8</v>
      </c>
      <c r="N9" s="6" t="s">
        <v>25</v>
      </c>
      <c r="O9" s="8" t="n">
        <f aca="false">VLOOKUP(F9,DIM_SERVICO!$A$2:$D$151,4,FALSE())</f>
        <v>1109.33</v>
      </c>
      <c r="P9" s="8" t="n">
        <f aca="false">VLOOKUP(E9,DIM_PECA!$A$2:$F$501,6,FALSE())</f>
        <v>98.08</v>
      </c>
      <c r="Q9" s="8" t="n">
        <f aca="false">VLOOKUP(E9,DIM_PECA!$A$2:$F$501,5,FALSE())</f>
        <v>51.87</v>
      </c>
      <c r="R9" s="8" t="n">
        <f aca="false">H9*P9</f>
        <v>294.24</v>
      </c>
      <c r="S9" s="8" t="n">
        <f aca="false">O9*M9</f>
        <v>13090.094</v>
      </c>
      <c r="T9" s="8" t="n">
        <f aca="false">R9+S9</f>
        <v>13384.334</v>
      </c>
      <c r="U9" s="8" t="n">
        <f aca="false">T9-K9</f>
        <v>12093.054</v>
      </c>
      <c r="V9" s="8" t="n">
        <f aca="false">R9+S9-U9</f>
        <v>1291.28</v>
      </c>
      <c r="W9" s="9" t="str">
        <f aca="false">IF(ROUND(V9-K9,2)=0,"OK","ERRO")</f>
        <v>OK</v>
      </c>
      <c r="X9" s="9" t="str">
        <f aca="false">VLOOKUP(F9,DIM_SERVICO!$A$2:$D$151,3,FALSE())</f>
        <v>Revisão</v>
      </c>
    </row>
    <row r="10" customFormat="false" ht="15" hidden="false" customHeight="false" outlineLevel="0" collapsed="false">
      <c r="A10" s="2" t="n">
        <v>9</v>
      </c>
      <c r="B10" s="2" t="n">
        <v>357</v>
      </c>
      <c r="C10" s="2" t="n">
        <v>1129</v>
      </c>
      <c r="D10" s="2" t="n">
        <v>1033</v>
      </c>
      <c r="E10" s="2" t="n">
        <v>23</v>
      </c>
      <c r="F10" s="2" t="n">
        <v>70</v>
      </c>
      <c r="G10" s="2" t="n">
        <v>1094</v>
      </c>
      <c r="H10" s="2" t="n">
        <v>2</v>
      </c>
      <c r="I10" s="3" t="n">
        <v>469.86</v>
      </c>
      <c r="J10" s="3" t="n">
        <v>688.79</v>
      </c>
      <c r="K10" s="3" t="n">
        <v>1662.25</v>
      </c>
      <c r="L10" s="3" t="n">
        <v>916.19</v>
      </c>
      <c r="M10" s="2" t="n">
        <v>4.2</v>
      </c>
      <c r="N10" s="2" t="s">
        <v>26</v>
      </c>
      <c r="O10" s="4" t="n">
        <f aca="false">VLOOKUP(F10,DIM_SERVICO!$A$2:$D$151,4,FALSE())</f>
        <v>688.79</v>
      </c>
      <c r="P10" s="4" t="n">
        <f aca="false">VLOOKUP(E10,DIM_PECA!$A$2:$F$501,6,FALSE())</f>
        <v>486.73</v>
      </c>
      <c r="Q10" s="4" t="n">
        <f aca="false">VLOOKUP(E10,DIM_PECA!$A$2:$F$501,5,FALSE())</f>
        <v>234.93</v>
      </c>
      <c r="R10" s="4" t="n">
        <f aca="false">H10*P10</f>
        <v>973.46</v>
      </c>
      <c r="S10" s="4" t="n">
        <f aca="false">O10*M10</f>
        <v>2892.918</v>
      </c>
      <c r="T10" s="4" t="n">
        <f aca="false">R10+S10</f>
        <v>3866.378</v>
      </c>
      <c r="U10" s="4" t="n">
        <f aca="false">T10-K10</f>
        <v>2204.128</v>
      </c>
      <c r="V10" s="4" t="n">
        <f aca="false">R10+S10-U10</f>
        <v>1662.25</v>
      </c>
      <c r="W10" s="5" t="str">
        <f aca="false">IF(ROUND(V10-K10,2)=0,"OK","ERRO")</f>
        <v>OK</v>
      </c>
      <c r="X10" s="5" t="str">
        <f aca="false">VLOOKUP(F10,DIM_SERVICO!$A$2:$D$151,3,FALSE())</f>
        <v>Freios</v>
      </c>
    </row>
    <row r="11" customFormat="false" ht="15" hidden="false" customHeight="false" outlineLevel="0" collapsed="false">
      <c r="A11" s="6" t="n">
        <v>10</v>
      </c>
      <c r="B11" s="6" t="n">
        <v>812</v>
      </c>
      <c r="C11" s="6" t="n">
        <v>773</v>
      </c>
      <c r="D11" s="6" t="n">
        <v>832</v>
      </c>
      <c r="E11" s="6" t="n">
        <v>469</v>
      </c>
      <c r="F11" s="6" t="n">
        <v>35</v>
      </c>
      <c r="G11" s="6" t="n">
        <v>793</v>
      </c>
      <c r="H11" s="6" t="n">
        <v>1</v>
      </c>
      <c r="I11" s="7" t="n">
        <v>431.81</v>
      </c>
      <c r="J11" s="7" t="n">
        <v>1082.38</v>
      </c>
      <c r="K11" s="7" t="n">
        <v>1989.37</v>
      </c>
      <c r="L11" s="7" t="n">
        <v>1157.09</v>
      </c>
      <c r="M11" s="6" t="n">
        <v>8.2</v>
      </c>
      <c r="N11" s="6" t="s">
        <v>24</v>
      </c>
      <c r="O11" s="8" t="n">
        <f aca="false">VLOOKUP(F11,DIM_SERVICO!$A$2:$D$151,4,FALSE())</f>
        <v>1082.38</v>
      </c>
      <c r="P11" s="8" t="n">
        <f aca="false">VLOOKUP(E11,DIM_PECA!$A$2:$F$501,6,FALSE())</f>
        <v>906.99</v>
      </c>
      <c r="Q11" s="8" t="n">
        <f aca="false">VLOOKUP(E11,DIM_PECA!$A$2:$F$501,5,FALSE())</f>
        <v>431.81</v>
      </c>
      <c r="R11" s="8" t="n">
        <f aca="false">H11*P11</f>
        <v>906.99</v>
      </c>
      <c r="S11" s="8" t="n">
        <f aca="false">O11*M11</f>
        <v>8875.516</v>
      </c>
      <c r="T11" s="8" t="n">
        <f aca="false">R11+S11</f>
        <v>9782.506</v>
      </c>
      <c r="U11" s="8" t="n">
        <f aca="false">T11-K11</f>
        <v>7793.136</v>
      </c>
      <c r="V11" s="8" t="n">
        <f aca="false">R11+S11-U11</f>
        <v>1989.37</v>
      </c>
      <c r="W11" s="9" t="str">
        <f aca="false">IF(ROUND(V11-K11,2)=0,"OK","ERRO")</f>
        <v>OK</v>
      </c>
      <c r="X11" s="9" t="str">
        <f aca="false">VLOOKUP(F11,DIM_SERVICO!$A$2:$D$151,3,FALSE())</f>
        <v>Diagnóstico</v>
      </c>
    </row>
    <row r="12" customFormat="false" ht="15" hidden="false" customHeight="false" outlineLevel="0" collapsed="false">
      <c r="A12" s="2" t="n">
        <v>11</v>
      </c>
      <c r="B12" s="2" t="n">
        <v>1498</v>
      </c>
      <c r="C12" s="2" t="n">
        <v>1033</v>
      </c>
      <c r="D12" s="2" t="n">
        <v>58</v>
      </c>
      <c r="E12" s="2" t="n">
        <v>217</v>
      </c>
      <c r="F12" s="2" t="n">
        <v>109</v>
      </c>
      <c r="G12" s="2" t="n">
        <v>1532</v>
      </c>
      <c r="H12" s="2" t="n">
        <v>4</v>
      </c>
      <c r="I12" s="3" t="n">
        <v>2754.08</v>
      </c>
      <c r="J12" s="3" t="n">
        <v>1418.47</v>
      </c>
      <c r="K12" s="3" t="n">
        <v>6900.47</v>
      </c>
      <c r="L12" s="3" t="n">
        <v>3634.01</v>
      </c>
      <c r="M12" s="2" t="n">
        <v>7.5</v>
      </c>
      <c r="N12" s="2" t="s">
        <v>27</v>
      </c>
      <c r="O12" s="4" t="n">
        <f aca="false">VLOOKUP(F12,DIM_SERVICO!$A$2:$D$151,4,FALSE())</f>
        <v>1418.47</v>
      </c>
      <c r="P12" s="4" t="n">
        <f aca="false">VLOOKUP(E12,DIM_PECA!$A$2:$F$501,6,FALSE())</f>
        <v>1370.5</v>
      </c>
      <c r="Q12" s="4" t="n">
        <f aca="false">VLOOKUP(E12,DIM_PECA!$A$2:$F$501,5,FALSE())</f>
        <v>688.52</v>
      </c>
      <c r="R12" s="4" t="n">
        <f aca="false">H12*P12</f>
        <v>5482</v>
      </c>
      <c r="S12" s="4" t="n">
        <f aca="false">O12*M12</f>
        <v>10638.525</v>
      </c>
      <c r="T12" s="4" t="n">
        <f aca="false">R12+S12</f>
        <v>16120.525</v>
      </c>
      <c r="U12" s="4" t="n">
        <f aca="false">T12-K12</f>
        <v>9220.055</v>
      </c>
      <c r="V12" s="4" t="n">
        <f aca="false">R12+S12-U12</f>
        <v>6900.47</v>
      </c>
      <c r="W12" s="5" t="str">
        <f aca="false">IF(ROUND(V12-K12,2)=0,"OK","ERRO")</f>
        <v>OK</v>
      </c>
      <c r="X12" s="5" t="str">
        <f aca="false">VLOOKUP(F12,DIM_SERVICO!$A$2:$D$151,3,FALSE())</f>
        <v>Pintura</v>
      </c>
    </row>
    <row r="13" customFormat="false" ht="15" hidden="false" customHeight="false" outlineLevel="0" collapsed="false">
      <c r="A13" s="6" t="n">
        <v>12</v>
      </c>
      <c r="B13" s="6" t="n">
        <v>613</v>
      </c>
      <c r="C13" s="6" t="n">
        <v>1184</v>
      </c>
      <c r="D13" s="6" t="n">
        <v>861</v>
      </c>
      <c r="E13" s="6" t="n">
        <v>326</v>
      </c>
      <c r="F13" s="6" t="n">
        <v>78</v>
      </c>
      <c r="G13" s="6" t="n">
        <v>456</v>
      </c>
      <c r="H13" s="6" t="n">
        <v>1</v>
      </c>
      <c r="I13" s="7" t="n">
        <v>704.6</v>
      </c>
      <c r="J13" s="7" t="n">
        <v>1647.18</v>
      </c>
      <c r="K13" s="7" t="n">
        <v>2480.82</v>
      </c>
      <c r="L13" s="7" t="n">
        <v>1035.42</v>
      </c>
      <c r="M13" s="6" t="n">
        <v>0.6</v>
      </c>
      <c r="N13" s="6" t="s">
        <v>25</v>
      </c>
      <c r="O13" s="8" t="n">
        <f aca="false">VLOOKUP(F13,DIM_SERVICO!$A$2:$D$151,4,FALSE())</f>
        <v>1647.18</v>
      </c>
      <c r="P13" s="8" t="n">
        <f aca="false">VLOOKUP(E13,DIM_PECA!$A$2:$F$501,6,FALSE())</f>
        <v>964.21</v>
      </c>
      <c r="Q13" s="8" t="n">
        <f aca="false">VLOOKUP(E13,DIM_PECA!$A$2:$F$501,5,FALSE())</f>
        <v>704.6</v>
      </c>
      <c r="R13" s="8" t="n">
        <f aca="false">H13*P13</f>
        <v>964.21</v>
      </c>
      <c r="S13" s="8" t="n">
        <f aca="false">O13*M13</f>
        <v>988.308</v>
      </c>
      <c r="T13" s="8" t="n">
        <f aca="false">R13+S13</f>
        <v>1952.518</v>
      </c>
      <c r="U13" s="8" t="n">
        <f aca="false">T13-K13</f>
        <v>-528.302</v>
      </c>
      <c r="V13" s="8" t="n">
        <f aca="false">R13+S13-U13</f>
        <v>2480.82</v>
      </c>
      <c r="W13" s="9" t="str">
        <f aca="false">IF(ROUND(V13-K13,2)=0,"OK","ERRO")</f>
        <v>OK</v>
      </c>
      <c r="X13" s="9" t="str">
        <f aca="false">VLOOKUP(F13,DIM_SERVICO!$A$2:$D$151,3,FALSE())</f>
        <v>Suspensão</v>
      </c>
    </row>
    <row r="14" customFormat="false" ht="15" hidden="false" customHeight="false" outlineLevel="0" collapsed="false">
      <c r="A14" s="2" t="n">
        <v>13</v>
      </c>
      <c r="B14" s="2" t="n">
        <v>903</v>
      </c>
      <c r="C14" s="2" t="n">
        <v>1440</v>
      </c>
      <c r="D14" s="2" t="n">
        <v>394</v>
      </c>
      <c r="E14" s="2" t="n">
        <v>228</v>
      </c>
      <c r="F14" s="2" t="n">
        <v>135</v>
      </c>
      <c r="G14" s="2" t="n">
        <v>355</v>
      </c>
      <c r="H14" s="2" t="n">
        <v>3</v>
      </c>
      <c r="I14" s="3" t="n">
        <v>1168.23</v>
      </c>
      <c r="J14" s="3" t="n">
        <v>2099.01</v>
      </c>
      <c r="K14" s="3" t="n">
        <v>4054.72</v>
      </c>
      <c r="L14" s="3" t="n">
        <v>1764.79</v>
      </c>
      <c r="M14" s="2" t="n">
        <v>5.5</v>
      </c>
      <c r="N14" s="2" t="s">
        <v>24</v>
      </c>
      <c r="O14" s="4" t="n">
        <f aca="false">VLOOKUP(F14,DIM_SERVICO!$A$2:$D$151,4,FALSE())</f>
        <v>2099.01</v>
      </c>
      <c r="P14" s="4" t="n">
        <f aca="false">VLOOKUP(E14,DIM_PECA!$A$2:$F$501,6,FALSE())</f>
        <v>769.43</v>
      </c>
      <c r="Q14" s="4" t="n">
        <f aca="false">VLOOKUP(E14,DIM_PECA!$A$2:$F$501,5,FALSE())</f>
        <v>389.41</v>
      </c>
      <c r="R14" s="4" t="n">
        <f aca="false">H14*P14</f>
        <v>2308.29</v>
      </c>
      <c r="S14" s="4" t="n">
        <f aca="false">O14*M14</f>
        <v>11544.555</v>
      </c>
      <c r="T14" s="4" t="n">
        <f aca="false">R14+S14</f>
        <v>13852.845</v>
      </c>
      <c r="U14" s="4" t="n">
        <f aca="false">T14-K14</f>
        <v>9798.125</v>
      </c>
      <c r="V14" s="4" t="n">
        <f aca="false">R14+S14-U14</f>
        <v>4054.72</v>
      </c>
      <c r="W14" s="5" t="str">
        <f aca="false">IF(ROUND(V14-K14,2)=0,"OK","ERRO")</f>
        <v>OK</v>
      </c>
      <c r="X14" s="5" t="str">
        <f aca="false">VLOOKUP(F14,DIM_SERVICO!$A$2:$D$151,3,FALSE())</f>
        <v>Motor</v>
      </c>
    </row>
    <row r="15" customFormat="false" ht="15" hidden="false" customHeight="false" outlineLevel="0" collapsed="false">
      <c r="A15" s="6" t="n">
        <v>14</v>
      </c>
      <c r="B15" s="6" t="n">
        <v>168</v>
      </c>
      <c r="C15" s="6" t="n">
        <v>260</v>
      </c>
      <c r="D15" s="6" t="n">
        <v>768</v>
      </c>
      <c r="E15" s="6" t="n">
        <v>377</v>
      </c>
      <c r="F15" s="6" t="n">
        <v>135</v>
      </c>
      <c r="G15" s="6" t="n">
        <v>1081</v>
      </c>
      <c r="H15" s="6" t="n">
        <v>4</v>
      </c>
      <c r="I15" s="7" t="n">
        <v>2223.28</v>
      </c>
      <c r="J15" s="7" t="n">
        <v>2099.01</v>
      </c>
      <c r="K15" s="7" t="n">
        <v>6968.25</v>
      </c>
      <c r="L15" s="7" t="n">
        <v>3889.69</v>
      </c>
      <c r="M15" s="6" t="n">
        <v>4.3</v>
      </c>
      <c r="N15" s="6" t="s">
        <v>24</v>
      </c>
      <c r="O15" s="8" t="n">
        <f aca="false">VLOOKUP(F15,DIM_SERVICO!$A$2:$D$151,4,FALSE())</f>
        <v>2099.01</v>
      </c>
      <c r="P15" s="8" t="n">
        <f aca="false">VLOOKUP(E15,DIM_PECA!$A$2:$F$501,6,FALSE())</f>
        <v>1217.31</v>
      </c>
      <c r="Q15" s="8" t="n">
        <f aca="false">VLOOKUP(E15,DIM_PECA!$A$2:$F$501,5,FALSE())</f>
        <v>555.82</v>
      </c>
      <c r="R15" s="8" t="n">
        <f aca="false">H15*P15</f>
        <v>4869.24</v>
      </c>
      <c r="S15" s="8" t="n">
        <f aca="false">O15*M15</f>
        <v>9025.743</v>
      </c>
      <c r="T15" s="8" t="n">
        <f aca="false">R15+S15</f>
        <v>13894.983</v>
      </c>
      <c r="U15" s="8" t="n">
        <f aca="false">T15-K15</f>
        <v>6926.733</v>
      </c>
      <c r="V15" s="8" t="n">
        <f aca="false">R15+S15-U15</f>
        <v>6968.25</v>
      </c>
      <c r="W15" s="9" t="str">
        <f aca="false">IF(ROUND(V15-K15,2)=0,"OK","ERRO")</f>
        <v>OK</v>
      </c>
      <c r="X15" s="9" t="str">
        <f aca="false">VLOOKUP(F15,DIM_SERVICO!$A$2:$D$151,3,FALSE())</f>
        <v>Motor</v>
      </c>
    </row>
    <row r="16" customFormat="false" ht="15" hidden="false" customHeight="false" outlineLevel="0" collapsed="false">
      <c r="A16" s="2" t="n">
        <v>15</v>
      </c>
      <c r="B16" s="2" t="n">
        <v>375</v>
      </c>
      <c r="C16" s="2" t="n">
        <v>656</v>
      </c>
      <c r="D16" s="2" t="n">
        <v>874</v>
      </c>
      <c r="E16" s="2" t="n">
        <v>277</v>
      </c>
      <c r="F16" s="2" t="n">
        <v>26</v>
      </c>
      <c r="G16" s="2" t="n">
        <v>482</v>
      </c>
      <c r="H16" s="2" t="n">
        <v>4</v>
      </c>
      <c r="I16" s="3" t="n">
        <v>3865.32</v>
      </c>
      <c r="J16" s="3" t="n">
        <v>168.44</v>
      </c>
      <c r="K16" s="3" t="n">
        <v>8191.48</v>
      </c>
      <c r="L16" s="3" t="n">
        <v>4243.14</v>
      </c>
      <c r="M16" s="2" t="n">
        <v>9.9</v>
      </c>
      <c r="N16" s="2" t="s">
        <v>24</v>
      </c>
      <c r="O16" s="4" t="n">
        <f aca="false">VLOOKUP(F16,DIM_SERVICO!$A$2:$D$151,4,FALSE())</f>
        <v>168.44</v>
      </c>
      <c r="P16" s="4" t="n">
        <f aca="false">VLOOKUP(E16,DIM_PECA!$A$2:$F$501,6,FALSE())</f>
        <v>2005.76</v>
      </c>
      <c r="Q16" s="4" t="n">
        <f aca="false">VLOOKUP(E16,DIM_PECA!$A$2:$F$501,5,FALSE())</f>
        <v>966.33</v>
      </c>
      <c r="R16" s="4" t="n">
        <f aca="false">H16*P16</f>
        <v>8023.04</v>
      </c>
      <c r="S16" s="4" t="n">
        <f aca="false">O16*M16</f>
        <v>1667.556</v>
      </c>
      <c r="T16" s="4" t="n">
        <f aca="false">R16+S16</f>
        <v>9690.596</v>
      </c>
      <c r="U16" s="4" t="n">
        <f aca="false">T16-K16</f>
        <v>1499.116</v>
      </c>
      <c r="V16" s="4" t="n">
        <f aca="false">R16+S16-U16</f>
        <v>8191.48</v>
      </c>
      <c r="W16" s="5" t="str">
        <f aca="false">IF(ROUND(V16-K16,2)=0,"OK","ERRO")</f>
        <v>OK</v>
      </c>
      <c r="X16" s="5" t="str">
        <f aca="false">VLOOKUP(F16,DIM_SERVICO!$A$2:$D$151,3,FALSE())</f>
        <v>Suspensão</v>
      </c>
    </row>
    <row r="17" customFormat="false" ht="15" hidden="false" customHeight="false" outlineLevel="0" collapsed="false">
      <c r="A17" s="6" t="n">
        <v>16</v>
      </c>
      <c r="B17" s="6" t="n">
        <v>174</v>
      </c>
      <c r="C17" s="6" t="n">
        <v>245</v>
      </c>
      <c r="D17" s="6" t="n">
        <v>864</v>
      </c>
      <c r="E17" s="6" t="n">
        <v>343</v>
      </c>
      <c r="F17" s="6" t="n">
        <v>87</v>
      </c>
      <c r="G17" s="6" t="n">
        <v>795</v>
      </c>
      <c r="H17" s="6" t="n">
        <v>2</v>
      </c>
      <c r="I17" s="7" t="n">
        <v>856.84</v>
      </c>
      <c r="J17" s="7" t="n">
        <v>1231.26</v>
      </c>
      <c r="K17" s="7" t="n">
        <v>3099.76</v>
      </c>
      <c r="L17" s="7" t="n">
        <v>1693.66</v>
      </c>
      <c r="M17" s="6" t="n">
        <v>3.7</v>
      </c>
      <c r="N17" s="6" t="s">
        <v>25</v>
      </c>
      <c r="O17" s="8" t="n">
        <f aca="false">VLOOKUP(F17,DIM_SERVICO!$A$2:$D$151,4,FALSE())</f>
        <v>1231.26</v>
      </c>
      <c r="P17" s="8" t="n">
        <f aca="false">VLOOKUP(E17,DIM_PECA!$A$2:$F$501,6,FALSE())</f>
        <v>934.25</v>
      </c>
      <c r="Q17" s="8" t="n">
        <f aca="false">VLOOKUP(E17,DIM_PECA!$A$2:$F$501,5,FALSE())</f>
        <v>428.42</v>
      </c>
      <c r="R17" s="8" t="n">
        <f aca="false">H17*P17</f>
        <v>1868.5</v>
      </c>
      <c r="S17" s="8" t="n">
        <f aca="false">O17*M17</f>
        <v>4555.662</v>
      </c>
      <c r="T17" s="8" t="n">
        <f aca="false">R17+S17</f>
        <v>6424.162</v>
      </c>
      <c r="U17" s="8" t="n">
        <f aca="false">T17-K17</f>
        <v>3324.402</v>
      </c>
      <c r="V17" s="8" t="n">
        <f aca="false">R17+S17-U17</f>
        <v>3099.76</v>
      </c>
      <c r="W17" s="9" t="str">
        <f aca="false">IF(ROUND(V17-K17,2)=0,"OK","ERRO")</f>
        <v>OK</v>
      </c>
      <c r="X17" s="9" t="str">
        <f aca="false">VLOOKUP(F17,DIM_SERVICO!$A$2:$D$151,3,FALSE())</f>
        <v>Elétrica</v>
      </c>
    </row>
    <row r="18" customFormat="false" ht="15" hidden="false" customHeight="false" outlineLevel="0" collapsed="false">
      <c r="A18" s="2" t="n">
        <v>17</v>
      </c>
      <c r="B18" s="2" t="n">
        <v>1426</v>
      </c>
      <c r="C18" s="2" t="n">
        <v>1480</v>
      </c>
      <c r="D18" s="2" t="n">
        <v>454</v>
      </c>
      <c r="E18" s="2" t="n">
        <v>127</v>
      </c>
      <c r="F18" s="2" t="n">
        <v>51</v>
      </c>
      <c r="G18" s="2" t="n">
        <v>1711</v>
      </c>
      <c r="H18" s="2" t="n">
        <v>1</v>
      </c>
      <c r="I18" s="3" t="n">
        <v>918.13</v>
      </c>
      <c r="J18" s="3" t="n">
        <v>876</v>
      </c>
      <c r="K18" s="3" t="n">
        <v>2187.96</v>
      </c>
      <c r="L18" s="3" t="n">
        <v>792.23</v>
      </c>
      <c r="M18" s="2" t="n">
        <v>5.7</v>
      </c>
      <c r="N18" s="2" t="s">
        <v>24</v>
      </c>
      <c r="O18" s="4" t="n">
        <f aca="false">VLOOKUP(F18,DIM_SERVICO!$A$2:$D$151,4,FALSE())</f>
        <v>876</v>
      </c>
      <c r="P18" s="4" t="n">
        <f aca="false">VLOOKUP(E18,DIM_PECA!$A$2:$F$501,6,FALSE())</f>
        <v>1356.61</v>
      </c>
      <c r="Q18" s="4" t="n">
        <f aca="false">VLOOKUP(E18,DIM_PECA!$A$2:$F$501,5,FALSE())</f>
        <v>918.13</v>
      </c>
      <c r="R18" s="4" t="n">
        <f aca="false">H18*P18</f>
        <v>1356.61</v>
      </c>
      <c r="S18" s="4" t="n">
        <f aca="false">O18*M18</f>
        <v>4993.2</v>
      </c>
      <c r="T18" s="4" t="n">
        <f aca="false">R18+S18</f>
        <v>6349.81</v>
      </c>
      <c r="U18" s="4" t="n">
        <f aca="false">T18-K18</f>
        <v>4161.85</v>
      </c>
      <c r="V18" s="4" t="n">
        <f aca="false">R18+S18-U18</f>
        <v>2187.96</v>
      </c>
      <c r="W18" s="5" t="str">
        <f aca="false">IF(ROUND(V18-K18,2)=0,"OK","ERRO")</f>
        <v>OK</v>
      </c>
      <c r="X18" s="5" t="str">
        <f aca="false">VLOOKUP(F18,DIM_SERVICO!$A$2:$D$151,3,FALSE())</f>
        <v>Revisão</v>
      </c>
    </row>
    <row r="19" customFormat="false" ht="15" hidden="false" customHeight="false" outlineLevel="0" collapsed="false">
      <c r="A19" s="6" t="n">
        <v>18</v>
      </c>
      <c r="B19" s="6" t="n">
        <v>1426</v>
      </c>
      <c r="C19" s="6" t="n">
        <v>1480</v>
      </c>
      <c r="D19" s="6" t="n">
        <v>69</v>
      </c>
      <c r="E19" s="6" t="n">
        <v>181</v>
      </c>
      <c r="F19" s="6" t="n">
        <v>123</v>
      </c>
      <c r="G19" s="6" t="n">
        <v>837</v>
      </c>
      <c r="H19" s="6" t="n">
        <v>4</v>
      </c>
      <c r="I19" s="7" t="n">
        <v>1580.92</v>
      </c>
      <c r="J19" s="7" t="n">
        <v>2023.84</v>
      </c>
      <c r="K19" s="7" t="n">
        <v>4470.68</v>
      </c>
      <c r="L19" s="7" t="n">
        <v>2168.45</v>
      </c>
      <c r="M19" s="6" t="n">
        <v>10</v>
      </c>
      <c r="N19" s="6" t="s">
        <v>24</v>
      </c>
      <c r="O19" s="8" t="n">
        <f aca="false">VLOOKUP(F19,DIM_SERVICO!$A$2:$D$151,4,FALSE())</f>
        <v>2023.84</v>
      </c>
      <c r="P19" s="8" t="n">
        <f aca="false">VLOOKUP(E19,DIM_PECA!$A$2:$F$501,6,FALSE())</f>
        <v>611.71</v>
      </c>
      <c r="Q19" s="8" t="n">
        <f aca="false">VLOOKUP(E19,DIM_PECA!$A$2:$F$501,5,FALSE())</f>
        <v>395.23</v>
      </c>
      <c r="R19" s="8" t="n">
        <f aca="false">H19*P19</f>
        <v>2446.84</v>
      </c>
      <c r="S19" s="8" t="n">
        <f aca="false">O19*M19</f>
        <v>20238.4</v>
      </c>
      <c r="T19" s="8" t="n">
        <f aca="false">R19+S19</f>
        <v>22685.24</v>
      </c>
      <c r="U19" s="8" t="n">
        <f aca="false">T19-K19</f>
        <v>18214.56</v>
      </c>
      <c r="V19" s="8" t="n">
        <f aca="false">R19+S19-U19</f>
        <v>4470.68</v>
      </c>
      <c r="W19" s="9" t="str">
        <f aca="false">IF(ROUND(V19-K19,2)=0,"OK","ERRO")</f>
        <v>OK</v>
      </c>
      <c r="X19" s="9" t="str">
        <f aca="false">VLOOKUP(F19,DIM_SERVICO!$A$2:$D$151,3,FALSE())</f>
        <v>Diagnóstico</v>
      </c>
    </row>
    <row r="20" customFormat="false" ht="15" hidden="false" customHeight="false" outlineLevel="0" collapsed="false">
      <c r="A20" s="2" t="n">
        <v>19</v>
      </c>
      <c r="B20" s="2" t="n">
        <v>1154</v>
      </c>
      <c r="C20" s="2" t="n">
        <v>903</v>
      </c>
      <c r="D20" s="2" t="n">
        <v>936</v>
      </c>
      <c r="E20" s="2" t="n">
        <v>141</v>
      </c>
      <c r="F20" s="2" t="n">
        <v>103</v>
      </c>
      <c r="G20" s="2" t="n">
        <v>519</v>
      </c>
      <c r="H20" s="2" t="n">
        <v>1</v>
      </c>
      <c r="I20" s="3" t="n">
        <v>535.56</v>
      </c>
      <c r="J20" s="3" t="n">
        <v>96.61</v>
      </c>
      <c r="K20" s="3" t="n">
        <v>835.35</v>
      </c>
      <c r="L20" s="3" t="n">
        <v>263.76</v>
      </c>
      <c r="M20" s="2" t="n">
        <v>5.7</v>
      </c>
      <c r="N20" s="2" t="s">
        <v>24</v>
      </c>
      <c r="O20" s="4" t="n">
        <f aca="false">VLOOKUP(F20,DIM_SERVICO!$A$2:$D$151,4,FALSE())</f>
        <v>96.61</v>
      </c>
      <c r="P20" s="4" t="n">
        <f aca="false">VLOOKUP(E20,DIM_PECA!$A$2:$F$501,6,FALSE())</f>
        <v>831.56</v>
      </c>
      <c r="Q20" s="4" t="n">
        <f aca="false">VLOOKUP(E20,DIM_PECA!$A$2:$F$501,5,FALSE())</f>
        <v>535.56</v>
      </c>
      <c r="R20" s="4" t="n">
        <f aca="false">H20*P20</f>
        <v>831.56</v>
      </c>
      <c r="S20" s="4" t="n">
        <f aca="false">O20*M20</f>
        <v>550.677</v>
      </c>
      <c r="T20" s="4" t="n">
        <f aca="false">R20+S20</f>
        <v>1382.237</v>
      </c>
      <c r="U20" s="4" t="n">
        <f aca="false">T20-K20</f>
        <v>546.887</v>
      </c>
      <c r="V20" s="4" t="n">
        <f aca="false">R20+S20-U20</f>
        <v>835.35</v>
      </c>
      <c r="W20" s="5" t="str">
        <f aca="false">IF(ROUND(V20-K20,2)=0,"OK","ERRO")</f>
        <v>OK</v>
      </c>
      <c r="X20" s="5" t="str">
        <f aca="false">VLOOKUP(F20,DIM_SERVICO!$A$2:$D$151,3,FALSE())</f>
        <v>Revisão</v>
      </c>
    </row>
    <row r="21" customFormat="false" ht="15" hidden="false" customHeight="false" outlineLevel="0" collapsed="false">
      <c r="A21" s="6" t="n">
        <v>20</v>
      </c>
      <c r="B21" s="6" t="n">
        <v>796</v>
      </c>
      <c r="C21" s="6" t="n">
        <v>833</v>
      </c>
      <c r="D21" s="6" t="n">
        <v>711</v>
      </c>
      <c r="E21" s="6" t="n">
        <v>72</v>
      </c>
      <c r="F21" s="6" t="n">
        <v>30</v>
      </c>
      <c r="G21" s="6" t="n">
        <v>1229</v>
      </c>
      <c r="H21" s="6" t="n">
        <v>4</v>
      </c>
      <c r="I21" s="7" t="n">
        <v>3731.56</v>
      </c>
      <c r="J21" s="7" t="n">
        <v>986.98</v>
      </c>
      <c r="K21" s="7" t="n">
        <v>7681.83</v>
      </c>
      <c r="L21" s="7" t="n">
        <v>3474.11</v>
      </c>
      <c r="M21" s="6" t="n">
        <v>5.4</v>
      </c>
      <c r="N21" s="6" t="s">
        <v>26</v>
      </c>
      <c r="O21" s="8" t="n">
        <f aca="false">VLOOKUP(F21,DIM_SERVICO!$A$2:$D$151,4,FALSE())</f>
        <v>986.98</v>
      </c>
      <c r="P21" s="8" t="n">
        <f aca="false">VLOOKUP(E21,DIM_PECA!$A$2:$F$501,6,FALSE())</f>
        <v>1774.79</v>
      </c>
      <c r="Q21" s="8" t="n">
        <f aca="false">VLOOKUP(E21,DIM_PECA!$A$2:$F$501,5,FALSE())</f>
        <v>932.89</v>
      </c>
      <c r="R21" s="8" t="n">
        <f aca="false">H21*P21</f>
        <v>7099.16</v>
      </c>
      <c r="S21" s="8" t="n">
        <f aca="false">O21*M21</f>
        <v>5329.692</v>
      </c>
      <c r="T21" s="8" t="n">
        <f aca="false">R21+S21</f>
        <v>12428.852</v>
      </c>
      <c r="U21" s="8" t="n">
        <f aca="false">T21-K21</f>
        <v>4747.022</v>
      </c>
      <c r="V21" s="8" t="n">
        <f aca="false">R21+S21-U21</f>
        <v>7681.83</v>
      </c>
      <c r="W21" s="9" t="str">
        <f aca="false">IF(ROUND(V21-K21,2)=0,"OK","ERRO")</f>
        <v>OK</v>
      </c>
      <c r="X21" s="9" t="str">
        <f aca="false">VLOOKUP(F21,DIM_SERVICO!$A$2:$D$151,3,FALSE())</f>
        <v>Freios</v>
      </c>
    </row>
    <row r="22" customFormat="false" ht="15" hidden="false" customHeight="false" outlineLevel="0" collapsed="false">
      <c r="A22" s="2" t="n">
        <v>21</v>
      </c>
      <c r="B22" s="2" t="n">
        <v>1384</v>
      </c>
      <c r="C22" s="2" t="n">
        <v>1293</v>
      </c>
      <c r="D22" s="2" t="n">
        <v>218</v>
      </c>
      <c r="E22" s="2" t="n">
        <v>162</v>
      </c>
      <c r="F22" s="2" t="n">
        <v>88</v>
      </c>
      <c r="G22" s="2" t="n">
        <v>1360</v>
      </c>
      <c r="H22" s="2" t="n">
        <v>3</v>
      </c>
      <c r="I22" s="3" t="n">
        <v>649.8</v>
      </c>
      <c r="J22" s="3" t="n">
        <v>757.58</v>
      </c>
      <c r="K22" s="3" t="n">
        <v>1653.26</v>
      </c>
      <c r="L22" s="3" t="n">
        <v>698.45</v>
      </c>
      <c r="M22" s="2" t="n">
        <v>9.6</v>
      </c>
      <c r="N22" s="2" t="s">
        <v>25</v>
      </c>
      <c r="O22" s="4" t="n">
        <f aca="false">VLOOKUP(F22,DIM_SERVICO!$A$2:$D$151,4,FALSE())</f>
        <v>757.58</v>
      </c>
      <c r="P22" s="4" t="n">
        <f aca="false">VLOOKUP(E22,DIM_PECA!$A$2:$F$501,6,FALSE())</f>
        <v>298.56</v>
      </c>
      <c r="Q22" s="4" t="n">
        <f aca="false">VLOOKUP(E22,DIM_PECA!$A$2:$F$501,5,FALSE())</f>
        <v>216.6</v>
      </c>
      <c r="R22" s="4" t="n">
        <f aca="false">H22*P22</f>
        <v>895.68</v>
      </c>
      <c r="S22" s="4" t="n">
        <f aca="false">O22*M22</f>
        <v>7272.768</v>
      </c>
      <c r="T22" s="4" t="n">
        <f aca="false">R22+S22</f>
        <v>8168.448</v>
      </c>
      <c r="U22" s="4" t="n">
        <f aca="false">T22-K22</f>
        <v>6515.188</v>
      </c>
      <c r="V22" s="4" t="n">
        <f aca="false">R22+S22-U22</f>
        <v>1653.26</v>
      </c>
      <c r="W22" s="5" t="str">
        <f aca="false">IF(ROUND(V22-K22,2)=0,"OK","ERRO")</f>
        <v>OK</v>
      </c>
      <c r="X22" s="5" t="str">
        <f aca="false">VLOOKUP(F22,DIM_SERVICO!$A$2:$D$151,3,FALSE())</f>
        <v>Motor</v>
      </c>
    </row>
    <row r="23" customFormat="false" ht="15" hidden="false" customHeight="false" outlineLevel="0" collapsed="false">
      <c r="A23" s="6" t="n">
        <v>22</v>
      </c>
      <c r="B23" s="6" t="n">
        <v>1347</v>
      </c>
      <c r="C23" s="6" t="n">
        <v>824</v>
      </c>
      <c r="D23" s="6" t="n">
        <v>827</v>
      </c>
      <c r="E23" s="6" t="n">
        <v>90</v>
      </c>
      <c r="F23" s="6" t="n">
        <v>46</v>
      </c>
      <c r="G23" s="6" t="n">
        <v>1173</v>
      </c>
      <c r="H23" s="6" t="n">
        <v>1</v>
      </c>
      <c r="I23" s="7" t="n">
        <v>1136.68</v>
      </c>
      <c r="J23" s="7" t="n">
        <v>1282.78</v>
      </c>
      <c r="K23" s="7" t="n">
        <v>3473.04</v>
      </c>
      <c r="L23" s="7" t="n">
        <v>1845.82</v>
      </c>
      <c r="M23" s="6" t="n">
        <v>5.3</v>
      </c>
      <c r="N23" s="6" t="s">
        <v>27</v>
      </c>
      <c r="O23" s="8" t="n">
        <f aca="false">VLOOKUP(F23,DIM_SERVICO!$A$2:$D$151,4,FALSE())</f>
        <v>1282.78</v>
      </c>
      <c r="P23" s="8" t="n">
        <f aca="false">VLOOKUP(E23,DIM_PECA!$A$2:$F$501,6,FALSE())</f>
        <v>2261.14</v>
      </c>
      <c r="Q23" s="8" t="n">
        <f aca="false">VLOOKUP(E23,DIM_PECA!$A$2:$F$501,5,FALSE())</f>
        <v>1136.68</v>
      </c>
      <c r="R23" s="8" t="n">
        <f aca="false">H23*P23</f>
        <v>2261.14</v>
      </c>
      <c r="S23" s="8" t="n">
        <f aca="false">O23*M23</f>
        <v>6798.734</v>
      </c>
      <c r="T23" s="8" t="n">
        <f aca="false">R23+S23</f>
        <v>9059.874</v>
      </c>
      <c r="U23" s="8" t="n">
        <f aca="false">T23-K23</f>
        <v>5586.834</v>
      </c>
      <c r="V23" s="8" t="n">
        <f aca="false">R23+S23-U23</f>
        <v>3473.04</v>
      </c>
      <c r="W23" s="9" t="str">
        <f aca="false">IF(ROUND(V23-K23,2)=0,"OK","ERRO")</f>
        <v>OK</v>
      </c>
      <c r="X23" s="9" t="str">
        <f aca="false">VLOOKUP(F23,DIM_SERVICO!$A$2:$D$151,3,FALSE())</f>
        <v>Revisão</v>
      </c>
    </row>
    <row r="24" customFormat="false" ht="15" hidden="false" customHeight="false" outlineLevel="0" collapsed="false">
      <c r="A24" s="2" t="n">
        <v>23</v>
      </c>
      <c r="B24" s="2" t="n">
        <v>181</v>
      </c>
      <c r="C24" s="2" t="n">
        <v>1262</v>
      </c>
      <c r="D24" s="2" t="n">
        <v>484</v>
      </c>
      <c r="E24" s="2" t="n">
        <v>23</v>
      </c>
      <c r="F24" s="2" t="n">
        <v>111</v>
      </c>
      <c r="G24" s="2" t="n">
        <v>1365</v>
      </c>
      <c r="H24" s="2" t="n">
        <v>1</v>
      </c>
      <c r="I24" s="3" t="n">
        <v>234.93</v>
      </c>
      <c r="J24" s="3" t="n">
        <v>1482.2</v>
      </c>
      <c r="K24" s="3" t="n">
        <v>1968.93</v>
      </c>
      <c r="L24" s="3" t="n">
        <v>1122.02</v>
      </c>
      <c r="M24" s="2" t="n">
        <v>3.5</v>
      </c>
      <c r="N24" s="2" t="s">
        <v>26</v>
      </c>
      <c r="O24" s="4" t="n">
        <f aca="false">VLOOKUP(F24,DIM_SERVICO!$A$2:$D$151,4,FALSE())</f>
        <v>1482.2</v>
      </c>
      <c r="P24" s="4" t="n">
        <f aca="false">VLOOKUP(E24,DIM_PECA!$A$2:$F$501,6,FALSE())</f>
        <v>486.73</v>
      </c>
      <c r="Q24" s="4" t="n">
        <f aca="false">VLOOKUP(E24,DIM_PECA!$A$2:$F$501,5,FALSE())</f>
        <v>234.93</v>
      </c>
      <c r="R24" s="4" t="n">
        <f aca="false">H24*P24</f>
        <v>486.73</v>
      </c>
      <c r="S24" s="4" t="n">
        <f aca="false">O24*M24</f>
        <v>5187.7</v>
      </c>
      <c r="T24" s="4" t="n">
        <f aca="false">R24+S24</f>
        <v>5674.43</v>
      </c>
      <c r="U24" s="4" t="n">
        <f aca="false">T24-K24</f>
        <v>3705.5</v>
      </c>
      <c r="V24" s="4" t="n">
        <f aca="false">R24+S24-U24</f>
        <v>1968.93</v>
      </c>
      <c r="W24" s="5" t="str">
        <f aca="false">IF(ROUND(V24-K24,2)=0,"OK","ERRO")</f>
        <v>OK</v>
      </c>
      <c r="X24" s="5" t="str">
        <f aca="false">VLOOKUP(F24,DIM_SERVICO!$A$2:$D$151,3,FALSE())</f>
        <v>Pintura</v>
      </c>
    </row>
    <row r="25" customFormat="false" ht="15" hidden="false" customHeight="false" outlineLevel="0" collapsed="false">
      <c r="A25" s="6" t="n">
        <v>24</v>
      </c>
      <c r="B25" s="6" t="n">
        <v>1080</v>
      </c>
      <c r="C25" s="6" t="n">
        <v>467</v>
      </c>
      <c r="D25" s="6" t="n">
        <v>928</v>
      </c>
      <c r="E25" s="6" t="n">
        <v>84</v>
      </c>
      <c r="F25" s="6" t="n">
        <v>113</v>
      </c>
      <c r="G25" s="6" t="n">
        <v>1469</v>
      </c>
      <c r="H25" s="6" t="n">
        <v>2</v>
      </c>
      <c r="I25" s="7" t="n">
        <v>1241.58</v>
      </c>
      <c r="J25" s="7" t="n">
        <v>1709.25</v>
      </c>
      <c r="K25" s="7" t="n">
        <v>3617.48</v>
      </c>
      <c r="L25" s="7" t="n">
        <v>1638.48</v>
      </c>
      <c r="M25" s="6" t="n">
        <v>6.5</v>
      </c>
      <c r="N25" s="6" t="s">
        <v>25</v>
      </c>
      <c r="O25" s="8" t="n">
        <f aca="false">VLOOKUP(F25,DIM_SERVICO!$A$2:$D$151,4,FALSE())</f>
        <v>1709.25</v>
      </c>
      <c r="P25" s="8" t="n">
        <f aca="false">VLOOKUP(E25,DIM_PECA!$A$2:$F$501,6,FALSE())</f>
        <v>1049.31</v>
      </c>
      <c r="Q25" s="8" t="n">
        <f aca="false">VLOOKUP(E25,DIM_PECA!$A$2:$F$501,5,FALSE())</f>
        <v>620.79</v>
      </c>
      <c r="R25" s="8" t="n">
        <f aca="false">H25*P25</f>
        <v>2098.62</v>
      </c>
      <c r="S25" s="8" t="n">
        <f aca="false">O25*M25</f>
        <v>11110.125</v>
      </c>
      <c r="T25" s="8" t="n">
        <f aca="false">R25+S25</f>
        <v>13208.745</v>
      </c>
      <c r="U25" s="8" t="n">
        <f aca="false">T25-K25</f>
        <v>9591.265</v>
      </c>
      <c r="V25" s="8" t="n">
        <f aca="false">R25+S25-U25</f>
        <v>3617.48</v>
      </c>
      <c r="W25" s="9" t="str">
        <f aca="false">IF(ROUND(V25-K25,2)=0,"OK","ERRO")</f>
        <v>OK</v>
      </c>
      <c r="X25" s="9" t="str">
        <f aca="false">VLOOKUP(F25,DIM_SERVICO!$A$2:$D$151,3,FALSE())</f>
        <v>Pintura</v>
      </c>
    </row>
    <row r="26" customFormat="false" ht="15" hidden="false" customHeight="false" outlineLevel="0" collapsed="false">
      <c r="A26" s="2" t="n">
        <v>25</v>
      </c>
      <c r="B26" s="2" t="n">
        <v>325</v>
      </c>
      <c r="C26" s="2" t="n">
        <v>485</v>
      </c>
      <c r="D26" s="2" t="n">
        <v>1102</v>
      </c>
      <c r="E26" s="2" t="n">
        <v>70</v>
      </c>
      <c r="F26" s="2" t="n">
        <v>52</v>
      </c>
      <c r="G26" s="2" t="n">
        <v>1709</v>
      </c>
      <c r="H26" s="2" t="n">
        <v>4</v>
      </c>
      <c r="I26" s="3" t="n">
        <v>2288.4</v>
      </c>
      <c r="J26" s="3" t="n">
        <v>188.62</v>
      </c>
      <c r="K26" s="3" t="n">
        <v>4018.42</v>
      </c>
      <c r="L26" s="3" t="n">
        <v>1658.15</v>
      </c>
      <c r="M26" s="2" t="n">
        <v>10.6</v>
      </c>
      <c r="N26" s="2" t="s">
        <v>27</v>
      </c>
      <c r="O26" s="4" t="n">
        <f aca="false">VLOOKUP(F26,DIM_SERVICO!$A$2:$D$151,4,FALSE())</f>
        <v>188.62</v>
      </c>
      <c r="P26" s="4" t="n">
        <f aca="false">VLOOKUP(E26,DIM_PECA!$A$2:$F$501,6,FALSE())</f>
        <v>957.45</v>
      </c>
      <c r="Q26" s="4" t="n">
        <f aca="false">VLOOKUP(E26,DIM_PECA!$A$2:$F$501,5,FALSE())</f>
        <v>572.1</v>
      </c>
      <c r="R26" s="4" t="n">
        <f aca="false">H26*P26</f>
        <v>3829.8</v>
      </c>
      <c r="S26" s="4" t="n">
        <f aca="false">O26*M26</f>
        <v>1999.372</v>
      </c>
      <c r="T26" s="4" t="n">
        <f aca="false">R26+S26</f>
        <v>5829.172</v>
      </c>
      <c r="U26" s="4" t="n">
        <f aca="false">T26-K26</f>
        <v>1810.752</v>
      </c>
      <c r="V26" s="4" t="n">
        <f aca="false">R26+S26-U26</f>
        <v>4018.42</v>
      </c>
      <c r="W26" s="5" t="str">
        <f aca="false">IF(ROUND(V26-K26,2)=0,"OK","ERRO")</f>
        <v>OK</v>
      </c>
      <c r="X26" s="5" t="str">
        <f aca="false">VLOOKUP(F26,DIM_SERVICO!$A$2:$D$151,3,FALSE())</f>
        <v>Funilaria</v>
      </c>
    </row>
    <row r="27" customFormat="false" ht="15" hidden="false" customHeight="false" outlineLevel="0" collapsed="false">
      <c r="A27" s="6" t="n">
        <v>26</v>
      </c>
      <c r="B27" s="6" t="n">
        <v>1205</v>
      </c>
      <c r="C27" s="6" t="n">
        <v>867</v>
      </c>
      <c r="D27" s="6" t="n">
        <v>1162</v>
      </c>
      <c r="E27" s="6" t="n">
        <v>257</v>
      </c>
      <c r="F27" s="6" t="n">
        <v>108</v>
      </c>
      <c r="G27" s="6" t="n">
        <v>383</v>
      </c>
      <c r="H27" s="6" t="n">
        <v>4</v>
      </c>
      <c r="I27" s="7" t="n">
        <v>1516.56</v>
      </c>
      <c r="J27" s="7" t="n">
        <v>1178.47</v>
      </c>
      <c r="K27" s="7" t="n">
        <v>3635.99</v>
      </c>
      <c r="L27" s="7" t="n">
        <v>1475.29</v>
      </c>
      <c r="M27" s="6" t="n">
        <v>3.1</v>
      </c>
      <c r="N27" s="6" t="s">
        <v>24</v>
      </c>
      <c r="O27" s="8" t="n">
        <f aca="false">VLOOKUP(F27,DIM_SERVICO!$A$2:$D$151,4,FALSE())</f>
        <v>1178.47</v>
      </c>
      <c r="P27" s="8" t="n">
        <f aca="false">VLOOKUP(E27,DIM_PECA!$A$2:$F$501,6,FALSE())</f>
        <v>632.93</v>
      </c>
      <c r="Q27" s="8" t="n">
        <f aca="false">VLOOKUP(E27,DIM_PECA!$A$2:$F$501,5,FALSE())</f>
        <v>379.14</v>
      </c>
      <c r="R27" s="8" t="n">
        <f aca="false">H27*P27</f>
        <v>2531.72</v>
      </c>
      <c r="S27" s="8" t="n">
        <f aca="false">O27*M27</f>
        <v>3653.257</v>
      </c>
      <c r="T27" s="8" t="n">
        <f aca="false">R27+S27</f>
        <v>6184.977</v>
      </c>
      <c r="U27" s="8" t="n">
        <f aca="false">T27-K27</f>
        <v>2548.987</v>
      </c>
      <c r="V27" s="8" t="n">
        <f aca="false">R27+S27-U27</f>
        <v>3635.99</v>
      </c>
      <c r="W27" s="9" t="str">
        <f aca="false">IF(ROUND(V27-K27,2)=0,"OK","ERRO")</f>
        <v>OK</v>
      </c>
      <c r="X27" s="9" t="str">
        <f aca="false">VLOOKUP(F27,DIM_SERVICO!$A$2:$D$151,3,FALSE())</f>
        <v>Funilaria</v>
      </c>
    </row>
    <row r="28" customFormat="false" ht="15" hidden="false" customHeight="false" outlineLevel="0" collapsed="false">
      <c r="A28" s="2" t="n">
        <v>27</v>
      </c>
      <c r="B28" s="2" t="n">
        <v>950</v>
      </c>
      <c r="C28" s="2" t="n">
        <v>823</v>
      </c>
      <c r="D28" s="2" t="n">
        <v>692</v>
      </c>
      <c r="E28" s="2" t="n">
        <v>255</v>
      </c>
      <c r="F28" s="2" t="n">
        <v>69</v>
      </c>
      <c r="G28" s="2" t="n">
        <v>1314</v>
      </c>
      <c r="H28" s="2" t="n">
        <v>1</v>
      </c>
      <c r="I28" s="3" t="n">
        <v>990.24</v>
      </c>
      <c r="J28" s="3" t="n">
        <v>905.47</v>
      </c>
      <c r="K28" s="3" t="n">
        <v>2690.38</v>
      </c>
      <c r="L28" s="3" t="n">
        <v>1217.72</v>
      </c>
      <c r="M28" s="2" t="n">
        <v>6.1</v>
      </c>
      <c r="N28" s="2" t="s">
        <v>24</v>
      </c>
      <c r="O28" s="4" t="n">
        <f aca="false">VLOOKUP(F28,DIM_SERVICO!$A$2:$D$151,4,FALSE())</f>
        <v>905.47</v>
      </c>
      <c r="P28" s="4" t="n">
        <f aca="false">VLOOKUP(E28,DIM_PECA!$A$2:$F$501,6,FALSE())</f>
        <v>1926.51</v>
      </c>
      <c r="Q28" s="4" t="n">
        <f aca="false">VLOOKUP(E28,DIM_PECA!$A$2:$F$501,5,FALSE())</f>
        <v>990.24</v>
      </c>
      <c r="R28" s="4" t="n">
        <f aca="false">H28*P28</f>
        <v>1926.51</v>
      </c>
      <c r="S28" s="4" t="n">
        <f aca="false">O28*M28</f>
        <v>5523.367</v>
      </c>
      <c r="T28" s="4" t="n">
        <f aca="false">R28+S28</f>
        <v>7449.877</v>
      </c>
      <c r="U28" s="4" t="n">
        <f aca="false">T28-K28</f>
        <v>4759.497</v>
      </c>
      <c r="V28" s="4" t="n">
        <f aca="false">R28+S28-U28</f>
        <v>2690.38</v>
      </c>
      <c r="W28" s="5" t="str">
        <f aca="false">IF(ROUND(V28-K28,2)=0,"OK","ERRO")</f>
        <v>OK</v>
      </c>
      <c r="X28" s="5" t="str">
        <f aca="false">VLOOKUP(F28,DIM_SERVICO!$A$2:$D$151,3,FALSE())</f>
        <v>Motor</v>
      </c>
    </row>
    <row r="29" customFormat="false" ht="15" hidden="false" customHeight="false" outlineLevel="0" collapsed="false">
      <c r="A29" s="6" t="n">
        <v>28</v>
      </c>
      <c r="B29" s="6" t="n">
        <v>301</v>
      </c>
      <c r="C29" s="6" t="n">
        <v>163</v>
      </c>
      <c r="D29" s="6" t="n">
        <v>549</v>
      </c>
      <c r="E29" s="6" t="n">
        <v>427</v>
      </c>
      <c r="F29" s="6" t="n">
        <v>149</v>
      </c>
      <c r="G29" s="6" t="n">
        <v>330</v>
      </c>
      <c r="H29" s="6" t="n">
        <v>4</v>
      </c>
      <c r="I29" s="7" t="n">
        <v>2572.36</v>
      </c>
      <c r="J29" s="7" t="n">
        <v>142.63</v>
      </c>
      <c r="K29" s="7" t="n">
        <v>3747.79</v>
      </c>
      <c r="L29" s="7" t="n">
        <v>1111.79</v>
      </c>
      <c r="M29" s="6" t="n">
        <v>4.7</v>
      </c>
      <c r="N29" s="6" t="s">
        <v>27</v>
      </c>
      <c r="O29" s="8" t="n">
        <f aca="false">VLOOKUP(F29,DIM_SERVICO!$A$2:$D$151,4,FALSE())</f>
        <v>142.63</v>
      </c>
      <c r="P29" s="8" t="n">
        <f aca="false">VLOOKUP(E29,DIM_PECA!$A$2:$F$501,6,FALSE())</f>
        <v>901.29</v>
      </c>
      <c r="Q29" s="8" t="n">
        <f aca="false">VLOOKUP(E29,DIM_PECA!$A$2:$F$501,5,FALSE())</f>
        <v>643.09</v>
      </c>
      <c r="R29" s="8" t="n">
        <f aca="false">H29*P29</f>
        <v>3605.16</v>
      </c>
      <c r="S29" s="8" t="n">
        <f aca="false">O29*M29</f>
        <v>670.361</v>
      </c>
      <c r="T29" s="8" t="n">
        <f aca="false">R29+S29</f>
        <v>4275.521</v>
      </c>
      <c r="U29" s="8" t="n">
        <f aca="false">T29-K29</f>
        <v>527.731</v>
      </c>
      <c r="V29" s="8" t="n">
        <f aca="false">R29+S29-U29</f>
        <v>3747.79</v>
      </c>
      <c r="W29" s="9" t="str">
        <f aca="false">IF(ROUND(V29-K29,2)=0,"OK","ERRO")</f>
        <v>OK</v>
      </c>
      <c r="X29" s="9" t="str">
        <f aca="false">VLOOKUP(F29,DIM_SERVICO!$A$2:$D$151,3,FALSE())</f>
        <v>Motor</v>
      </c>
    </row>
    <row r="30" customFormat="false" ht="15" hidden="false" customHeight="false" outlineLevel="0" collapsed="false">
      <c r="A30" s="2" t="n">
        <v>29</v>
      </c>
      <c r="B30" s="2" t="n">
        <v>1408</v>
      </c>
      <c r="C30" s="2" t="n">
        <v>1327</v>
      </c>
      <c r="D30" s="2" t="n">
        <v>734</v>
      </c>
      <c r="E30" s="2" t="n">
        <v>17</v>
      </c>
      <c r="F30" s="2" t="n">
        <v>14</v>
      </c>
      <c r="G30" s="2" t="n">
        <v>1495</v>
      </c>
      <c r="H30" s="2" t="n">
        <v>1</v>
      </c>
      <c r="I30" s="3" t="n">
        <v>107.2</v>
      </c>
      <c r="J30" s="3" t="n">
        <v>1939.75</v>
      </c>
      <c r="K30" s="3" t="n">
        <v>2105.16</v>
      </c>
      <c r="L30" s="3" t="n">
        <v>1000.18</v>
      </c>
      <c r="M30" s="2" t="n">
        <v>10.4</v>
      </c>
      <c r="N30" s="2" t="s">
        <v>24</v>
      </c>
      <c r="O30" s="4" t="n">
        <f aca="false">VLOOKUP(F30,DIM_SERVICO!$A$2:$D$151,4,FALSE())</f>
        <v>1939.75</v>
      </c>
      <c r="P30" s="4" t="n">
        <f aca="false">VLOOKUP(E30,DIM_PECA!$A$2:$F$501,6,FALSE())</f>
        <v>165.41</v>
      </c>
      <c r="Q30" s="4" t="n">
        <f aca="false">VLOOKUP(E30,DIM_PECA!$A$2:$F$501,5,FALSE())</f>
        <v>107.2</v>
      </c>
      <c r="R30" s="4" t="n">
        <f aca="false">H30*P30</f>
        <v>165.41</v>
      </c>
      <c r="S30" s="4" t="n">
        <f aca="false">O30*M30</f>
        <v>20173.4</v>
      </c>
      <c r="T30" s="4" t="n">
        <f aca="false">R30+S30</f>
        <v>20338.81</v>
      </c>
      <c r="U30" s="4" t="n">
        <f aca="false">T30-K30</f>
        <v>18233.65</v>
      </c>
      <c r="V30" s="4" t="n">
        <f aca="false">R30+S30-U30</f>
        <v>2105.16</v>
      </c>
      <c r="W30" s="5" t="str">
        <f aca="false">IF(ROUND(V30-K30,2)=0,"OK","ERRO")</f>
        <v>OK</v>
      </c>
      <c r="X30" s="5" t="str">
        <f aca="false">VLOOKUP(F30,DIM_SERVICO!$A$2:$D$151,3,FALSE())</f>
        <v>Funilaria</v>
      </c>
    </row>
    <row r="31" customFormat="false" ht="15" hidden="false" customHeight="false" outlineLevel="0" collapsed="false">
      <c r="A31" s="6" t="n">
        <v>30</v>
      </c>
      <c r="B31" s="6" t="n">
        <v>1315</v>
      </c>
      <c r="C31" s="6" t="n">
        <v>800</v>
      </c>
      <c r="D31" s="6" t="n">
        <v>1141</v>
      </c>
      <c r="E31" s="6" t="n">
        <v>424</v>
      </c>
      <c r="F31" s="6" t="n">
        <v>10</v>
      </c>
      <c r="G31" s="6" t="n">
        <v>1200</v>
      </c>
      <c r="H31" s="6" t="n">
        <v>4</v>
      </c>
      <c r="I31" s="7" t="n">
        <v>4336.96</v>
      </c>
      <c r="J31" s="7" t="n">
        <v>338.82</v>
      </c>
      <c r="K31" s="7" t="n">
        <v>9534.1</v>
      </c>
      <c r="L31" s="7" t="n">
        <v>5059.26</v>
      </c>
      <c r="M31" s="6" t="n">
        <v>0.9</v>
      </c>
      <c r="N31" s="6" t="s">
        <v>26</v>
      </c>
      <c r="O31" s="8" t="n">
        <f aca="false">VLOOKUP(F31,DIM_SERVICO!$A$2:$D$151,4,FALSE())</f>
        <v>338.82</v>
      </c>
      <c r="P31" s="8" t="n">
        <f aca="false">VLOOKUP(E31,DIM_PECA!$A$2:$F$501,6,FALSE())</f>
        <v>2298.82</v>
      </c>
      <c r="Q31" s="8" t="n">
        <f aca="false">VLOOKUP(E31,DIM_PECA!$A$2:$F$501,5,FALSE())</f>
        <v>1084.24</v>
      </c>
      <c r="R31" s="8" t="n">
        <f aca="false">H31*P31</f>
        <v>9195.28</v>
      </c>
      <c r="S31" s="8" t="n">
        <f aca="false">O31*M31</f>
        <v>304.938</v>
      </c>
      <c r="T31" s="8" t="n">
        <f aca="false">R31+S31</f>
        <v>9500.218</v>
      </c>
      <c r="U31" s="8" t="n">
        <f aca="false">T31-K31</f>
        <v>-33.8819999999996</v>
      </c>
      <c r="V31" s="8" t="n">
        <f aca="false">R31+S31-U31</f>
        <v>9534.1</v>
      </c>
      <c r="W31" s="9" t="str">
        <f aca="false">IF(ROUND(V31-K31,2)=0,"OK","ERRO")</f>
        <v>OK</v>
      </c>
      <c r="X31" s="9" t="str">
        <f aca="false">VLOOKUP(F31,DIM_SERVICO!$A$2:$D$151,3,FALSE())</f>
        <v>Diagnóstico</v>
      </c>
    </row>
    <row r="32" customFormat="false" ht="15" hidden="false" customHeight="false" outlineLevel="0" collapsed="false">
      <c r="A32" s="2" t="n">
        <v>31</v>
      </c>
      <c r="B32" s="2" t="n">
        <v>179</v>
      </c>
      <c r="C32" s="2" t="n">
        <v>172</v>
      </c>
      <c r="D32" s="2" t="n">
        <v>11</v>
      </c>
      <c r="E32" s="2" t="n">
        <v>25</v>
      </c>
      <c r="F32" s="2" t="n">
        <v>28</v>
      </c>
      <c r="G32" s="2" t="n">
        <v>881</v>
      </c>
      <c r="H32" s="2" t="n">
        <v>4</v>
      </c>
      <c r="I32" s="3" t="n">
        <v>3314.36</v>
      </c>
      <c r="J32" s="3" t="n">
        <v>2152.12</v>
      </c>
      <c r="K32" s="3" t="n">
        <v>7209.84</v>
      </c>
      <c r="L32" s="3" t="n">
        <v>2783.04</v>
      </c>
      <c r="M32" s="2" t="n">
        <v>10.5</v>
      </c>
      <c r="N32" s="2" t="s">
        <v>25</v>
      </c>
      <c r="O32" s="4" t="n">
        <f aca="false">VLOOKUP(F32,DIM_SERVICO!$A$2:$D$151,4,FALSE())</f>
        <v>2152.12</v>
      </c>
      <c r="P32" s="4" t="n">
        <f aca="false">VLOOKUP(E32,DIM_PECA!$A$2:$F$501,6,FALSE())</f>
        <v>1264.43</v>
      </c>
      <c r="Q32" s="4" t="n">
        <f aca="false">VLOOKUP(E32,DIM_PECA!$A$2:$F$501,5,FALSE())</f>
        <v>828.59</v>
      </c>
      <c r="R32" s="4" t="n">
        <f aca="false">H32*P32</f>
        <v>5057.72</v>
      </c>
      <c r="S32" s="4" t="n">
        <f aca="false">O32*M32</f>
        <v>22597.26</v>
      </c>
      <c r="T32" s="4" t="n">
        <f aca="false">R32+S32</f>
        <v>27654.98</v>
      </c>
      <c r="U32" s="4" t="n">
        <f aca="false">T32-K32</f>
        <v>20445.14</v>
      </c>
      <c r="V32" s="4" t="n">
        <f aca="false">R32+S32-U32</f>
        <v>7209.84</v>
      </c>
      <c r="W32" s="5" t="str">
        <f aca="false">IF(ROUND(V32-K32,2)=0,"OK","ERRO")</f>
        <v>OK</v>
      </c>
      <c r="X32" s="5" t="str">
        <f aca="false">VLOOKUP(F32,DIM_SERVICO!$A$2:$D$151,3,FALSE())</f>
        <v>Freios</v>
      </c>
    </row>
    <row r="33" customFormat="false" ht="15" hidden="false" customHeight="false" outlineLevel="0" collapsed="false">
      <c r="A33" s="6" t="n">
        <v>32</v>
      </c>
      <c r="B33" s="6" t="n">
        <v>118</v>
      </c>
      <c r="C33" s="6" t="n">
        <v>633</v>
      </c>
      <c r="D33" s="6" t="n">
        <v>613</v>
      </c>
      <c r="E33" s="6" t="n">
        <v>483</v>
      </c>
      <c r="F33" s="6" t="n">
        <v>80</v>
      </c>
      <c r="G33" s="6" t="n">
        <v>1476</v>
      </c>
      <c r="H33" s="6" t="n">
        <v>2</v>
      </c>
      <c r="I33" s="7" t="n">
        <v>504.22</v>
      </c>
      <c r="J33" s="7" t="n">
        <v>2134.39</v>
      </c>
      <c r="K33" s="7" t="n">
        <v>3196.01</v>
      </c>
      <c r="L33" s="7" t="n">
        <v>1921.41</v>
      </c>
      <c r="M33" s="6" t="n">
        <v>10.7</v>
      </c>
      <c r="N33" s="6" t="s">
        <v>24</v>
      </c>
      <c r="O33" s="8" t="n">
        <f aca="false">VLOOKUP(F33,DIM_SERVICO!$A$2:$D$151,4,FALSE())</f>
        <v>2134.39</v>
      </c>
      <c r="P33" s="8" t="n">
        <f aca="false">VLOOKUP(E33,DIM_PECA!$A$2:$F$501,6,FALSE())</f>
        <v>530.81</v>
      </c>
      <c r="Q33" s="8" t="n">
        <f aca="false">VLOOKUP(E33,DIM_PECA!$A$2:$F$501,5,FALSE())</f>
        <v>252.11</v>
      </c>
      <c r="R33" s="8" t="n">
        <f aca="false">H33*P33</f>
        <v>1061.62</v>
      </c>
      <c r="S33" s="8" t="n">
        <f aca="false">O33*M33</f>
        <v>22837.973</v>
      </c>
      <c r="T33" s="8" t="n">
        <f aca="false">R33+S33</f>
        <v>23899.593</v>
      </c>
      <c r="U33" s="8" t="n">
        <f aca="false">T33-K33</f>
        <v>20703.583</v>
      </c>
      <c r="V33" s="8" t="n">
        <f aca="false">R33+S33-U33</f>
        <v>3196.01</v>
      </c>
      <c r="W33" s="9" t="str">
        <f aca="false">IF(ROUND(V33-K33,2)=0,"OK","ERRO")</f>
        <v>OK</v>
      </c>
      <c r="X33" s="9" t="str">
        <f aca="false">VLOOKUP(F33,DIM_SERVICO!$A$2:$D$151,3,FALSE())</f>
        <v>Suspensão</v>
      </c>
    </row>
    <row r="34" customFormat="false" ht="15" hidden="false" customHeight="false" outlineLevel="0" collapsed="false">
      <c r="A34" s="2" t="n">
        <v>33</v>
      </c>
      <c r="B34" s="2" t="n">
        <v>791</v>
      </c>
      <c r="C34" s="2" t="n">
        <v>551</v>
      </c>
      <c r="D34" s="2" t="n">
        <v>735</v>
      </c>
      <c r="E34" s="2" t="n">
        <v>67</v>
      </c>
      <c r="F34" s="2" t="n">
        <v>126</v>
      </c>
      <c r="G34" s="2" t="n">
        <v>1490</v>
      </c>
      <c r="H34" s="2" t="n">
        <v>3</v>
      </c>
      <c r="I34" s="3" t="n">
        <v>802.98</v>
      </c>
      <c r="J34" s="3" t="n">
        <v>722.81</v>
      </c>
      <c r="K34" s="3" t="n">
        <v>1762.31</v>
      </c>
      <c r="L34" s="3" t="n">
        <v>596.55</v>
      </c>
      <c r="M34" s="2" t="n">
        <v>2.3</v>
      </c>
      <c r="N34" s="2" t="s">
        <v>27</v>
      </c>
      <c r="O34" s="4" t="n">
        <f aca="false">VLOOKUP(F34,DIM_SERVICO!$A$2:$D$151,4,FALSE())</f>
        <v>722.81</v>
      </c>
      <c r="P34" s="4" t="n">
        <f aca="false">VLOOKUP(E34,DIM_PECA!$A$2:$F$501,6,FALSE())</f>
        <v>411.77</v>
      </c>
      <c r="Q34" s="4" t="n">
        <f aca="false">VLOOKUP(E34,DIM_PECA!$A$2:$F$501,5,FALSE())</f>
        <v>267.66</v>
      </c>
      <c r="R34" s="4" t="n">
        <f aca="false">H34*P34</f>
        <v>1235.31</v>
      </c>
      <c r="S34" s="4" t="n">
        <f aca="false">O34*M34</f>
        <v>1662.463</v>
      </c>
      <c r="T34" s="4" t="n">
        <f aca="false">R34+S34</f>
        <v>2897.773</v>
      </c>
      <c r="U34" s="4" t="n">
        <f aca="false">T34-K34</f>
        <v>1135.463</v>
      </c>
      <c r="V34" s="4" t="n">
        <f aca="false">R34+S34-U34</f>
        <v>1762.31</v>
      </c>
      <c r="W34" s="5" t="str">
        <f aca="false">IF(ROUND(V34-K34,2)=0,"OK","ERRO")</f>
        <v>OK</v>
      </c>
      <c r="X34" s="5" t="str">
        <f aca="false">VLOOKUP(F34,DIM_SERVICO!$A$2:$D$151,3,FALSE())</f>
        <v>Freios</v>
      </c>
    </row>
    <row r="35" customFormat="false" ht="15" hidden="false" customHeight="false" outlineLevel="0" collapsed="false">
      <c r="A35" s="6" t="n">
        <v>34</v>
      </c>
      <c r="B35" s="6" t="n">
        <v>793</v>
      </c>
      <c r="C35" s="6" t="n">
        <v>9</v>
      </c>
      <c r="D35" s="6" t="n">
        <v>1159</v>
      </c>
      <c r="E35" s="6" t="n">
        <v>162</v>
      </c>
      <c r="F35" s="6" t="n">
        <v>47</v>
      </c>
      <c r="G35" s="6" t="n">
        <v>1683</v>
      </c>
      <c r="H35" s="6" t="n">
        <v>2</v>
      </c>
      <c r="I35" s="7" t="n">
        <v>433.2</v>
      </c>
      <c r="J35" s="7" t="n">
        <v>399.81</v>
      </c>
      <c r="K35" s="7" t="n">
        <v>996.93</v>
      </c>
      <c r="L35" s="7" t="n">
        <v>370.6</v>
      </c>
      <c r="M35" s="6" t="n">
        <v>7.1</v>
      </c>
      <c r="N35" s="6" t="s">
        <v>25</v>
      </c>
      <c r="O35" s="8" t="n">
        <f aca="false">VLOOKUP(F35,DIM_SERVICO!$A$2:$D$151,4,FALSE())</f>
        <v>399.81</v>
      </c>
      <c r="P35" s="8" t="n">
        <f aca="false">VLOOKUP(E35,DIM_PECA!$A$2:$F$501,6,FALSE())</f>
        <v>298.56</v>
      </c>
      <c r="Q35" s="8" t="n">
        <f aca="false">VLOOKUP(E35,DIM_PECA!$A$2:$F$501,5,FALSE())</f>
        <v>216.6</v>
      </c>
      <c r="R35" s="8" t="n">
        <f aca="false">H35*P35</f>
        <v>597.12</v>
      </c>
      <c r="S35" s="8" t="n">
        <f aca="false">O35*M35</f>
        <v>2838.651</v>
      </c>
      <c r="T35" s="8" t="n">
        <f aca="false">R35+S35</f>
        <v>3435.771</v>
      </c>
      <c r="U35" s="8" t="n">
        <f aca="false">T35-K35</f>
        <v>2438.841</v>
      </c>
      <c r="V35" s="8" t="n">
        <f aca="false">R35+S35-U35</f>
        <v>996.93</v>
      </c>
      <c r="W35" s="9" t="str">
        <f aca="false">IF(ROUND(V35-K35,2)=0,"OK","ERRO")</f>
        <v>OK</v>
      </c>
      <c r="X35" s="9" t="str">
        <f aca="false">VLOOKUP(F35,DIM_SERVICO!$A$2:$D$151,3,FALSE())</f>
        <v>Funilaria</v>
      </c>
    </row>
    <row r="36" customFormat="false" ht="15" hidden="false" customHeight="false" outlineLevel="0" collapsed="false">
      <c r="A36" s="2" t="n">
        <v>35</v>
      </c>
      <c r="B36" s="2" t="n">
        <v>1349</v>
      </c>
      <c r="C36" s="2" t="n">
        <v>938</v>
      </c>
      <c r="D36" s="2" t="n">
        <v>367</v>
      </c>
      <c r="E36" s="2" t="n">
        <v>29</v>
      </c>
      <c r="F36" s="2" t="n">
        <v>128</v>
      </c>
      <c r="G36" s="2" t="n">
        <v>1585</v>
      </c>
      <c r="H36" s="2" t="n">
        <v>2</v>
      </c>
      <c r="I36" s="3" t="n">
        <v>279.8</v>
      </c>
      <c r="J36" s="3" t="n">
        <v>1139.25</v>
      </c>
      <c r="K36" s="3" t="n">
        <v>1532.15</v>
      </c>
      <c r="L36" s="3" t="n">
        <v>828.78</v>
      </c>
      <c r="M36" s="2" t="n">
        <v>4.8</v>
      </c>
      <c r="N36" s="2" t="s">
        <v>24</v>
      </c>
      <c r="O36" s="4" t="n">
        <f aca="false">VLOOKUP(F36,DIM_SERVICO!$A$2:$D$151,4,FALSE())</f>
        <v>1139.25</v>
      </c>
      <c r="P36" s="4" t="n">
        <f aca="false">VLOOKUP(E36,DIM_PECA!$A$2:$F$501,6,FALSE())</f>
        <v>196.45</v>
      </c>
      <c r="Q36" s="4" t="n">
        <f aca="false">VLOOKUP(E36,DIM_PECA!$A$2:$F$501,5,FALSE())</f>
        <v>139.9</v>
      </c>
      <c r="R36" s="4" t="n">
        <f aca="false">H36*P36</f>
        <v>392.9</v>
      </c>
      <c r="S36" s="4" t="n">
        <f aca="false">O36*M36</f>
        <v>5468.4</v>
      </c>
      <c r="T36" s="4" t="n">
        <f aca="false">R36+S36</f>
        <v>5861.3</v>
      </c>
      <c r="U36" s="4" t="n">
        <f aca="false">T36-K36</f>
        <v>4329.15</v>
      </c>
      <c r="V36" s="4" t="n">
        <f aca="false">R36+S36-U36</f>
        <v>1532.15</v>
      </c>
      <c r="W36" s="5" t="str">
        <f aca="false">IF(ROUND(V36-K36,2)=0,"OK","ERRO")</f>
        <v>OK</v>
      </c>
      <c r="X36" s="5" t="str">
        <f aca="false">VLOOKUP(F36,DIM_SERVICO!$A$2:$D$151,3,FALSE())</f>
        <v>Revisão</v>
      </c>
    </row>
    <row r="37" customFormat="false" ht="15" hidden="false" customHeight="false" outlineLevel="0" collapsed="false">
      <c r="A37" s="6" t="n">
        <v>36</v>
      </c>
      <c r="B37" s="6" t="n">
        <v>1382</v>
      </c>
      <c r="C37" s="6" t="n">
        <v>819</v>
      </c>
      <c r="D37" s="6" t="n">
        <v>1024</v>
      </c>
      <c r="E37" s="6" t="n">
        <v>454</v>
      </c>
      <c r="F37" s="6" t="n">
        <v>28</v>
      </c>
      <c r="G37" s="6" t="n">
        <v>94</v>
      </c>
      <c r="H37" s="6" t="n">
        <v>4</v>
      </c>
      <c r="I37" s="7" t="n">
        <v>1783.2</v>
      </c>
      <c r="J37" s="7" t="n">
        <v>2152.12</v>
      </c>
      <c r="K37" s="7" t="n">
        <v>5295</v>
      </c>
      <c r="L37" s="7" t="n">
        <v>2488.6</v>
      </c>
      <c r="M37" s="6" t="n">
        <v>8.2</v>
      </c>
      <c r="N37" s="6" t="s">
        <v>27</v>
      </c>
      <c r="O37" s="8" t="n">
        <f aca="false">VLOOKUP(F37,DIM_SERVICO!$A$2:$D$151,4,FALSE())</f>
        <v>2152.12</v>
      </c>
      <c r="P37" s="8" t="n">
        <f aca="false">VLOOKUP(E37,DIM_PECA!$A$2:$F$501,6,FALSE())</f>
        <v>785.72</v>
      </c>
      <c r="Q37" s="8" t="n">
        <f aca="false">VLOOKUP(E37,DIM_PECA!$A$2:$F$501,5,FALSE())</f>
        <v>445.8</v>
      </c>
      <c r="R37" s="8" t="n">
        <f aca="false">H37*P37</f>
        <v>3142.88</v>
      </c>
      <c r="S37" s="8" t="n">
        <f aca="false">O37*M37</f>
        <v>17647.384</v>
      </c>
      <c r="T37" s="8" t="n">
        <f aca="false">R37+S37</f>
        <v>20790.264</v>
      </c>
      <c r="U37" s="8" t="n">
        <f aca="false">T37-K37</f>
        <v>15495.264</v>
      </c>
      <c r="V37" s="8" t="n">
        <f aca="false">R37+S37-U37</f>
        <v>5295</v>
      </c>
      <c r="W37" s="9" t="str">
        <f aca="false">IF(ROUND(V37-K37,2)=0,"OK","ERRO")</f>
        <v>OK</v>
      </c>
      <c r="X37" s="9" t="str">
        <f aca="false">VLOOKUP(F37,DIM_SERVICO!$A$2:$D$151,3,FALSE())</f>
        <v>Freios</v>
      </c>
    </row>
    <row r="38" customFormat="false" ht="15" hidden="false" customHeight="false" outlineLevel="0" collapsed="false">
      <c r="A38" s="2" t="n">
        <v>37</v>
      </c>
      <c r="B38" s="2" t="n">
        <v>992</v>
      </c>
      <c r="C38" s="2" t="n">
        <v>135</v>
      </c>
      <c r="D38" s="2" t="n">
        <v>209</v>
      </c>
      <c r="E38" s="2" t="n">
        <v>417</v>
      </c>
      <c r="F38" s="2" t="n">
        <v>127</v>
      </c>
      <c r="G38" s="2" t="n">
        <v>191</v>
      </c>
      <c r="H38" s="2" t="n">
        <v>2</v>
      </c>
      <c r="I38" s="3" t="n">
        <v>407.68</v>
      </c>
      <c r="J38" s="3" t="n">
        <v>165.02</v>
      </c>
      <c r="K38" s="3" t="n">
        <v>905.92</v>
      </c>
      <c r="L38" s="3" t="n">
        <v>410.36</v>
      </c>
      <c r="M38" s="2" t="n">
        <v>7.9</v>
      </c>
      <c r="N38" s="2" t="s">
        <v>24</v>
      </c>
      <c r="O38" s="4" t="n">
        <f aca="false">VLOOKUP(F38,DIM_SERVICO!$A$2:$D$151,4,FALSE())</f>
        <v>165.02</v>
      </c>
      <c r="P38" s="4" t="n">
        <f aca="false">VLOOKUP(E38,DIM_PECA!$A$2:$F$501,6,FALSE())</f>
        <v>409.84</v>
      </c>
      <c r="Q38" s="4" t="n">
        <f aca="false">VLOOKUP(E38,DIM_PECA!$A$2:$F$501,5,FALSE())</f>
        <v>203.84</v>
      </c>
      <c r="R38" s="4" t="n">
        <f aca="false">H38*P38</f>
        <v>819.68</v>
      </c>
      <c r="S38" s="4" t="n">
        <f aca="false">O38*M38</f>
        <v>1303.658</v>
      </c>
      <c r="T38" s="4" t="n">
        <f aca="false">R38+S38</f>
        <v>2123.338</v>
      </c>
      <c r="U38" s="4" t="n">
        <f aca="false">T38-K38</f>
        <v>1217.418</v>
      </c>
      <c r="V38" s="4" t="n">
        <f aca="false">R38+S38-U38</f>
        <v>905.92</v>
      </c>
      <c r="W38" s="5" t="str">
        <f aca="false">IF(ROUND(V38-K38,2)=0,"OK","ERRO")</f>
        <v>OK</v>
      </c>
      <c r="X38" s="5" t="str">
        <f aca="false">VLOOKUP(F38,DIM_SERVICO!$A$2:$D$151,3,FALSE())</f>
        <v>Suspensão</v>
      </c>
    </row>
    <row r="39" customFormat="false" ht="15" hidden="false" customHeight="false" outlineLevel="0" collapsed="false">
      <c r="A39" s="6" t="n">
        <v>38</v>
      </c>
      <c r="B39" s="6" t="n">
        <v>466</v>
      </c>
      <c r="C39" s="6" t="n">
        <v>733</v>
      </c>
      <c r="D39" s="6" t="n">
        <v>62</v>
      </c>
      <c r="E39" s="6" t="n">
        <v>487</v>
      </c>
      <c r="F39" s="6" t="n">
        <v>6</v>
      </c>
      <c r="G39" s="6" t="n">
        <v>834</v>
      </c>
      <c r="H39" s="6" t="n">
        <v>3</v>
      </c>
      <c r="I39" s="7" t="n">
        <v>2574.39</v>
      </c>
      <c r="J39" s="7" t="n">
        <v>1505.67</v>
      </c>
      <c r="K39" s="7" t="n">
        <v>6751.29</v>
      </c>
      <c r="L39" s="7" t="n">
        <v>3605.44</v>
      </c>
      <c r="M39" s="6" t="n">
        <v>11.9</v>
      </c>
      <c r="N39" s="6" t="s">
        <v>24</v>
      </c>
      <c r="O39" s="8" t="n">
        <f aca="false">VLOOKUP(F39,DIM_SERVICO!$A$2:$D$151,4,FALSE())</f>
        <v>1505.67</v>
      </c>
      <c r="P39" s="8" t="n">
        <f aca="false">VLOOKUP(E39,DIM_PECA!$A$2:$F$501,6,FALSE())</f>
        <v>1748.54</v>
      </c>
      <c r="Q39" s="8" t="n">
        <f aca="false">VLOOKUP(E39,DIM_PECA!$A$2:$F$501,5,FALSE())</f>
        <v>858.13</v>
      </c>
      <c r="R39" s="8" t="n">
        <f aca="false">H39*P39</f>
        <v>5245.62</v>
      </c>
      <c r="S39" s="8" t="n">
        <f aca="false">O39*M39</f>
        <v>17917.473</v>
      </c>
      <c r="T39" s="8" t="n">
        <f aca="false">R39+S39</f>
        <v>23163.093</v>
      </c>
      <c r="U39" s="8" t="n">
        <f aca="false">T39-K39</f>
        <v>16411.803</v>
      </c>
      <c r="V39" s="8" t="n">
        <f aca="false">R39+S39-U39</f>
        <v>6751.29</v>
      </c>
      <c r="W39" s="9" t="str">
        <f aca="false">IF(ROUND(V39-K39,2)=0,"OK","ERRO")</f>
        <v>OK</v>
      </c>
      <c r="X39" s="9" t="str">
        <f aca="false">VLOOKUP(F39,DIM_SERVICO!$A$2:$D$151,3,FALSE())</f>
        <v>Motor</v>
      </c>
    </row>
    <row r="40" customFormat="false" ht="15" hidden="false" customHeight="false" outlineLevel="0" collapsed="false">
      <c r="A40" s="2" t="n">
        <v>39</v>
      </c>
      <c r="B40" s="2" t="n">
        <v>863</v>
      </c>
      <c r="C40" s="2" t="n">
        <v>527</v>
      </c>
      <c r="D40" s="2" t="n">
        <v>446</v>
      </c>
      <c r="E40" s="2" t="n">
        <v>159</v>
      </c>
      <c r="F40" s="2" t="n">
        <v>148</v>
      </c>
      <c r="G40" s="2" t="n">
        <v>1324</v>
      </c>
      <c r="H40" s="2" t="n">
        <v>3</v>
      </c>
      <c r="I40" s="3" t="n">
        <v>3438.87</v>
      </c>
      <c r="J40" s="3" t="n">
        <v>1276.19</v>
      </c>
      <c r="K40" s="3" t="n">
        <v>7516.33</v>
      </c>
      <c r="L40" s="3" t="n">
        <v>3459.41</v>
      </c>
      <c r="M40" s="2" t="n">
        <v>2.1</v>
      </c>
      <c r="N40" s="2" t="s">
        <v>24</v>
      </c>
      <c r="O40" s="4" t="n">
        <f aca="false">VLOOKUP(F40,DIM_SERVICO!$A$2:$D$151,4,FALSE())</f>
        <v>1276.19</v>
      </c>
      <c r="P40" s="4" t="n">
        <f aca="false">VLOOKUP(E40,DIM_PECA!$A$2:$F$501,6,FALSE())</f>
        <v>2358.43</v>
      </c>
      <c r="Q40" s="4" t="n">
        <f aca="false">VLOOKUP(E40,DIM_PECA!$A$2:$F$501,5,FALSE())</f>
        <v>1146.29</v>
      </c>
      <c r="R40" s="4" t="n">
        <f aca="false">H40*P40</f>
        <v>7075.29</v>
      </c>
      <c r="S40" s="4" t="n">
        <f aca="false">O40*M40</f>
        <v>2679.999</v>
      </c>
      <c r="T40" s="4" t="n">
        <f aca="false">R40+S40</f>
        <v>9755.289</v>
      </c>
      <c r="U40" s="4" t="n">
        <f aca="false">T40-K40</f>
        <v>2238.959</v>
      </c>
      <c r="V40" s="4" t="n">
        <f aca="false">R40+S40-U40</f>
        <v>7516.33</v>
      </c>
      <c r="W40" s="5" t="str">
        <f aca="false">IF(ROUND(V40-K40,2)=0,"OK","ERRO")</f>
        <v>OK</v>
      </c>
      <c r="X40" s="5" t="str">
        <f aca="false">VLOOKUP(F40,DIM_SERVICO!$A$2:$D$151,3,FALSE())</f>
        <v>Revisão</v>
      </c>
    </row>
    <row r="41" customFormat="false" ht="15" hidden="false" customHeight="false" outlineLevel="0" collapsed="false">
      <c r="A41" s="6" t="n">
        <v>40</v>
      </c>
      <c r="B41" s="6" t="n">
        <v>468</v>
      </c>
      <c r="C41" s="6" t="n">
        <v>883</v>
      </c>
      <c r="D41" s="6" t="n">
        <v>659</v>
      </c>
      <c r="E41" s="6" t="n">
        <v>32</v>
      </c>
      <c r="F41" s="6" t="n">
        <v>82</v>
      </c>
      <c r="G41" s="6" t="n">
        <v>395</v>
      </c>
      <c r="H41" s="6" t="n">
        <v>3</v>
      </c>
      <c r="I41" s="7" t="n">
        <v>1233.96</v>
      </c>
      <c r="J41" s="7" t="n">
        <v>673.49</v>
      </c>
      <c r="K41" s="7" t="n">
        <v>2405.76</v>
      </c>
      <c r="L41" s="7" t="n">
        <v>816.36</v>
      </c>
      <c r="M41" s="6" t="n">
        <v>10.3</v>
      </c>
      <c r="N41" s="6" t="s">
        <v>27</v>
      </c>
      <c r="O41" s="8" t="n">
        <f aca="false">VLOOKUP(F41,DIM_SERVICO!$A$2:$D$151,4,FALSE())</f>
        <v>673.49</v>
      </c>
      <c r="P41" s="8" t="n">
        <f aca="false">VLOOKUP(E41,DIM_PECA!$A$2:$F$501,6,FALSE())</f>
        <v>593.79</v>
      </c>
      <c r="Q41" s="8" t="n">
        <f aca="false">VLOOKUP(E41,DIM_PECA!$A$2:$F$501,5,FALSE())</f>
        <v>411.32</v>
      </c>
      <c r="R41" s="8" t="n">
        <f aca="false">H41*P41</f>
        <v>1781.37</v>
      </c>
      <c r="S41" s="8" t="n">
        <f aca="false">O41*M41</f>
        <v>6936.947</v>
      </c>
      <c r="T41" s="8" t="n">
        <f aca="false">R41+S41</f>
        <v>8718.317</v>
      </c>
      <c r="U41" s="8" t="n">
        <f aca="false">T41-K41</f>
        <v>6312.557</v>
      </c>
      <c r="V41" s="8" t="n">
        <f aca="false">R41+S41-U41</f>
        <v>2405.76</v>
      </c>
      <c r="W41" s="9" t="str">
        <f aca="false">IF(ROUND(V41-K41,2)=0,"OK","ERRO")</f>
        <v>OK</v>
      </c>
      <c r="X41" s="9" t="str">
        <f aca="false">VLOOKUP(F41,DIM_SERVICO!$A$2:$D$151,3,FALSE())</f>
        <v>Diagnóstico</v>
      </c>
    </row>
    <row r="42" customFormat="false" ht="15" hidden="false" customHeight="false" outlineLevel="0" collapsed="false">
      <c r="A42" s="2" t="n">
        <v>41</v>
      </c>
      <c r="B42" s="2" t="n">
        <v>301</v>
      </c>
      <c r="C42" s="2" t="n">
        <v>163</v>
      </c>
      <c r="D42" s="2" t="n">
        <v>145</v>
      </c>
      <c r="E42" s="2" t="n">
        <v>211</v>
      </c>
      <c r="F42" s="2" t="n">
        <v>4</v>
      </c>
      <c r="G42" s="2" t="n">
        <v>322</v>
      </c>
      <c r="H42" s="2" t="n">
        <v>3</v>
      </c>
      <c r="I42" s="3" t="n">
        <v>822.99</v>
      </c>
      <c r="J42" s="3" t="n">
        <v>1007.95</v>
      </c>
      <c r="K42" s="3" t="n">
        <v>2468.88</v>
      </c>
      <c r="L42" s="3" t="n">
        <v>1177.59</v>
      </c>
      <c r="M42" s="2" t="n">
        <v>2.7</v>
      </c>
      <c r="N42" s="2" t="s">
        <v>24</v>
      </c>
      <c r="O42" s="4" t="n">
        <f aca="false">VLOOKUP(F42,DIM_SERVICO!$A$2:$D$151,4,FALSE())</f>
        <v>1007.95</v>
      </c>
      <c r="P42" s="4" t="n">
        <f aca="false">VLOOKUP(E42,DIM_PECA!$A$2:$F$501,6,FALSE())</f>
        <v>558.54</v>
      </c>
      <c r="Q42" s="4" t="n">
        <f aca="false">VLOOKUP(E42,DIM_PECA!$A$2:$F$501,5,FALSE())</f>
        <v>274.33</v>
      </c>
      <c r="R42" s="4" t="n">
        <f aca="false">H42*P42</f>
        <v>1675.62</v>
      </c>
      <c r="S42" s="4" t="n">
        <f aca="false">O42*M42</f>
        <v>2721.465</v>
      </c>
      <c r="T42" s="4" t="n">
        <f aca="false">R42+S42</f>
        <v>4397.085</v>
      </c>
      <c r="U42" s="4" t="n">
        <f aca="false">T42-K42</f>
        <v>1928.205</v>
      </c>
      <c r="V42" s="4" t="n">
        <f aca="false">R42+S42-U42</f>
        <v>2468.88</v>
      </c>
      <c r="W42" s="5" t="str">
        <f aca="false">IF(ROUND(V42-K42,2)=0,"OK","ERRO")</f>
        <v>OK</v>
      </c>
      <c r="X42" s="5" t="str">
        <f aca="false">VLOOKUP(F42,DIM_SERVICO!$A$2:$D$151,3,FALSE())</f>
        <v>Revisão</v>
      </c>
    </row>
    <row r="43" customFormat="false" ht="15" hidden="false" customHeight="false" outlineLevel="0" collapsed="false">
      <c r="A43" s="6" t="n">
        <v>42</v>
      </c>
      <c r="B43" s="6" t="n">
        <v>291</v>
      </c>
      <c r="C43" s="6" t="n">
        <v>1126</v>
      </c>
      <c r="D43" s="6" t="n">
        <v>969</v>
      </c>
      <c r="E43" s="6" t="n">
        <v>370</v>
      </c>
      <c r="F43" s="6" t="n">
        <v>128</v>
      </c>
      <c r="G43" s="6" t="n">
        <v>704</v>
      </c>
      <c r="H43" s="6" t="n">
        <v>3</v>
      </c>
      <c r="I43" s="7" t="n">
        <v>1385.79</v>
      </c>
      <c r="J43" s="7" t="n">
        <v>1139.25</v>
      </c>
      <c r="K43" s="7" t="n">
        <v>3553.84</v>
      </c>
      <c r="L43" s="7" t="n">
        <v>1623.64</v>
      </c>
      <c r="M43" s="6" t="n">
        <v>6.2</v>
      </c>
      <c r="N43" s="6" t="s">
        <v>25</v>
      </c>
      <c r="O43" s="8" t="n">
        <f aca="false">VLOOKUP(F43,DIM_SERVICO!$A$2:$D$151,4,FALSE())</f>
        <v>1139.25</v>
      </c>
      <c r="P43" s="8" t="n">
        <f aca="false">VLOOKUP(E43,DIM_PECA!$A$2:$F$501,6,FALSE())</f>
        <v>867.21</v>
      </c>
      <c r="Q43" s="8" t="n">
        <f aca="false">VLOOKUP(E43,DIM_PECA!$A$2:$F$501,5,FALSE())</f>
        <v>461.93</v>
      </c>
      <c r="R43" s="8" t="n">
        <f aca="false">H43*P43</f>
        <v>2601.63</v>
      </c>
      <c r="S43" s="8" t="n">
        <f aca="false">O43*M43</f>
        <v>7063.35</v>
      </c>
      <c r="T43" s="8" t="n">
        <f aca="false">R43+S43</f>
        <v>9664.98</v>
      </c>
      <c r="U43" s="8" t="n">
        <f aca="false">T43-K43</f>
        <v>6111.14</v>
      </c>
      <c r="V43" s="8" t="n">
        <f aca="false">R43+S43-U43</f>
        <v>3553.84</v>
      </c>
      <c r="W43" s="9" t="str">
        <f aca="false">IF(ROUND(V43-K43,2)=0,"OK","ERRO")</f>
        <v>OK</v>
      </c>
      <c r="X43" s="9" t="str">
        <f aca="false">VLOOKUP(F43,DIM_SERVICO!$A$2:$D$151,3,FALSE())</f>
        <v>Revisão</v>
      </c>
    </row>
    <row r="44" customFormat="false" ht="15" hidden="false" customHeight="false" outlineLevel="0" collapsed="false">
      <c r="A44" s="2" t="n">
        <v>43</v>
      </c>
      <c r="B44" s="2" t="n">
        <v>253</v>
      </c>
      <c r="C44" s="2" t="n">
        <v>649</v>
      </c>
      <c r="D44" s="2" t="n">
        <v>1006</v>
      </c>
      <c r="E44" s="2" t="n">
        <v>478</v>
      </c>
      <c r="F44" s="2" t="n">
        <v>48</v>
      </c>
      <c r="G44" s="2" t="n">
        <v>122</v>
      </c>
      <c r="H44" s="2" t="n">
        <v>3</v>
      </c>
      <c r="I44" s="3" t="n">
        <v>208.53</v>
      </c>
      <c r="J44" s="3" t="n">
        <v>863.62</v>
      </c>
      <c r="K44" s="3" t="n">
        <v>1143.15</v>
      </c>
      <c r="L44" s="3" t="n">
        <v>620.31</v>
      </c>
      <c r="M44" s="2" t="n">
        <v>10.6</v>
      </c>
      <c r="N44" s="2" t="s">
        <v>24</v>
      </c>
      <c r="O44" s="4" t="n">
        <f aca="false">VLOOKUP(F44,DIM_SERVICO!$A$2:$D$151,4,FALSE())</f>
        <v>863.62</v>
      </c>
      <c r="P44" s="4" t="n">
        <f aca="false">VLOOKUP(E44,DIM_PECA!$A$2:$F$501,6,FALSE())</f>
        <v>126.31</v>
      </c>
      <c r="Q44" s="4" t="n">
        <f aca="false">VLOOKUP(E44,DIM_PECA!$A$2:$F$501,5,FALSE())</f>
        <v>69.51</v>
      </c>
      <c r="R44" s="4" t="n">
        <f aca="false">H44*P44</f>
        <v>378.93</v>
      </c>
      <c r="S44" s="4" t="n">
        <f aca="false">O44*M44</f>
        <v>9154.372</v>
      </c>
      <c r="T44" s="4" t="n">
        <f aca="false">R44+S44</f>
        <v>9533.302</v>
      </c>
      <c r="U44" s="4" t="n">
        <f aca="false">T44-K44</f>
        <v>8390.152</v>
      </c>
      <c r="V44" s="4" t="n">
        <f aca="false">R44+S44-U44</f>
        <v>1143.15</v>
      </c>
      <c r="W44" s="5" t="str">
        <f aca="false">IF(ROUND(V44-K44,2)=0,"OK","ERRO")</f>
        <v>OK</v>
      </c>
      <c r="X44" s="5" t="str">
        <f aca="false">VLOOKUP(F44,DIM_SERVICO!$A$2:$D$151,3,FALSE())</f>
        <v>Elétrica</v>
      </c>
    </row>
    <row r="45" customFormat="false" ht="15" hidden="false" customHeight="false" outlineLevel="0" collapsed="false">
      <c r="A45" s="6" t="n">
        <v>44</v>
      </c>
      <c r="B45" s="6" t="n">
        <v>101</v>
      </c>
      <c r="C45" s="6" t="n">
        <v>336</v>
      </c>
      <c r="D45" s="6" t="n">
        <v>956</v>
      </c>
      <c r="E45" s="6" t="n">
        <v>378</v>
      </c>
      <c r="F45" s="6" t="n">
        <v>43</v>
      </c>
      <c r="G45" s="6" t="n">
        <v>1563</v>
      </c>
      <c r="H45" s="6" t="n">
        <v>2</v>
      </c>
      <c r="I45" s="7" t="n">
        <v>893.66</v>
      </c>
      <c r="J45" s="7" t="n">
        <v>1163.17</v>
      </c>
      <c r="K45" s="7" t="n">
        <v>2771.53</v>
      </c>
      <c r="L45" s="7" t="n">
        <v>1283.3</v>
      </c>
      <c r="M45" s="6" t="n">
        <v>5.1</v>
      </c>
      <c r="N45" s="6" t="s">
        <v>24</v>
      </c>
      <c r="O45" s="8" t="n">
        <f aca="false">VLOOKUP(F45,DIM_SERVICO!$A$2:$D$151,4,FALSE())</f>
        <v>1163.17</v>
      </c>
      <c r="P45" s="8" t="n">
        <f aca="false">VLOOKUP(E45,DIM_PECA!$A$2:$F$501,6,FALSE())</f>
        <v>804.18</v>
      </c>
      <c r="Q45" s="8" t="n">
        <f aca="false">VLOOKUP(E45,DIM_PECA!$A$2:$F$501,5,FALSE())</f>
        <v>446.83</v>
      </c>
      <c r="R45" s="8" t="n">
        <f aca="false">H45*P45</f>
        <v>1608.36</v>
      </c>
      <c r="S45" s="8" t="n">
        <f aca="false">O45*M45</f>
        <v>5932.167</v>
      </c>
      <c r="T45" s="8" t="n">
        <f aca="false">R45+S45</f>
        <v>7540.527</v>
      </c>
      <c r="U45" s="8" t="n">
        <f aca="false">T45-K45</f>
        <v>4768.997</v>
      </c>
      <c r="V45" s="8" t="n">
        <f aca="false">R45+S45-U45</f>
        <v>2771.53</v>
      </c>
      <c r="W45" s="9" t="str">
        <f aca="false">IF(ROUND(V45-K45,2)=0,"OK","ERRO")</f>
        <v>OK</v>
      </c>
      <c r="X45" s="9" t="str">
        <f aca="false">VLOOKUP(F45,DIM_SERVICO!$A$2:$D$151,3,FALSE())</f>
        <v>Diagnóstico</v>
      </c>
    </row>
    <row r="46" customFormat="false" ht="15" hidden="false" customHeight="false" outlineLevel="0" collapsed="false">
      <c r="A46" s="2" t="n">
        <v>45</v>
      </c>
      <c r="B46" s="2" t="n">
        <v>153</v>
      </c>
      <c r="C46" s="2" t="n">
        <v>561</v>
      </c>
      <c r="D46" s="2" t="n">
        <v>421</v>
      </c>
      <c r="E46" s="2" t="n">
        <v>11</v>
      </c>
      <c r="F46" s="2" t="n">
        <v>64</v>
      </c>
      <c r="G46" s="2" t="n">
        <v>1285</v>
      </c>
      <c r="H46" s="2" t="n">
        <v>2</v>
      </c>
      <c r="I46" s="3" t="n">
        <v>1162.96</v>
      </c>
      <c r="J46" s="3" t="n">
        <v>1447.78</v>
      </c>
      <c r="K46" s="3" t="n">
        <v>3195.93</v>
      </c>
      <c r="L46" s="3" t="n">
        <v>1248.4</v>
      </c>
      <c r="M46" s="2" t="n">
        <v>8.6</v>
      </c>
      <c r="N46" s="2" t="s">
        <v>24</v>
      </c>
      <c r="O46" s="4" t="n">
        <f aca="false">VLOOKUP(F46,DIM_SERVICO!$A$2:$D$151,4,FALSE())</f>
        <v>1447.78</v>
      </c>
      <c r="P46" s="4" t="n">
        <f aca="false">VLOOKUP(E46,DIM_PECA!$A$2:$F$501,6,FALSE())</f>
        <v>958.18</v>
      </c>
      <c r="Q46" s="4" t="n">
        <f aca="false">VLOOKUP(E46,DIM_PECA!$A$2:$F$501,5,FALSE())</f>
        <v>581.48</v>
      </c>
      <c r="R46" s="4" t="n">
        <f aca="false">H46*P46</f>
        <v>1916.36</v>
      </c>
      <c r="S46" s="4" t="n">
        <f aca="false">O46*M46</f>
        <v>12450.908</v>
      </c>
      <c r="T46" s="4" t="n">
        <f aca="false">R46+S46</f>
        <v>14367.268</v>
      </c>
      <c r="U46" s="4" t="n">
        <f aca="false">T46-K46</f>
        <v>11171.338</v>
      </c>
      <c r="V46" s="4" t="n">
        <f aca="false">R46+S46-U46</f>
        <v>3195.93</v>
      </c>
      <c r="W46" s="5" t="str">
        <f aca="false">IF(ROUND(V46-K46,2)=0,"OK","ERRO")</f>
        <v>OK</v>
      </c>
      <c r="X46" s="5" t="str">
        <f aca="false">VLOOKUP(F46,DIM_SERVICO!$A$2:$D$151,3,FALSE())</f>
        <v>Pintura</v>
      </c>
    </row>
    <row r="47" customFormat="false" ht="15" hidden="false" customHeight="false" outlineLevel="0" collapsed="false">
      <c r="A47" s="6" t="n">
        <v>46</v>
      </c>
      <c r="B47" s="6" t="n">
        <v>307</v>
      </c>
      <c r="C47" s="6" t="n">
        <v>604</v>
      </c>
      <c r="D47" s="6" t="n">
        <v>1154</v>
      </c>
      <c r="E47" s="6" t="n">
        <v>397</v>
      </c>
      <c r="F47" s="6" t="n">
        <v>74</v>
      </c>
      <c r="G47" s="6" t="n">
        <v>466</v>
      </c>
      <c r="H47" s="6" t="n">
        <v>2</v>
      </c>
      <c r="I47" s="7" t="n">
        <v>213.3</v>
      </c>
      <c r="J47" s="7" t="n">
        <v>821.88</v>
      </c>
      <c r="K47" s="7" t="n">
        <v>1084.39</v>
      </c>
      <c r="L47" s="7" t="n">
        <v>465.48</v>
      </c>
      <c r="M47" s="6" t="n">
        <v>7.3</v>
      </c>
      <c r="N47" s="6" t="s">
        <v>24</v>
      </c>
      <c r="O47" s="8" t="n">
        <f aca="false">VLOOKUP(F47,DIM_SERVICO!$A$2:$D$151,4,FALSE())</f>
        <v>821.88</v>
      </c>
      <c r="P47" s="8" t="n">
        <f aca="false">VLOOKUP(E47,DIM_PECA!$A$2:$F$501,6,FALSE())</f>
        <v>191.5</v>
      </c>
      <c r="Q47" s="8" t="n">
        <f aca="false">VLOOKUP(E47,DIM_PECA!$A$2:$F$501,5,FALSE())</f>
        <v>106.65</v>
      </c>
      <c r="R47" s="8" t="n">
        <f aca="false">H47*P47</f>
        <v>383</v>
      </c>
      <c r="S47" s="8" t="n">
        <f aca="false">O47*M47</f>
        <v>5999.724</v>
      </c>
      <c r="T47" s="8" t="n">
        <f aca="false">R47+S47</f>
        <v>6382.724</v>
      </c>
      <c r="U47" s="8" t="n">
        <f aca="false">T47-K47</f>
        <v>5298.334</v>
      </c>
      <c r="V47" s="8" t="n">
        <f aca="false">R47+S47-U47</f>
        <v>1084.39</v>
      </c>
      <c r="W47" s="9" t="str">
        <f aca="false">IF(ROUND(V47-K47,2)=0,"OK","ERRO")</f>
        <v>OK</v>
      </c>
      <c r="X47" s="9" t="str">
        <f aca="false">VLOOKUP(F47,DIM_SERVICO!$A$2:$D$151,3,FALSE())</f>
        <v>Revisão</v>
      </c>
    </row>
    <row r="48" customFormat="false" ht="15" hidden="false" customHeight="false" outlineLevel="0" collapsed="false">
      <c r="A48" s="2" t="n">
        <v>47</v>
      </c>
      <c r="B48" s="2" t="n">
        <v>1447</v>
      </c>
      <c r="C48" s="2" t="n">
        <v>634</v>
      </c>
      <c r="D48" s="2" t="n">
        <v>634</v>
      </c>
      <c r="E48" s="2" t="n">
        <v>348</v>
      </c>
      <c r="F48" s="2" t="n">
        <v>117</v>
      </c>
      <c r="G48" s="2" t="n">
        <v>1076</v>
      </c>
      <c r="H48" s="2" t="n">
        <v>4</v>
      </c>
      <c r="I48" s="3" t="n">
        <v>2780.56</v>
      </c>
      <c r="J48" s="3" t="n">
        <v>405.55</v>
      </c>
      <c r="K48" s="3" t="n">
        <v>6223.66</v>
      </c>
      <c r="L48" s="3" t="n">
        <v>3244.93</v>
      </c>
      <c r="M48" s="2" t="n">
        <v>3.7</v>
      </c>
      <c r="N48" s="2" t="s">
        <v>27</v>
      </c>
      <c r="O48" s="4" t="n">
        <f aca="false">VLOOKUP(F48,DIM_SERVICO!$A$2:$D$151,4,FALSE())</f>
        <v>405.55</v>
      </c>
      <c r="P48" s="4" t="n">
        <f aca="false">VLOOKUP(E48,DIM_PECA!$A$2:$F$501,6,FALSE())</f>
        <v>1486.28</v>
      </c>
      <c r="Q48" s="4" t="n">
        <f aca="false">VLOOKUP(E48,DIM_PECA!$A$2:$F$501,5,FALSE())</f>
        <v>695.14</v>
      </c>
      <c r="R48" s="4" t="n">
        <f aca="false">H48*P48</f>
        <v>5945.12</v>
      </c>
      <c r="S48" s="4" t="n">
        <f aca="false">O48*M48</f>
        <v>1500.535</v>
      </c>
      <c r="T48" s="4" t="n">
        <f aca="false">R48+S48</f>
        <v>7445.655</v>
      </c>
      <c r="U48" s="4" t="n">
        <f aca="false">T48-K48</f>
        <v>1221.995</v>
      </c>
      <c r="V48" s="4" t="n">
        <f aca="false">R48+S48-U48</f>
        <v>6223.66</v>
      </c>
      <c r="W48" s="5" t="str">
        <f aca="false">IF(ROUND(V48-K48,2)=0,"OK","ERRO")</f>
        <v>OK</v>
      </c>
      <c r="X48" s="5" t="str">
        <f aca="false">VLOOKUP(F48,DIM_SERVICO!$A$2:$D$151,3,FALSE())</f>
        <v>Freios</v>
      </c>
    </row>
    <row r="49" customFormat="false" ht="15" hidden="false" customHeight="false" outlineLevel="0" collapsed="false">
      <c r="A49" s="6" t="n">
        <v>48</v>
      </c>
      <c r="B49" s="6" t="n">
        <v>1480</v>
      </c>
      <c r="C49" s="6" t="n">
        <v>1449</v>
      </c>
      <c r="D49" s="6" t="n">
        <v>98</v>
      </c>
      <c r="E49" s="6" t="n">
        <v>152</v>
      </c>
      <c r="F49" s="6" t="n">
        <v>121</v>
      </c>
      <c r="G49" s="6" t="n">
        <v>931</v>
      </c>
      <c r="H49" s="6" t="n">
        <v>2</v>
      </c>
      <c r="I49" s="7" t="n">
        <v>1263.76</v>
      </c>
      <c r="J49" s="7" t="n">
        <v>599.74</v>
      </c>
      <c r="K49" s="7" t="n">
        <v>2979.16</v>
      </c>
      <c r="L49" s="7" t="n">
        <v>1429.17</v>
      </c>
      <c r="M49" s="6" t="n">
        <v>5</v>
      </c>
      <c r="N49" s="6" t="s">
        <v>26</v>
      </c>
      <c r="O49" s="8" t="n">
        <f aca="false">VLOOKUP(F49,DIM_SERVICO!$A$2:$D$151,4,FALSE())</f>
        <v>599.74</v>
      </c>
      <c r="P49" s="8" t="n">
        <f aca="false">VLOOKUP(E49,DIM_PECA!$A$2:$F$501,6,FALSE())</f>
        <v>1189.71</v>
      </c>
      <c r="Q49" s="8" t="n">
        <f aca="false">VLOOKUP(E49,DIM_PECA!$A$2:$F$501,5,FALSE())</f>
        <v>631.88</v>
      </c>
      <c r="R49" s="8" t="n">
        <f aca="false">H49*P49</f>
        <v>2379.42</v>
      </c>
      <c r="S49" s="8" t="n">
        <f aca="false">O49*M49</f>
        <v>2998.7</v>
      </c>
      <c r="T49" s="8" t="n">
        <f aca="false">R49+S49</f>
        <v>5378.12</v>
      </c>
      <c r="U49" s="8" t="n">
        <f aca="false">T49-K49</f>
        <v>2398.96</v>
      </c>
      <c r="V49" s="8" t="n">
        <f aca="false">R49+S49-U49</f>
        <v>2979.16</v>
      </c>
      <c r="W49" s="9" t="str">
        <f aca="false">IF(ROUND(V49-K49,2)=0,"OK","ERRO")</f>
        <v>OK</v>
      </c>
      <c r="X49" s="9" t="str">
        <f aca="false">VLOOKUP(F49,DIM_SERVICO!$A$2:$D$151,3,FALSE())</f>
        <v>Revisão</v>
      </c>
    </row>
    <row r="50" customFormat="false" ht="15" hidden="false" customHeight="false" outlineLevel="0" collapsed="false">
      <c r="A50" s="2" t="n">
        <v>49</v>
      </c>
      <c r="B50" s="2" t="n">
        <v>1326</v>
      </c>
      <c r="C50" s="2" t="n">
        <v>562</v>
      </c>
      <c r="D50" s="2" t="n">
        <v>1107</v>
      </c>
      <c r="E50" s="2" t="n">
        <v>247</v>
      </c>
      <c r="F50" s="2" t="n">
        <v>39</v>
      </c>
      <c r="G50" s="2" t="n">
        <v>1612</v>
      </c>
      <c r="H50" s="2" t="n">
        <v>2</v>
      </c>
      <c r="I50" s="3" t="n">
        <v>308.48</v>
      </c>
      <c r="J50" s="3" t="n">
        <v>1270.92</v>
      </c>
      <c r="K50" s="3" t="n">
        <v>1688.95</v>
      </c>
      <c r="L50" s="3" t="n">
        <v>739.02</v>
      </c>
      <c r="M50" s="2" t="n">
        <v>7</v>
      </c>
      <c r="N50" s="2" t="s">
        <v>24</v>
      </c>
      <c r="O50" s="4" t="n">
        <f aca="false">VLOOKUP(F50,DIM_SERVICO!$A$2:$D$151,4,FALSE())</f>
        <v>1270.92</v>
      </c>
      <c r="P50" s="4" t="n">
        <f aca="false">VLOOKUP(E50,DIM_PECA!$A$2:$F$501,6,FALSE())</f>
        <v>282.45</v>
      </c>
      <c r="Q50" s="4" t="n">
        <f aca="false">VLOOKUP(E50,DIM_PECA!$A$2:$F$501,5,FALSE())</f>
        <v>154.24</v>
      </c>
      <c r="R50" s="4" t="n">
        <f aca="false">H50*P50</f>
        <v>564.9</v>
      </c>
      <c r="S50" s="4" t="n">
        <f aca="false">O50*M50</f>
        <v>8896.44</v>
      </c>
      <c r="T50" s="4" t="n">
        <f aca="false">R50+S50</f>
        <v>9461.34</v>
      </c>
      <c r="U50" s="4" t="n">
        <f aca="false">T50-K50</f>
        <v>7772.39</v>
      </c>
      <c r="V50" s="4" t="n">
        <f aca="false">R50+S50-U50</f>
        <v>1688.95</v>
      </c>
      <c r="W50" s="5" t="str">
        <f aca="false">IF(ROUND(V50-K50,2)=0,"OK","ERRO")</f>
        <v>OK</v>
      </c>
      <c r="X50" s="5" t="str">
        <f aca="false">VLOOKUP(F50,DIM_SERVICO!$A$2:$D$151,3,FALSE())</f>
        <v>Suspensão</v>
      </c>
    </row>
    <row r="51" customFormat="false" ht="15" hidden="false" customHeight="false" outlineLevel="0" collapsed="false">
      <c r="A51" s="6" t="n">
        <v>50</v>
      </c>
      <c r="B51" s="6" t="n">
        <v>547</v>
      </c>
      <c r="C51" s="6" t="n">
        <v>21</v>
      </c>
      <c r="D51" s="6" t="n">
        <v>753</v>
      </c>
      <c r="E51" s="6" t="n">
        <v>231</v>
      </c>
      <c r="F51" s="6" t="n">
        <v>20</v>
      </c>
      <c r="G51" s="6" t="n">
        <v>45</v>
      </c>
      <c r="H51" s="6" t="n">
        <v>1</v>
      </c>
      <c r="I51" s="7" t="n">
        <v>1049.66</v>
      </c>
      <c r="J51" s="7" t="n">
        <v>295.88</v>
      </c>
      <c r="K51" s="7" t="n">
        <v>1923.18</v>
      </c>
      <c r="L51" s="7" t="n">
        <v>736.1</v>
      </c>
      <c r="M51" s="6" t="n">
        <v>3.9</v>
      </c>
      <c r="N51" s="6" t="s">
        <v>25</v>
      </c>
      <c r="O51" s="8" t="n">
        <f aca="false">VLOOKUP(F51,DIM_SERVICO!$A$2:$D$151,4,FALSE())</f>
        <v>295.88</v>
      </c>
      <c r="P51" s="8" t="n">
        <f aca="false">VLOOKUP(E51,DIM_PECA!$A$2:$F$501,6,FALSE())</f>
        <v>1728.52</v>
      </c>
      <c r="Q51" s="8" t="n">
        <f aca="false">VLOOKUP(E51,DIM_PECA!$A$2:$F$501,5,FALSE())</f>
        <v>1049.66</v>
      </c>
      <c r="R51" s="8" t="n">
        <f aca="false">H51*P51</f>
        <v>1728.52</v>
      </c>
      <c r="S51" s="8" t="n">
        <f aca="false">O51*M51</f>
        <v>1153.932</v>
      </c>
      <c r="T51" s="8" t="n">
        <f aca="false">R51+S51</f>
        <v>2882.452</v>
      </c>
      <c r="U51" s="8" t="n">
        <f aca="false">T51-K51</f>
        <v>959.272</v>
      </c>
      <c r="V51" s="8" t="n">
        <f aca="false">R51+S51-U51</f>
        <v>1923.18</v>
      </c>
      <c r="W51" s="9" t="str">
        <f aca="false">IF(ROUND(V51-K51,2)=0,"OK","ERRO")</f>
        <v>OK</v>
      </c>
      <c r="X51" s="9" t="str">
        <f aca="false">VLOOKUP(F51,DIM_SERVICO!$A$2:$D$151,3,FALSE())</f>
        <v>Elétrica</v>
      </c>
    </row>
    <row r="52" customFormat="false" ht="15" hidden="false" customHeight="false" outlineLevel="0" collapsed="false">
      <c r="A52" s="2" t="n">
        <v>51</v>
      </c>
      <c r="B52" s="2" t="n">
        <v>832</v>
      </c>
      <c r="C52" s="2" t="n">
        <v>356</v>
      </c>
      <c r="D52" s="2" t="n">
        <v>1099</v>
      </c>
      <c r="E52" s="2" t="n">
        <v>261</v>
      </c>
      <c r="F52" s="2" t="n">
        <v>43</v>
      </c>
      <c r="G52" s="2" t="n">
        <v>1186</v>
      </c>
      <c r="H52" s="2" t="n">
        <v>2</v>
      </c>
      <c r="I52" s="3" t="n">
        <v>760.7</v>
      </c>
      <c r="J52" s="3" t="n">
        <v>1163.17</v>
      </c>
      <c r="K52" s="3" t="n">
        <v>2798.87</v>
      </c>
      <c r="L52" s="3" t="n">
        <v>1542.83</v>
      </c>
      <c r="M52" s="2" t="n">
        <v>2</v>
      </c>
      <c r="N52" s="2" t="s">
        <v>24</v>
      </c>
      <c r="O52" s="4" t="n">
        <f aca="false">VLOOKUP(F52,DIM_SERVICO!$A$2:$D$151,4,FALSE())</f>
        <v>1163.17</v>
      </c>
      <c r="P52" s="4" t="n">
        <f aca="false">VLOOKUP(E52,DIM_PECA!$A$2:$F$501,6,FALSE())</f>
        <v>817.85</v>
      </c>
      <c r="Q52" s="4" t="n">
        <f aca="false">VLOOKUP(E52,DIM_PECA!$A$2:$F$501,5,FALSE())</f>
        <v>380.35</v>
      </c>
      <c r="R52" s="4" t="n">
        <f aca="false">H52*P52</f>
        <v>1635.7</v>
      </c>
      <c r="S52" s="4" t="n">
        <f aca="false">O52*M52</f>
        <v>2326.34</v>
      </c>
      <c r="T52" s="4" t="n">
        <f aca="false">R52+S52</f>
        <v>3962.04</v>
      </c>
      <c r="U52" s="4" t="n">
        <f aca="false">T52-K52</f>
        <v>1163.17</v>
      </c>
      <c r="V52" s="4" t="n">
        <f aca="false">R52+S52-U52</f>
        <v>2798.87</v>
      </c>
      <c r="W52" s="5" t="str">
        <f aca="false">IF(ROUND(V52-K52,2)=0,"OK","ERRO")</f>
        <v>OK</v>
      </c>
      <c r="X52" s="5" t="str">
        <f aca="false">VLOOKUP(F52,DIM_SERVICO!$A$2:$D$151,3,FALSE())</f>
        <v>Diagnóstico</v>
      </c>
    </row>
    <row r="53" customFormat="false" ht="15" hidden="false" customHeight="false" outlineLevel="0" collapsed="false">
      <c r="A53" s="6" t="n">
        <v>52</v>
      </c>
      <c r="B53" s="6" t="n">
        <v>781</v>
      </c>
      <c r="C53" s="6" t="n">
        <v>264</v>
      </c>
      <c r="D53" s="6" t="n">
        <v>901</v>
      </c>
      <c r="E53" s="6" t="n">
        <v>65</v>
      </c>
      <c r="F53" s="6" t="n">
        <v>109</v>
      </c>
      <c r="G53" s="6" t="n">
        <v>729</v>
      </c>
      <c r="H53" s="6" t="n">
        <v>3</v>
      </c>
      <c r="I53" s="7" t="n">
        <v>147.84</v>
      </c>
      <c r="J53" s="7" t="n">
        <v>1418.47</v>
      </c>
      <c r="K53" s="7" t="n">
        <v>1549.61</v>
      </c>
      <c r="L53" s="7" t="n">
        <v>772.02</v>
      </c>
      <c r="M53" s="6" t="n">
        <v>1.1</v>
      </c>
      <c r="N53" s="6" t="s">
        <v>26</v>
      </c>
      <c r="O53" s="8" t="n">
        <f aca="false">VLOOKUP(F53,DIM_SERVICO!$A$2:$D$151,4,FALSE())</f>
        <v>1418.47</v>
      </c>
      <c r="P53" s="8" t="n">
        <f aca="false">VLOOKUP(E53,DIM_PECA!$A$2:$F$501,6,FALSE())</f>
        <v>70.9</v>
      </c>
      <c r="Q53" s="8" t="n">
        <f aca="false">VLOOKUP(E53,DIM_PECA!$A$2:$F$501,5,FALSE())</f>
        <v>49.28</v>
      </c>
      <c r="R53" s="8" t="n">
        <f aca="false">H53*P53</f>
        <v>212.7</v>
      </c>
      <c r="S53" s="8" t="n">
        <f aca="false">O53*M53</f>
        <v>1560.317</v>
      </c>
      <c r="T53" s="8" t="n">
        <f aca="false">R53+S53</f>
        <v>1773.017</v>
      </c>
      <c r="U53" s="8" t="n">
        <f aca="false">T53-K53</f>
        <v>223.407</v>
      </c>
      <c r="V53" s="8" t="n">
        <f aca="false">R53+S53-U53</f>
        <v>1549.61</v>
      </c>
      <c r="W53" s="9" t="str">
        <f aca="false">IF(ROUND(V53-K53,2)=0,"OK","ERRO")</f>
        <v>OK</v>
      </c>
      <c r="X53" s="9" t="str">
        <f aca="false">VLOOKUP(F53,DIM_SERVICO!$A$2:$D$151,3,FALSE())</f>
        <v>Pintura</v>
      </c>
    </row>
    <row r="54" customFormat="false" ht="15" hidden="false" customHeight="false" outlineLevel="0" collapsed="false">
      <c r="A54" s="2" t="n">
        <v>53</v>
      </c>
      <c r="B54" s="2" t="n">
        <v>1279</v>
      </c>
      <c r="C54" s="2" t="n">
        <v>369</v>
      </c>
      <c r="D54" s="2" t="n">
        <v>519</v>
      </c>
      <c r="E54" s="2" t="n">
        <v>265</v>
      </c>
      <c r="F54" s="2" t="n">
        <v>19</v>
      </c>
      <c r="G54" s="2" t="n">
        <v>4</v>
      </c>
      <c r="H54" s="2" t="n">
        <v>3</v>
      </c>
      <c r="I54" s="3" t="n">
        <v>2464.89</v>
      </c>
      <c r="J54" s="3" t="n">
        <v>1822.04</v>
      </c>
      <c r="K54" s="3" t="n">
        <v>6216.92</v>
      </c>
      <c r="L54" s="3" t="n">
        <v>2981.77</v>
      </c>
      <c r="M54" s="2" t="n">
        <v>7.1</v>
      </c>
      <c r="N54" s="2" t="s">
        <v>25</v>
      </c>
      <c r="O54" s="4" t="n">
        <f aca="false">VLOOKUP(F54,DIM_SERVICO!$A$2:$D$151,4,FALSE())</f>
        <v>1822.04</v>
      </c>
      <c r="P54" s="4" t="n">
        <f aca="false">VLOOKUP(E54,DIM_PECA!$A$2:$F$501,6,FALSE())</f>
        <v>1645.16</v>
      </c>
      <c r="Q54" s="4" t="n">
        <f aca="false">VLOOKUP(E54,DIM_PECA!$A$2:$F$501,5,FALSE())</f>
        <v>821.63</v>
      </c>
      <c r="R54" s="4" t="n">
        <f aca="false">H54*P54</f>
        <v>4935.48</v>
      </c>
      <c r="S54" s="4" t="n">
        <f aca="false">O54*M54</f>
        <v>12936.484</v>
      </c>
      <c r="T54" s="4" t="n">
        <f aca="false">R54+S54</f>
        <v>17871.964</v>
      </c>
      <c r="U54" s="4" t="n">
        <f aca="false">T54-K54</f>
        <v>11655.044</v>
      </c>
      <c r="V54" s="4" t="n">
        <f aca="false">R54+S54-U54</f>
        <v>6216.92</v>
      </c>
      <c r="W54" s="5" t="str">
        <f aca="false">IF(ROUND(V54-K54,2)=0,"OK","ERRO")</f>
        <v>OK</v>
      </c>
      <c r="X54" s="5" t="str">
        <f aca="false">VLOOKUP(F54,DIM_SERVICO!$A$2:$D$151,3,FALSE())</f>
        <v>Pintura</v>
      </c>
    </row>
    <row r="55" customFormat="false" ht="15" hidden="false" customHeight="false" outlineLevel="0" collapsed="false">
      <c r="A55" s="6" t="n">
        <v>54</v>
      </c>
      <c r="B55" s="6" t="n">
        <v>291</v>
      </c>
      <c r="C55" s="6" t="n">
        <v>182</v>
      </c>
      <c r="D55" s="6" t="n">
        <v>666</v>
      </c>
      <c r="E55" s="6" t="n">
        <v>393</v>
      </c>
      <c r="F55" s="6" t="n">
        <v>136</v>
      </c>
      <c r="G55" s="6" t="n">
        <v>1523</v>
      </c>
      <c r="H55" s="6" t="n">
        <v>3</v>
      </c>
      <c r="I55" s="7" t="n">
        <v>3401.25</v>
      </c>
      <c r="J55" s="7" t="n">
        <v>509.38</v>
      </c>
      <c r="K55" s="7" t="n">
        <v>6736.48</v>
      </c>
      <c r="L55" s="7" t="n">
        <v>3130</v>
      </c>
      <c r="M55" s="6" t="n">
        <v>10.8</v>
      </c>
      <c r="N55" s="6" t="s">
        <v>24</v>
      </c>
      <c r="O55" s="8" t="n">
        <f aca="false">VLOOKUP(F55,DIM_SERVICO!$A$2:$D$151,4,FALSE())</f>
        <v>509.38</v>
      </c>
      <c r="P55" s="8" t="n">
        <f aca="false">VLOOKUP(E55,DIM_PECA!$A$2:$F$501,6,FALSE())</f>
        <v>2075.7</v>
      </c>
      <c r="Q55" s="8" t="n">
        <f aca="false">VLOOKUP(E55,DIM_PECA!$A$2:$F$501,5,FALSE())</f>
        <v>1133.75</v>
      </c>
      <c r="R55" s="8" t="n">
        <f aca="false">H55*P55</f>
        <v>6227.1</v>
      </c>
      <c r="S55" s="8" t="n">
        <f aca="false">O55*M55</f>
        <v>5501.304</v>
      </c>
      <c r="T55" s="8" t="n">
        <f aca="false">R55+S55</f>
        <v>11728.404</v>
      </c>
      <c r="U55" s="8" t="n">
        <f aca="false">T55-K55</f>
        <v>4991.924</v>
      </c>
      <c r="V55" s="8" t="n">
        <f aca="false">R55+S55-U55</f>
        <v>6736.48</v>
      </c>
      <c r="W55" s="9" t="str">
        <f aca="false">IF(ROUND(V55-K55,2)=0,"OK","ERRO")</f>
        <v>OK</v>
      </c>
      <c r="X55" s="9" t="str">
        <f aca="false">VLOOKUP(F55,DIM_SERVICO!$A$2:$D$151,3,FALSE())</f>
        <v>Elétrica</v>
      </c>
    </row>
    <row r="56" customFormat="false" ht="15" hidden="false" customHeight="false" outlineLevel="0" collapsed="false">
      <c r="A56" s="2" t="n">
        <v>55</v>
      </c>
      <c r="B56" s="2" t="n">
        <v>651</v>
      </c>
      <c r="C56" s="2" t="n">
        <v>718</v>
      </c>
      <c r="D56" s="2" t="n">
        <v>208</v>
      </c>
      <c r="E56" s="2" t="n">
        <v>334</v>
      </c>
      <c r="F56" s="2" t="n">
        <v>38</v>
      </c>
      <c r="G56" s="2" t="n">
        <v>1579</v>
      </c>
      <c r="H56" s="2" t="n">
        <v>2</v>
      </c>
      <c r="I56" s="3" t="n">
        <v>1168.38</v>
      </c>
      <c r="J56" s="3" t="n">
        <v>1721.52</v>
      </c>
      <c r="K56" s="3" t="n">
        <v>3528.94</v>
      </c>
      <c r="L56" s="3" t="n">
        <v>1687.59</v>
      </c>
      <c r="M56" s="2" t="n">
        <v>3.7</v>
      </c>
      <c r="N56" s="2" t="s">
        <v>24</v>
      </c>
      <c r="O56" s="4" t="n">
        <f aca="false">VLOOKUP(F56,DIM_SERVICO!$A$2:$D$151,4,FALSE())</f>
        <v>1721.52</v>
      </c>
      <c r="P56" s="4" t="n">
        <f aca="false">VLOOKUP(E56,DIM_PECA!$A$2:$F$501,6,FALSE())</f>
        <v>903.71</v>
      </c>
      <c r="Q56" s="4" t="n">
        <f aca="false">VLOOKUP(E56,DIM_PECA!$A$2:$F$501,5,FALSE())</f>
        <v>584.19</v>
      </c>
      <c r="R56" s="4" t="n">
        <f aca="false">H56*P56</f>
        <v>1807.42</v>
      </c>
      <c r="S56" s="4" t="n">
        <f aca="false">O56*M56</f>
        <v>6369.624</v>
      </c>
      <c r="T56" s="4" t="n">
        <f aca="false">R56+S56</f>
        <v>8177.044</v>
      </c>
      <c r="U56" s="4" t="n">
        <f aca="false">T56-K56</f>
        <v>4648.104</v>
      </c>
      <c r="V56" s="4" t="n">
        <f aca="false">R56+S56-U56</f>
        <v>3528.94</v>
      </c>
      <c r="W56" s="5" t="str">
        <f aca="false">IF(ROUND(V56-K56,2)=0,"OK","ERRO")</f>
        <v>OK</v>
      </c>
      <c r="X56" s="5" t="str">
        <f aca="false">VLOOKUP(F56,DIM_SERVICO!$A$2:$D$151,3,FALSE())</f>
        <v>Motor</v>
      </c>
    </row>
    <row r="57" customFormat="false" ht="15" hidden="false" customHeight="false" outlineLevel="0" collapsed="false">
      <c r="A57" s="6" t="n">
        <v>56</v>
      </c>
      <c r="B57" s="6" t="n">
        <v>1002</v>
      </c>
      <c r="C57" s="6" t="n">
        <v>1468</v>
      </c>
      <c r="D57" s="6" t="n">
        <v>845</v>
      </c>
      <c r="E57" s="6" t="n">
        <v>355</v>
      </c>
      <c r="F57" s="6" t="n">
        <v>7</v>
      </c>
      <c r="G57" s="6" t="n">
        <v>1053</v>
      </c>
      <c r="H57" s="6" t="n">
        <v>1</v>
      </c>
      <c r="I57" s="7" t="n">
        <v>1050.93</v>
      </c>
      <c r="J57" s="7" t="n">
        <v>2158.23</v>
      </c>
      <c r="K57" s="7" t="n">
        <v>3921.19</v>
      </c>
      <c r="L57" s="7" t="n">
        <v>1746.55</v>
      </c>
      <c r="M57" s="6" t="n">
        <v>1.3</v>
      </c>
      <c r="N57" s="6" t="s">
        <v>24</v>
      </c>
      <c r="O57" s="8" t="n">
        <f aca="false">VLOOKUP(F57,DIM_SERVICO!$A$2:$D$151,4,FALSE())</f>
        <v>2158.23</v>
      </c>
      <c r="P57" s="8" t="n">
        <f aca="false">VLOOKUP(E57,DIM_PECA!$A$2:$F$501,6,FALSE())</f>
        <v>1842.98</v>
      </c>
      <c r="Q57" s="8" t="n">
        <f aca="false">VLOOKUP(E57,DIM_PECA!$A$2:$F$501,5,FALSE())</f>
        <v>1050.93</v>
      </c>
      <c r="R57" s="8" t="n">
        <f aca="false">H57*P57</f>
        <v>1842.98</v>
      </c>
      <c r="S57" s="8" t="n">
        <f aca="false">O57*M57</f>
        <v>2805.699</v>
      </c>
      <c r="T57" s="8" t="n">
        <f aca="false">R57+S57</f>
        <v>4648.679</v>
      </c>
      <c r="U57" s="8" t="n">
        <f aca="false">T57-K57</f>
        <v>727.489</v>
      </c>
      <c r="V57" s="8" t="n">
        <f aca="false">R57+S57-U57</f>
        <v>3921.19</v>
      </c>
      <c r="W57" s="9" t="str">
        <f aca="false">IF(ROUND(V57-K57,2)=0,"OK","ERRO")</f>
        <v>OK</v>
      </c>
      <c r="X57" s="9" t="str">
        <f aca="false">VLOOKUP(F57,DIM_SERVICO!$A$2:$D$151,3,FALSE())</f>
        <v>Revisão</v>
      </c>
    </row>
    <row r="58" customFormat="false" ht="15" hidden="false" customHeight="false" outlineLevel="0" collapsed="false">
      <c r="A58" s="2" t="n">
        <v>57</v>
      </c>
      <c r="B58" s="2" t="n">
        <v>1460</v>
      </c>
      <c r="C58" s="2" t="n">
        <v>491</v>
      </c>
      <c r="D58" s="2" t="n">
        <v>1066</v>
      </c>
      <c r="E58" s="2" t="n">
        <v>169</v>
      </c>
      <c r="F58" s="2" t="n">
        <v>75</v>
      </c>
      <c r="G58" s="2" t="n">
        <v>489</v>
      </c>
      <c r="H58" s="2" t="n">
        <v>3</v>
      </c>
      <c r="I58" s="3" t="n">
        <v>2945.01</v>
      </c>
      <c r="J58" s="3" t="n">
        <v>1549.88</v>
      </c>
      <c r="K58" s="3" t="n">
        <v>7231.98</v>
      </c>
      <c r="L58" s="3" t="n">
        <v>3577.16</v>
      </c>
      <c r="M58" s="2" t="n">
        <v>8</v>
      </c>
      <c r="N58" s="2" t="s">
        <v>26</v>
      </c>
      <c r="O58" s="4" t="n">
        <f aca="false">VLOOKUP(F58,DIM_SERVICO!$A$2:$D$151,4,FALSE())</f>
        <v>1549.88</v>
      </c>
      <c r="P58" s="4" t="n">
        <f aca="false">VLOOKUP(E58,DIM_PECA!$A$2:$F$501,6,FALSE())</f>
        <v>1943.23</v>
      </c>
      <c r="Q58" s="4" t="n">
        <f aca="false">VLOOKUP(E58,DIM_PECA!$A$2:$F$501,5,FALSE())</f>
        <v>981.67</v>
      </c>
      <c r="R58" s="4" t="n">
        <f aca="false">H58*P58</f>
        <v>5829.69</v>
      </c>
      <c r="S58" s="4" t="n">
        <f aca="false">O58*M58</f>
        <v>12399.04</v>
      </c>
      <c r="T58" s="4" t="n">
        <f aca="false">R58+S58</f>
        <v>18228.73</v>
      </c>
      <c r="U58" s="4" t="n">
        <f aca="false">T58-K58</f>
        <v>10996.75</v>
      </c>
      <c r="V58" s="4" t="n">
        <f aca="false">R58+S58-U58</f>
        <v>7231.98</v>
      </c>
      <c r="W58" s="5" t="str">
        <f aca="false">IF(ROUND(V58-K58,2)=0,"OK","ERRO")</f>
        <v>OK</v>
      </c>
      <c r="X58" s="5" t="str">
        <f aca="false">VLOOKUP(F58,DIM_SERVICO!$A$2:$D$151,3,FALSE())</f>
        <v>Freios</v>
      </c>
    </row>
    <row r="59" customFormat="false" ht="15" hidden="false" customHeight="false" outlineLevel="0" collapsed="false">
      <c r="A59" s="6" t="n">
        <v>58</v>
      </c>
      <c r="B59" s="6" t="n">
        <v>1186</v>
      </c>
      <c r="C59" s="6" t="n">
        <v>552</v>
      </c>
      <c r="D59" s="6" t="n">
        <v>591</v>
      </c>
      <c r="E59" s="6" t="n">
        <v>318</v>
      </c>
      <c r="F59" s="6" t="n">
        <v>6</v>
      </c>
      <c r="G59" s="6" t="n">
        <v>1521</v>
      </c>
      <c r="H59" s="6" t="n">
        <v>4</v>
      </c>
      <c r="I59" s="7" t="n">
        <v>3289.56</v>
      </c>
      <c r="J59" s="7" t="n">
        <v>1505.67</v>
      </c>
      <c r="K59" s="7" t="n">
        <v>6802.83</v>
      </c>
      <c r="L59" s="7" t="n">
        <v>2686.11</v>
      </c>
      <c r="M59" s="6" t="n">
        <v>10.1</v>
      </c>
      <c r="N59" s="6" t="s">
        <v>27</v>
      </c>
      <c r="O59" s="8" t="n">
        <f aca="false">VLOOKUP(F59,DIM_SERVICO!$A$2:$D$151,4,FALSE())</f>
        <v>1505.67</v>
      </c>
      <c r="P59" s="8" t="n">
        <f aca="false">VLOOKUP(E59,DIM_PECA!$A$2:$F$501,6,FALSE())</f>
        <v>1324.29</v>
      </c>
      <c r="Q59" s="8" t="n">
        <f aca="false">VLOOKUP(E59,DIM_PECA!$A$2:$F$501,5,FALSE())</f>
        <v>822.39</v>
      </c>
      <c r="R59" s="8" t="n">
        <f aca="false">H59*P59</f>
        <v>5297.16</v>
      </c>
      <c r="S59" s="8" t="n">
        <f aca="false">O59*M59</f>
        <v>15207.267</v>
      </c>
      <c r="T59" s="8" t="n">
        <f aca="false">R59+S59</f>
        <v>20504.427</v>
      </c>
      <c r="U59" s="8" t="n">
        <f aca="false">T59-K59</f>
        <v>13701.597</v>
      </c>
      <c r="V59" s="8" t="n">
        <f aca="false">R59+S59-U59</f>
        <v>6802.83</v>
      </c>
      <c r="W59" s="9" t="str">
        <f aca="false">IF(ROUND(V59-K59,2)=0,"OK","ERRO")</f>
        <v>OK</v>
      </c>
      <c r="X59" s="9" t="str">
        <f aca="false">VLOOKUP(F59,DIM_SERVICO!$A$2:$D$151,3,FALSE())</f>
        <v>Motor</v>
      </c>
    </row>
    <row r="60" customFormat="false" ht="15" hidden="false" customHeight="false" outlineLevel="0" collapsed="false">
      <c r="A60" s="2" t="n">
        <v>59</v>
      </c>
      <c r="B60" s="2" t="n">
        <v>239</v>
      </c>
      <c r="C60" s="2" t="n">
        <v>320</v>
      </c>
      <c r="D60" s="2" t="n">
        <v>938</v>
      </c>
      <c r="E60" s="2" t="n">
        <v>84</v>
      </c>
      <c r="F60" s="2" t="n">
        <v>19</v>
      </c>
      <c r="G60" s="2" t="n">
        <v>1305</v>
      </c>
      <c r="H60" s="2" t="n">
        <v>1</v>
      </c>
      <c r="I60" s="3" t="n">
        <v>620.79</v>
      </c>
      <c r="J60" s="3" t="n">
        <v>1822.04</v>
      </c>
      <c r="K60" s="3" t="n">
        <v>2584.22</v>
      </c>
      <c r="L60" s="3" t="n">
        <v>1299.71</v>
      </c>
      <c r="M60" s="2" t="n">
        <v>4</v>
      </c>
      <c r="N60" s="2" t="s">
        <v>24</v>
      </c>
      <c r="O60" s="4" t="n">
        <f aca="false">VLOOKUP(F60,DIM_SERVICO!$A$2:$D$151,4,FALSE())</f>
        <v>1822.04</v>
      </c>
      <c r="P60" s="4" t="n">
        <f aca="false">VLOOKUP(E60,DIM_PECA!$A$2:$F$501,6,FALSE())</f>
        <v>1049.31</v>
      </c>
      <c r="Q60" s="4" t="n">
        <f aca="false">VLOOKUP(E60,DIM_PECA!$A$2:$F$501,5,FALSE())</f>
        <v>620.79</v>
      </c>
      <c r="R60" s="4" t="n">
        <f aca="false">H60*P60</f>
        <v>1049.31</v>
      </c>
      <c r="S60" s="4" t="n">
        <f aca="false">O60*M60</f>
        <v>7288.16</v>
      </c>
      <c r="T60" s="4" t="n">
        <f aca="false">R60+S60</f>
        <v>8337.47</v>
      </c>
      <c r="U60" s="4" t="n">
        <f aca="false">T60-K60</f>
        <v>5753.25</v>
      </c>
      <c r="V60" s="4" t="n">
        <f aca="false">R60+S60-U60</f>
        <v>2584.22</v>
      </c>
      <c r="W60" s="5" t="str">
        <f aca="false">IF(ROUND(V60-K60,2)=0,"OK","ERRO")</f>
        <v>OK</v>
      </c>
      <c r="X60" s="5" t="str">
        <f aca="false">VLOOKUP(F60,DIM_SERVICO!$A$2:$D$151,3,FALSE())</f>
        <v>Pintura</v>
      </c>
    </row>
    <row r="61" customFormat="false" ht="15" hidden="false" customHeight="false" outlineLevel="0" collapsed="false">
      <c r="A61" s="6" t="n">
        <v>60</v>
      </c>
      <c r="B61" s="6" t="n">
        <v>1347</v>
      </c>
      <c r="C61" s="6" t="n">
        <v>312</v>
      </c>
      <c r="D61" s="6" t="n">
        <v>171</v>
      </c>
      <c r="E61" s="6" t="n">
        <v>498</v>
      </c>
      <c r="F61" s="6" t="n">
        <v>131</v>
      </c>
      <c r="G61" s="6" t="n">
        <v>162</v>
      </c>
      <c r="H61" s="6" t="n">
        <v>3</v>
      </c>
      <c r="I61" s="7" t="n">
        <v>128.91</v>
      </c>
      <c r="J61" s="7" t="n">
        <v>419.61</v>
      </c>
      <c r="K61" s="7" t="n">
        <v>686.64</v>
      </c>
      <c r="L61" s="7" t="n">
        <v>388.83</v>
      </c>
      <c r="M61" s="6" t="n">
        <v>11.7</v>
      </c>
      <c r="N61" s="6" t="s">
        <v>24</v>
      </c>
      <c r="O61" s="8" t="n">
        <f aca="false">VLOOKUP(F61,DIM_SERVICO!$A$2:$D$151,4,FALSE())</f>
        <v>419.61</v>
      </c>
      <c r="P61" s="8" t="n">
        <f aca="false">VLOOKUP(E61,DIM_PECA!$A$2:$F$501,6,FALSE())</f>
        <v>89.01</v>
      </c>
      <c r="Q61" s="8" t="n">
        <f aca="false">VLOOKUP(E61,DIM_PECA!$A$2:$F$501,5,FALSE())</f>
        <v>42.97</v>
      </c>
      <c r="R61" s="8" t="n">
        <f aca="false">H61*P61</f>
        <v>267.03</v>
      </c>
      <c r="S61" s="8" t="n">
        <f aca="false">O61*M61</f>
        <v>4909.437</v>
      </c>
      <c r="T61" s="8" t="n">
        <f aca="false">R61+S61</f>
        <v>5176.467</v>
      </c>
      <c r="U61" s="8" t="n">
        <f aca="false">T61-K61</f>
        <v>4489.827</v>
      </c>
      <c r="V61" s="8" t="n">
        <f aca="false">R61+S61-U61</f>
        <v>686.64</v>
      </c>
      <c r="W61" s="9" t="str">
        <f aca="false">IF(ROUND(V61-K61,2)=0,"OK","ERRO")</f>
        <v>OK</v>
      </c>
      <c r="X61" s="9" t="str">
        <f aca="false">VLOOKUP(F61,DIM_SERVICO!$A$2:$D$151,3,FALSE())</f>
        <v>Freios</v>
      </c>
    </row>
    <row r="62" customFormat="false" ht="15" hidden="false" customHeight="false" outlineLevel="0" collapsed="false">
      <c r="A62" s="2" t="n">
        <v>61</v>
      </c>
      <c r="B62" s="2" t="n">
        <v>531</v>
      </c>
      <c r="C62" s="2" t="n">
        <v>1035</v>
      </c>
      <c r="D62" s="2" t="n">
        <v>1050</v>
      </c>
      <c r="E62" s="2" t="n">
        <v>112</v>
      </c>
      <c r="F62" s="2" t="n">
        <v>119</v>
      </c>
      <c r="G62" s="2" t="n">
        <v>1302</v>
      </c>
      <c r="H62" s="2" t="n">
        <v>4</v>
      </c>
      <c r="I62" s="3" t="n">
        <v>2516.92</v>
      </c>
      <c r="J62" s="3" t="n">
        <v>92.23</v>
      </c>
      <c r="K62" s="3" t="n">
        <v>4819.43</v>
      </c>
      <c r="L62" s="3" t="n">
        <v>2261.24</v>
      </c>
      <c r="M62" s="2" t="n">
        <v>10.3</v>
      </c>
      <c r="N62" s="2" t="s">
        <v>24</v>
      </c>
      <c r="O62" s="4" t="n">
        <f aca="false">VLOOKUP(F62,DIM_SERVICO!$A$2:$D$151,4,FALSE())</f>
        <v>92.23</v>
      </c>
      <c r="P62" s="4" t="n">
        <f aca="false">VLOOKUP(E62,DIM_PECA!$A$2:$F$501,6,FALSE())</f>
        <v>1181.8</v>
      </c>
      <c r="Q62" s="4" t="n">
        <f aca="false">VLOOKUP(E62,DIM_PECA!$A$2:$F$501,5,FALSE())</f>
        <v>629.23</v>
      </c>
      <c r="R62" s="4" t="n">
        <f aca="false">H62*P62</f>
        <v>4727.2</v>
      </c>
      <c r="S62" s="4" t="n">
        <f aca="false">O62*M62</f>
        <v>949.969</v>
      </c>
      <c r="T62" s="4" t="n">
        <f aca="false">R62+S62</f>
        <v>5677.169</v>
      </c>
      <c r="U62" s="4" t="n">
        <f aca="false">T62-K62</f>
        <v>857.739</v>
      </c>
      <c r="V62" s="4" t="n">
        <f aca="false">R62+S62-U62</f>
        <v>4819.43</v>
      </c>
      <c r="W62" s="5" t="str">
        <f aca="false">IF(ROUND(V62-K62,2)=0,"OK","ERRO")</f>
        <v>OK</v>
      </c>
      <c r="X62" s="5" t="str">
        <f aca="false">VLOOKUP(F62,DIM_SERVICO!$A$2:$D$151,3,FALSE())</f>
        <v>Motor</v>
      </c>
    </row>
    <row r="63" customFormat="false" ht="15" hidden="false" customHeight="false" outlineLevel="0" collapsed="false">
      <c r="A63" s="6" t="n">
        <v>62</v>
      </c>
      <c r="B63" s="6" t="n">
        <v>1148</v>
      </c>
      <c r="C63" s="6" t="n">
        <v>910</v>
      </c>
      <c r="D63" s="6" t="n">
        <v>51</v>
      </c>
      <c r="E63" s="6" t="n">
        <v>319</v>
      </c>
      <c r="F63" s="6" t="n">
        <v>95</v>
      </c>
      <c r="G63" s="6" t="n">
        <v>1322</v>
      </c>
      <c r="H63" s="6" t="n">
        <v>1</v>
      </c>
      <c r="I63" s="7" t="n">
        <v>775.09</v>
      </c>
      <c r="J63" s="7" t="n">
        <v>1029.22</v>
      </c>
      <c r="K63" s="7" t="n">
        <v>2376.42</v>
      </c>
      <c r="L63" s="7" t="n">
        <v>1158.32</v>
      </c>
      <c r="M63" s="6" t="n">
        <v>4.9</v>
      </c>
      <c r="N63" s="6" t="s">
        <v>24</v>
      </c>
      <c r="O63" s="8" t="n">
        <f aca="false">VLOOKUP(F63,DIM_SERVICO!$A$2:$D$151,4,FALSE())</f>
        <v>1029.22</v>
      </c>
      <c r="P63" s="8" t="n">
        <f aca="false">VLOOKUP(E63,DIM_PECA!$A$2:$F$501,6,FALSE())</f>
        <v>1553.85</v>
      </c>
      <c r="Q63" s="8" t="n">
        <f aca="false">VLOOKUP(E63,DIM_PECA!$A$2:$F$501,5,FALSE())</f>
        <v>775.09</v>
      </c>
      <c r="R63" s="8" t="n">
        <f aca="false">H63*P63</f>
        <v>1553.85</v>
      </c>
      <c r="S63" s="8" t="n">
        <f aca="false">O63*M63</f>
        <v>5043.178</v>
      </c>
      <c r="T63" s="8" t="n">
        <f aca="false">R63+S63</f>
        <v>6597.028</v>
      </c>
      <c r="U63" s="8" t="n">
        <f aca="false">T63-K63</f>
        <v>4220.608</v>
      </c>
      <c r="V63" s="8" t="n">
        <f aca="false">R63+S63-U63</f>
        <v>2376.42</v>
      </c>
      <c r="W63" s="9" t="str">
        <f aca="false">IF(ROUND(V63-K63,2)=0,"OK","ERRO")</f>
        <v>OK</v>
      </c>
      <c r="X63" s="9" t="str">
        <f aca="false">VLOOKUP(F63,DIM_SERVICO!$A$2:$D$151,3,FALSE())</f>
        <v>Elétrica</v>
      </c>
    </row>
    <row r="64" customFormat="false" ht="15" hidden="false" customHeight="false" outlineLevel="0" collapsed="false">
      <c r="A64" s="2" t="n">
        <v>63</v>
      </c>
      <c r="B64" s="2" t="n">
        <v>179</v>
      </c>
      <c r="C64" s="2" t="n">
        <v>446</v>
      </c>
      <c r="D64" s="2" t="n">
        <v>344</v>
      </c>
      <c r="E64" s="2" t="n">
        <v>228</v>
      </c>
      <c r="F64" s="2" t="n">
        <v>104</v>
      </c>
      <c r="G64" s="2" t="n">
        <v>368</v>
      </c>
      <c r="H64" s="2" t="n">
        <v>3</v>
      </c>
      <c r="I64" s="3" t="n">
        <v>1168.23</v>
      </c>
      <c r="J64" s="3" t="n">
        <v>409.99</v>
      </c>
      <c r="K64" s="3" t="n">
        <v>2500.82</v>
      </c>
      <c r="L64" s="3" t="n">
        <v>1135.24</v>
      </c>
      <c r="M64" s="2" t="n">
        <v>10.6</v>
      </c>
      <c r="N64" s="2" t="s">
        <v>26</v>
      </c>
      <c r="O64" s="4" t="n">
        <f aca="false">VLOOKUP(F64,DIM_SERVICO!$A$2:$D$151,4,FALSE())</f>
        <v>409.99</v>
      </c>
      <c r="P64" s="4" t="n">
        <f aca="false">VLOOKUP(E64,DIM_PECA!$A$2:$F$501,6,FALSE())</f>
        <v>769.43</v>
      </c>
      <c r="Q64" s="4" t="n">
        <f aca="false">VLOOKUP(E64,DIM_PECA!$A$2:$F$501,5,FALSE())</f>
        <v>389.41</v>
      </c>
      <c r="R64" s="4" t="n">
        <f aca="false">H64*P64</f>
        <v>2308.29</v>
      </c>
      <c r="S64" s="4" t="n">
        <f aca="false">O64*M64</f>
        <v>4345.894</v>
      </c>
      <c r="T64" s="4" t="n">
        <f aca="false">R64+S64</f>
        <v>6654.184</v>
      </c>
      <c r="U64" s="4" t="n">
        <f aca="false">T64-K64</f>
        <v>4153.364</v>
      </c>
      <c r="V64" s="4" t="n">
        <f aca="false">R64+S64-U64</f>
        <v>2500.82</v>
      </c>
      <c r="W64" s="5" t="str">
        <f aca="false">IF(ROUND(V64-K64,2)=0,"OK","ERRO")</f>
        <v>OK</v>
      </c>
      <c r="X64" s="5" t="str">
        <f aca="false">VLOOKUP(F64,DIM_SERVICO!$A$2:$D$151,3,FALSE())</f>
        <v>Diagnóstico</v>
      </c>
    </row>
    <row r="65" customFormat="false" ht="15" hidden="false" customHeight="false" outlineLevel="0" collapsed="false">
      <c r="A65" s="6" t="n">
        <v>64</v>
      </c>
      <c r="B65" s="6" t="n">
        <v>707</v>
      </c>
      <c r="C65" s="6" t="n">
        <v>415</v>
      </c>
      <c r="D65" s="6" t="n">
        <v>231</v>
      </c>
      <c r="E65" s="6" t="n">
        <v>219</v>
      </c>
      <c r="F65" s="6" t="n">
        <v>86</v>
      </c>
      <c r="G65" s="6" t="n">
        <v>928</v>
      </c>
      <c r="H65" s="6" t="n">
        <v>2</v>
      </c>
      <c r="I65" s="7" t="n">
        <v>688.1</v>
      </c>
      <c r="J65" s="7" t="n">
        <v>147.26</v>
      </c>
      <c r="K65" s="7" t="n">
        <v>1330.88</v>
      </c>
      <c r="L65" s="7" t="n">
        <v>563.03</v>
      </c>
      <c r="M65" s="6" t="n">
        <v>7.5</v>
      </c>
      <c r="N65" s="6" t="s">
        <v>24</v>
      </c>
      <c r="O65" s="8" t="n">
        <f aca="false">VLOOKUP(F65,DIM_SERVICO!$A$2:$D$151,4,FALSE())</f>
        <v>147.26</v>
      </c>
      <c r="P65" s="8" t="n">
        <f aca="false">VLOOKUP(E65,DIM_PECA!$A$2:$F$501,6,FALSE())</f>
        <v>591.81</v>
      </c>
      <c r="Q65" s="8" t="n">
        <f aca="false">VLOOKUP(E65,DIM_PECA!$A$2:$F$501,5,FALSE())</f>
        <v>344.05</v>
      </c>
      <c r="R65" s="8" t="n">
        <f aca="false">H65*P65</f>
        <v>1183.62</v>
      </c>
      <c r="S65" s="8" t="n">
        <f aca="false">O65*M65</f>
        <v>1104.45</v>
      </c>
      <c r="T65" s="8" t="n">
        <f aca="false">R65+S65</f>
        <v>2288.07</v>
      </c>
      <c r="U65" s="8" t="n">
        <f aca="false">T65-K65</f>
        <v>957.19</v>
      </c>
      <c r="V65" s="8" t="n">
        <f aca="false">R65+S65-U65</f>
        <v>1330.88</v>
      </c>
      <c r="W65" s="9" t="str">
        <f aca="false">IF(ROUND(V65-K65,2)=0,"OK","ERRO")</f>
        <v>OK</v>
      </c>
      <c r="X65" s="9" t="str">
        <f aca="false">VLOOKUP(F65,DIM_SERVICO!$A$2:$D$151,3,FALSE())</f>
        <v>Suspensão</v>
      </c>
    </row>
    <row r="66" customFormat="false" ht="15" hidden="false" customHeight="false" outlineLevel="0" collapsed="false">
      <c r="A66" s="2" t="n">
        <v>65</v>
      </c>
      <c r="B66" s="2" t="n">
        <v>98</v>
      </c>
      <c r="C66" s="2" t="n">
        <v>108</v>
      </c>
      <c r="D66" s="2" t="n">
        <v>459</v>
      </c>
      <c r="E66" s="2" t="n">
        <v>379</v>
      </c>
      <c r="F66" s="2" t="n">
        <v>126</v>
      </c>
      <c r="G66" s="2" t="n">
        <v>83</v>
      </c>
      <c r="H66" s="2" t="n">
        <v>4</v>
      </c>
      <c r="I66" s="3" t="n">
        <v>3000.32</v>
      </c>
      <c r="J66" s="3" t="n">
        <v>722.81</v>
      </c>
      <c r="K66" s="3" t="n">
        <v>5072.48</v>
      </c>
      <c r="L66" s="3" t="n">
        <v>1729.33</v>
      </c>
      <c r="M66" s="2" t="n">
        <v>9</v>
      </c>
      <c r="N66" s="2" t="s">
        <v>26</v>
      </c>
      <c r="O66" s="4" t="n">
        <f aca="false">VLOOKUP(F66,DIM_SERVICO!$A$2:$D$151,4,FALSE())</f>
        <v>722.81</v>
      </c>
      <c r="P66" s="4" t="n">
        <f aca="false">VLOOKUP(E66,DIM_PECA!$A$2:$F$501,6,FALSE())</f>
        <v>1154.16</v>
      </c>
      <c r="Q66" s="4" t="n">
        <f aca="false">VLOOKUP(E66,DIM_PECA!$A$2:$F$501,5,FALSE())</f>
        <v>750.08</v>
      </c>
      <c r="R66" s="4" t="n">
        <f aca="false">H66*P66</f>
        <v>4616.64</v>
      </c>
      <c r="S66" s="4" t="n">
        <f aca="false">O66*M66</f>
        <v>6505.29</v>
      </c>
      <c r="T66" s="4" t="n">
        <f aca="false">R66+S66</f>
        <v>11121.93</v>
      </c>
      <c r="U66" s="4" t="n">
        <f aca="false">T66-K66</f>
        <v>6049.45</v>
      </c>
      <c r="V66" s="4" t="n">
        <f aca="false">R66+S66-U66</f>
        <v>5072.48</v>
      </c>
      <c r="W66" s="5" t="str">
        <f aca="false">IF(ROUND(V66-K66,2)=0,"OK","ERRO")</f>
        <v>OK</v>
      </c>
      <c r="X66" s="5" t="str">
        <f aca="false">VLOOKUP(F66,DIM_SERVICO!$A$2:$D$151,3,FALSE())</f>
        <v>Freios</v>
      </c>
    </row>
    <row r="67" customFormat="false" ht="15" hidden="false" customHeight="false" outlineLevel="0" collapsed="false">
      <c r="A67" s="6" t="n">
        <v>66</v>
      </c>
      <c r="B67" s="6" t="n">
        <v>1218</v>
      </c>
      <c r="C67" s="6" t="n">
        <v>1313</v>
      </c>
      <c r="D67" s="6" t="n">
        <v>437</v>
      </c>
      <c r="E67" s="6" t="n">
        <v>226</v>
      </c>
      <c r="F67" s="6" t="n">
        <v>133</v>
      </c>
      <c r="G67" s="6" t="n">
        <v>1022</v>
      </c>
      <c r="H67" s="6" t="n">
        <v>4</v>
      </c>
      <c r="I67" s="7" t="n">
        <v>4738.08</v>
      </c>
      <c r="J67" s="7" t="n">
        <v>1635.43</v>
      </c>
      <c r="K67" s="7" t="n">
        <v>7424.94</v>
      </c>
      <c r="L67" s="7" t="n">
        <v>2006.91</v>
      </c>
      <c r="M67" s="6" t="n">
        <v>11.7</v>
      </c>
      <c r="N67" s="6" t="s">
        <v>27</v>
      </c>
      <c r="O67" s="8" t="n">
        <f aca="false">VLOOKUP(F67,DIM_SERVICO!$A$2:$D$151,4,FALSE())</f>
        <v>1635.43</v>
      </c>
      <c r="P67" s="8" t="n">
        <f aca="false">VLOOKUP(E67,DIM_PECA!$A$2:$F$501,6,FALSE())</f>
        <v>1608.79</v>
      </c>
      <c r="Q67" s="8" t="n">
        <f aca="false">VLOOKUP(E67,DIM_PECA!$A$2:$F$501,5,FALSE())</f>
        <v>1184.52</v>
      </c>
      <c r="R67" s="8" t="n">
        <f aca="false">H67*P67</f>
        <v>6435.16</v>
      </c>
      <c r="S67" s="8" t="n">
        <f aca="false">O67*M67</f>
        <v>19134.531</v>
      </c>
      <c r="T67" s="8" t="n">
        <f aca="false">R67+S67</f>
        <v>25569.691</v>
      </c>
      <c r="U67" s="8" t="n">
        <f aca="false">T67-K67</f>
        <v>18144.751</v>
      </c>
      <c r="V67" s="8" t="n">
        <f aca="false">R67+S67-U67</f>
        <v>7424.94</v>
      </c>
      <c r="W67" s="9" t="str">
        <f aca="false">IF(ROUND(V67-K67,2)=0,"OK","ERRO")</f>
        <v>OK</v>
      </c>
      <c r="X67" s="9" t="str">
        <f aca="false">VLOOKUP(F67,DIM_SERVICO!$A$2:$D$151,3,FALSE())</f>
        <v>Suspensão</v>
      </c>
    </row>
    <row r="68" customFormat="false" ht="15" hidden="false" customHeight="false" outlineLevel="0" collapsed="false">
      <c r="A68" s="2" t="n">
        <v>67</v>
      </c>
      <c r="B68" s="2" t="n">
        <v>56</v>
      </c>
      <c r="C68" s="2" t="n">
        <v>391</v>
      </c>
      <c r="D68" s="2" t="n">
        <v>1107</v>
      </c>
      <c r="E68" s="2" t="n">
        <v>302</v>
      </c>
      <c r="F68" s="2" t="n">
        <v>112</v>
      </c>
      <c r="G68" s="2" t="n">
        <v>1712</v>
      </c>
      <c r="H68" s="2" t="n">
        <v>2</v>
      </c>
      <c r="I68" s="3" t="n">
        <v>1192.74</v>
      </c>
      <c r="J68" s="3" t="n">
        <v>899.56</v>
      </c>
      <c r="K68" s="3" t="n">
        <v>3403.23</v>
      </c>
      <c r="L68" s="3" t="n">
        <v>1793.87</v>
      </c>
      <c r="M68" s="2" t="n">
        <v>9.8</v>
      </c>
      <c r="N68" s="2" t="s">
        <v>24</v>
      </c>
      <c r="O68" s="4" t="n">
        <f aca="false">VLOOKUP(F68,DIM_SERVICO!$A$2:$D$151,4,FALSE())</f>
        <v>899.56</v>
      </c>
      <c r="P68" s="4" t="n">
        <f aca="false">VLOOKUP(E68,DIM_PECA!$A$2:$F$501,6,FALSE())</f>
        <v>1286.56</v>
      </c>
      <c r="Q68" s="4" t="n">
        <f aca="false">VLOOKUP(E68,DIM_PECA!$A$2:$F$501,5,FALSE())</f>
        <v>596.37</v>
      </c>
      <c r="R68" s="4" t="n">
        <f aca="false">H68*P68</f>
        <v>2573.12</v>
      </c>
      <c r="S68" s="4" t="n">
        <f aca="false">O68*M68</f>
        <v>8815.688</v>
      </c>
      <c r="T68" s="4" t="n">
        <f aca="false">R68+S68</f>
        <v>11388.808</v>
      </c>
      <c r="U68" s="4" t="n">
        <f aca="false">T68-K68</f>
        <v>7985.578</v>
      </c>
      <c r="V68" s="4" t="n">
        <f aca="false">R68+S68-U68</f>
        <v>3403.23</v>
      </c>
      <c r="W68" s="5" t="str">
        <f aca="false">IF(ROUND(V68-K68,2)=0,"OK","ERRO")</f>
        <v>OK</v>
      </c>
      <c r="X68" s="5" t="str">
        <f aca="false">VLOOKUP(F68,DIM_SERVICO!$A$2:$D$151,3,FALSE())</f>
        <v>Elétrica</v>
      </c>
    </row>
    <row r="69" customFormat="false" ht="15" hidden="false" customHeight="false" outlineLevel="0" collapsed="false">
      <c r="A69" s="6" t="n">
        <v>68</v>
      </c>
      <c r="B69" s="6" t="n">
        <v>1129</v>
      </c>
      <c r="C69" s="6" t="n">
        <v>616</v>
      </c>
      <c r="D69" s="6" t="n">
        <v>666</v>
      </c>
      <c r="E69" s="6" t="n">
        <v>142</v>
      </c>
      <c r="F69" s="6" t="n">
        <v>69</v>
      </c>
      <c r="G69" s="6" t="n">
        <v>221</v>
      </c>
      <c r="H69" s="6" t="n">
        <v>2</v>
      </c>
      <c r="I69" s="7" t="n">
        <v>295.28</v>
      </c>
      <c r="J69" s="7" t="n">
        <v>905.47</v>
      </c>
      <c r="K69" s="7" t="n">
        <v>1393.75</v>
      </c>
      <c r="L69" s="7" t="n">
        <v>615.95</v>
      </c>
      <c r="M69" s="6" t="n">
        <v>11.7</v>
      </c>
      <c r="N69" s="6" t="s">
        <v>24</v>
      </c>
      <c r="O69" s="8" t="n">
        <f aca="false">VLOOKUP(F69,DIM_SERVICO!$A$2:$D$151,4,FALSE())</f>
        <v>905.47</v>
      </c>
      <c r="P69" s="8" t="n">
        <f aca="false">VLOOKUP(E69,DIM_PECA!$A$2:$F$501,6,FALSE())</f>
        <v>280.82</v>
      </c>
      <c r="Q69" s="8" t="n">
        <f aca="false">VLOOKUP(E69,DIM_PECA!$A$2:$F$501,5,FALSE())</f>
        <v>147.64</v>
      </c>
      <c r="R69" s="8" t="n">
        <f aca="false">H69*P69</f>
        <v>561.64</v>
      </c>
      <c r="S69" s="8" t="n">
        <f aca="false">O69*M69</f>
        <v>10593.999</v>
      </c>
      <c r="T69" s="8" t="n">
        <f aca="false">R69+S69</f>
        <v>11155.639</v>
      </c>
      <c r="U69" s="8" t="n">
        <f aca="false">T69-K69</f>
        <v>9761.889</v>
      </c>
      <c r="V69" s="8" t="n">
        <f aca="false">R69+S69-U69</f>
        <v>1393.75</v>
      </c>
      <c r="W69" s="9" t="str">
        <f aca="false">IF(ROUND(V69-K69,2)=0,"OK","ERRO")</f>
        <v>OK</v>
      </c>
      <c r="X69" s="9" t="str">
        <f aca="false">VLOOKUP(F69,DIM_SERVICO!$A$2:$D$151,3,FALSE())</f>
        <v>Motor</v>
      </c>
    </row>
    <row r="70" customFormat="false" ht="15" hidden="false" customHeight="false" outlineLevel="0" collapsed="false">
      <c r="A70" s="2" t="n">
        <v>69</v>
      </c>
      <c r="B70" s="2" t="n">
        <v>1211</v>
      </c>
      <c r="C70" s="2" t="n">
        <v>1165</v>
      </c>
      <c r="D70" s="2" t="n">
        <v>281</v>
      </c>
      <c r="E70" s="2" t="n">
        <v>270</v>
      </c>
      <c r="F70" s="2" t="n">
        <v>43</v>
      </c>
      <c r="G70" s="2" t="n">
        <v>819</v>
      </c>
      <c r="H70" s="2" t="n">
        <v>2</v>
      </c>
      <c r="I70" s="3" t="n">
        <v>2137.1</v>
      </c>
      <c r="J70" s="3" t="n">
        <v>1163.17</v>
      </c>
      <c r="K70" s="3" t="n">
        <v>4684.39</v>
      </c>
      <c r="L70" s="3" t="n">
        <v>1999.51</v>
      </c>
      <c r="M70" s="2" t="n">
        <v>5.3</v>
      </c>
      <c r="N70" s="2" t="s">
        <v>24</v>
      </c>
      <c r="O70" s="4" t="n">
        <f aca="false">VLOOKUP(F70,DIM_SERVICO!$A$2:$D$151,4,FALSE())</f>
        <v>1163.17</v>
      </c>
      <c r="P70" s="4" t="n">
        <f aca="false">VLOOKUP(E70,DIM_PECA!$A$2:$F$501,6,FALSE())</f>
        <v>1964.28</v>
      </c>
      <c r="Q70" s="4" t="n">
        <f aca="false">VLOOKUP(E70,DIM_PECA!$A$2:$F$501,5,FALSE())</f>
        <v>1068.55</v>
      </c>
      <c r="R70" s="4" t="n">
        <f aca="false">H70*P70</f>
        <v>3928.56</v>
      </c>
      <c r="S70" s="4" t="n">
        <f aca="false">O70*M70</f>
        <v>6164.801</v>
      </c>
      <c r="T70" s="4" t="n">
        <f aca="false">R70+S70</f>
        <v>10093.361</v>
      </c>
      <c r="U70" s="4" t="n">
        <f aca="false">T70-K70</f>
        <v>5408.971</v>
      </c>
      <c r="V70" s="4" t="n">
        <f aca="false">R70+S70-U70</f>
        <v>4684.39</v>
      </c>
      <c r="W70" s="5" t="str">
        <f aca="false">IF(ROUND(V70-K70,2)=0,"OK","ERRO")</f>
        <v>OK</v>
      </c>
      <c r="X70" s="5" t="str">
        <f aca="false">VLOOKUP(F70,DIM_SERVICO!$A$2:$D$151,3,FALSE())</f>
        <v>Diagnóstico</v>
      </c>
    </row>
    <row r="71" customFormat="false" ht="15" hidden="false" customHeight="false" outlineLevel="0" collapsed="false">
      <c r="A71" s="6" t="n">
        <v>70</v>
      </c>
      <c r="B71" s="6" t="n">
        <v>322</v>
      </c>
      <c r="C71" s="6" t="n">
        <v>721</v>
      </c>
      <c r="D71" s="6" t="n">
        <v>191</v>
      </c>
      <c r="E71" s="6" t="n">
        <v>162</v>
      </c>
      <c r="F71" s="6" t="n">
        <v>148</v>
      </c>
      <c r="G71" s="6" t="n">
        <v>643</v>
      </c>
      <c r="H71" s="6" t="n">
        <v>2</v>
      </c>
      <c r="I71" s="7" t="n">
        <v>433.2</v>
      </c>
      <c r="J71" s="7" t="n">
        <v>1276.19</v>
      </c>
      <c r="K71" s="7" t="n">
        <v>1835.84</v>
      </c>
      <c r="L71" s="7" t="n">
        <v>718.98</v>
      </c>
      <c r="M71" s="6" t="n">
        <v>10.3</v>
      </c>
      <c r="N71" s="6" t="s">
        <v>24</v>
      </c>
      <c r="O71" s="8" t="n">
        <f aca="false">VLOOKUP(F71,DIM_SERVICO!$A$2:$D$151,4,FALSE())</f>
        <v>1276.19</v>
      </c>
      <c r="P71" s="8" t="n">
        <f aca="false">VLOOKUP(E71,DIM_PECA!$A$2:$F$501,6,FALSE())</f>
        <v>298.56</v>
      </c>
      <c r="Q71" s="8" t="n">
        <f aca="false">VLOOKUP(E71,DIM_PECA!$A$2:$F$501,5,FALSE())</f>
        <v>216.6</v>
      </c>
      <c r="R71" s="8" t="n">
        <f aca="false">H71*P71</f>
        <v>597.12</v>
      </c>
      <c r="S71" s="8" t="n">
        <f aca="false">O71*M71</f>
        <v>13144.757</v>
      </c>
      <c r="T71" s="8" t="n">
        <f aca="false">R71+S71</f>
        <v>13741.877</v>
      </c>
      <c r="U71" s="8" t="n">
        <f aca="false">T71-K71</f>
        <v>11906.037</v>
      </c>
      <c r="V71" s="8" t="n">
        <f aca="false">R71+S71-U71</f>
        <v>1835.84</v>
      </c>
      <c r="W71" s="9" t="str">
        <f aca="false">IF(ROUND(V71-K71,2)=0,"OK","ERRO")</f>
        <v>OK</v>
      </c>
      <c r="X71" s="9" t="str">
        <f aca="false">VLOOKUP(F71,DIM_SERVICO!$A$2:$D$151,3,FALSE())</f>
        <v>Revisão</v>
      </c>
    </row>
    <row r="72" customFormat="false" ht="15" hidden="false" customHeight="false" outlineLevel="0" collapsed="false">
      <c r="A72" s="2" t="n">
        <v>71</v>
      </c>
      <c r="B72" s="2" t="n">
        <v>539</v>
      </c>
      <c r="C72" s="2" t="n">
        <v>1113</v>
      </c>
      <c r="D72" s="2" t="n">
        <v>886</v>
      </c>
      <c r="E72" s="2" t="n">
        <v>491</v>
      </c>
      <c r="F72" s="2" t="n">
        <v>26</v>
      </c>
      <c r="G72" s="2" t="n">
        <v>740</v>
      </c>
      <c r="H72" s="2" t="n">
        <v>3</v>
      </c>
      <c r="I72" s="3" t="n">
        <v>2210.79</v>
      </c>
      <c r="J72" s="3" t="n">
        <v>168.44</v>
      </c>
      <c r="K72" s="3" t="n">
        <v>4374.76</v>
      </c>
      <c r="L72" s="3" t="n">
        <v>2097.47</v>
      </c>
      <c r="M72" s="2" t="n">
        <v>1.3</v>
      </c>
      <c r="N72" s="2" t="s">
        <v>24</v>
      </c>
      <c r="O72" s="4" t="n">
        <f aca="false">VLOOKUP(F72,DIM_SERVICO!$A$2:$D$151,4,FALSE())</f>
        <v>168.44</v>
      </c>
      <c r="P72" s="4" t="n">
        <f aca="false">VLOOKUP(E72,DIM_PECA!$A$2:$F$501,6,FALSE())</f>
        <v>1528.91</v>
      </c>
      <c r="Q72" s="4" t="n">
        <f aca="false">VLOOKUP(E72,DIM_PECA!$A$2:$F$501,5,FALSE())</f>
        <v>736.93</v>
      </c>
      <c r="R72" s="4" t="n">
        <f aca="false">H72*P72</f>
        <v>4586.73</v>
      </c>
      <c r="S72" s="4" t="n">
        <f aca="false">O72*M72</f>
        <v>218.972</v>
      </c>
      <c r="T72" s="4" t="n">
        <f aca="false">R72+S72</f>
        <v>4805.702</v>
      </c>
      <c r="U72" s="4" t="n">
        <f aca="false">T72-K72</f>
        <v>430.942</v>
      </c>
      <c r="V72" s="4" t="n">
        <f aca="false">R72+S72-U72</f>
        <v>4374.76</v>
      </c>
      <c r="W72" s="5" t="str">
        <f aca="false">IF(ROUND(V72-K72,2)=0,"OK","ERRO")</f>
        <v>OK</v>
      </c>
      <c r="X72" s="5" t="str">
        <f aca="false">VLOOKUP(F72,DIM_SERVICO!$A$2:$D$151,3,FALSE())</f>
        <v>Suspensão</v>
      </c>
    </row>
    <row r="73" customFormat="false" ht="15" hidden="false" customHeight="false" outlineLevel="0" collapsed="false">
      <c r="A73" s="6" t="n">
        <v>72</v>
      </c>
      <c r="B73" s="6" t="n">
        <v>1408</v>
      </c>
      <c r="C73" s="6" t="n">
        <v>1327</v>
      </c>
      <c r="D73" s="6" t="n">
        <v>814</v>
      </c>
      <c r="E73" s="6" t="n">
        <v>294</v>
      </c>
      <c r="F73" s="6" t="n">
        <v>59</v>
      </c>
      <c r="G73" s="6" t="n">
        <v>146</v>
      </c>
      <c r="H73" s="6" t="n">
        <v>2</v>
      </c>
      <c r="I73" s="7" t="n">
        <v>2058.06</v>
      </c>
      <c r="J73" s="7" t="n">
        <v>340.97</v>
      </c>
      <c r="K73" s="7" t="n">
        <v>4133.35</v>
      </c>
      <c r="L73" s="7" t="n">
        <v>1935.58</v>
      </c>
      <c r="M73" s="6" t="n">
        <v>4.3</v>
      </c>
      <c r="N73" s="6" t="s">
        <v>24</v>
      </c>
      <c r="O73" s="8" t="n">
        <f aca="false">VLOOKUP(F73,DIM_SERVICO!$A$2:$D$151,4,FALSE())</f>
        <v>340.97</v>
      </c>
      <c r="P73" s="8" t="n">
        <f aca="false">VLOOKUP(E73,DIM_PECA!$A$2:$F$501,6,FALSE())</f>
        <v>2075.9</v>
      </c>
      <c r="Q73" s="8" t="n">
        <f aca="false">VLOOKUP(E73,DIM_PECA!$A$2:$F$501,5,FALSE())</f>
        <v>1029.03</v>
      </c>
      <c r="R73" s="8" t="n">
        <f aca="false">H73*P73</f>
        <v>4151.8</v>
      </c>
      <c r="S73" s="8" t="n">
        <f aca="false">O73*M73</f>
        <v>1466.171</v>
      </c>
      <c r="T73" s="8" t="n">
        <f aca="false">R73+S73</f>
        <v>5617.971</v>
      </c>
      <c r="U73" s="8" t="n">
        <f aca="false">T73-K73</f>
        <v>1484.621</v>
      </c>
      <c r="V73" s="8" t="n">
        <f aca="false">R73+S73-U73</f>
        <v>4133.35</v>
      </c>
      <c r="W73" s="9" t="str">
        <f aca="false">IF(ROUND(V73-K73,2)=0,"OK","ERRO")</f>
        <v>OK</v>
      </c>
      <c r="X73" s="9" t="str">
        <f aca="false">VLOOKUP(F73,DIM_SERVICO!$A$2:$D$151,3,FALSE())</f>
        <v>Revisão</v>
      </c>
    </row>
    <row r="74" customFormat="false" ht="15" hidden="false" customHeight="false" outlineLevel="0" collapsed="false">
      <c r="A74" s="2" t="n">
        <v>73</v>
      </c>
      <c r="B74" s="2" t="n">
        <v>1379</v>
      </c>
      <c r="C74" s="2" t="n">
        <v>785</v>
      </c>
      <c r="D74" s="2" t="n">
        <v>117</v>
      </c>
      <c r="E74" s="2" t="n">
        <v>316</v>
      </c>
      <c r="F74" s="2" t="n">
        <v>109</v>
      </c>
      <c r="G74" s="2" t="n">
        <v>1535</v>
      </c>
      <c r="H74" s="2" t="n">
        <v>1</v>
      </c>
      <c r="I74" s="3" t="n">
        <v>293.18</v>
      </c>
      <c r="J74" s="3" t="n">
        <v>1418.47</v>
      </c>
      <c r="K74" s="3" t="n">
        <v>1840.33</v>
      </c>
      <c r="L74" s="3" t="n">
        <v>918.83</v>
      </c>
      <c r="M74" s="2" t="n">
        <v>7.8</v>
      </c>
      <c r="N74" s="2" t="s">
        <v>24</v>
      </c>
      <c r="O74" s="4" t="n">
        <f aca="false">VLOOKUP(F74,DIM_SERVICO!$A$2:$D$151,4,FALSE())</f>
        <v>1418.47</v>
      </c>
      <c r="P74" s="4" t="n">
        <f aca="false">VLOOKUP(E74,DIM_PECA!$A$2:$F$501,6,FALSE())</f>
        <v>626.34</v>
      </c>
      <c r="Q74" s="4" t="n">
        <f aca="false">VLOOKUP(E74,DIM_PECA!$A$2:$F$501,5,FALSE())</f>
        <v>293.18</v>
      </c>
      <c r="R74" s="4" t="n">
        <f aca="false">H74*P74</f>
        <v>626.34</v>
      </c>
      <c r="S74" s="4" t="n">
        <f aca="false">O74*M74</f>
        <v>11064.066</v>
      </c>
      <c r="T74" s="4" t="n">
        <f aca="false">R74+S74</f>
        <v>11690.406</v>
      </c>
      <c r="U74" s="4" t="n">
        <f aca="false">T74-K74</f>
        <v>9850.076</v>
      </c>
      <c r="V74" s="4" t="n">
        <f aca="false">R74+S74-U74</f>
        <v>1840.33</v>
      </c>
      <c r="W74" s="5" t="str">
        <f aca="false">IF(ROUND(V74-K74,2)=0,"OK","ERRO")</f>
        <v>OK</v>
      </c>
      <c r="X74" s="5" t="str">
        <f aca="false">VLOOKUP(F74,DIM_SERVICO!$A$2:$D$151,3,FALSE())</f>
        <v>Pintura</v>
      </c>
    </row>
    <row r="75" customFormat="false" ht="15" hidden="false" customHeight="false" outlineLevel="0" collapsed="false">
      <c r="A75" s="6" t="n">
        <v>74</v>
      </c>
      <c r="B75" s="6" t="n">
        <v>1216</v>
      </c>
      <c r="C75" s="6" t="n">
        <v>292</v>
      </c>
      <c r="D75" s="6" t="n">
        <v>202</v>
      </c>
      <c r="E75" s="6" t="n">
        <v>411</v>
      </c>
      <c r="F75" s="6" t="n">
        <v>6</v>
      </c>
      <c r="G75" s="6" t="n">
        <v>1643</v>
      </c>
      <c r="H75" s="6" t="n">
        <v>1</v>
      </c>
      <c r="I75" s="7" t="n">
        <v>192.36</v>
      </c>
      <c r="J75" s="7" t="n">
        <v>1505.67</v>
      </c>
      <c r="K75" s="7" t="n">
        <v>1658.3</v>
      </c>
      <c r="L75" s="7" t="n">
        <v>925.91</v>
      </c>
      <c r="M75" s="6" t="n">
        <v>6.6</v>
      </c>
      <c r="N75" s="6" t="s">
        <v>24</v>
      </c>
      <c r="O75" s="8" t="n">
        <f aca="false">VLOOKUP(F75,DIM_SERVICO!$A$2:$D$151,4,FALSE())</f>
        <v>1505.67</v>
      </c>
      <c r="P75" s="8" t="n">
        <f aca="false">VLOOKUP(E75,DIM_PECA!$A$2:$F$501,6,FALSE())</f>
        <v>336.89</v>
      </c>
      <c r="Q75" s="8" t="n">
        <f aca="false">VLOOKUP(E75,DIM_PECA!$A$2:$F$501,5,FALSE())</f>
        <v>192.36</v>
      </c>
      <c r="R75" s="8" t="n">
        <f aca="false">H75*P75</f>
        <v>336.89</v>
      </c>
      <c r="S75" s="8" t="n">
        <f aca="false">O75*M75</f>
        <v>9937.422</v>
      </c>
      <c r="T75" s="8" t="n">
        <f aca="false">R75+S75</f>
        <v>10274.312</v>
      </c>
      <c r="U75" s="8" t="n">
        <f aca="false">T75-K75</f>
        <v>8616.012</v>
      </c>
      <c r="V75" s="8" t="n">
        <f aca="false">R75+S75-U75</f>
        <v>1658.3</v>
      </c>
      <c r="W75" s="9" t="str">
        <f aca="false">IF(ROUND(V75-K75,2)=0,"OK","ERRO")</f>
        <v>OK</v>
      </c>
      <c r="X75" s="9" t="str">
        <f aca="false">VLOOKUP(F75,DIM_SERVICO!$A$2:$D$151,3,FALSE())</f>
        <v>Motor</v>
      </c>
    </row>
    <row r="76" customFormat="false" ht="15" hidden="false" customHeight="false" outlineLevel="0" collapsed="false">
      <c r="A76" s="2" t="n">
        <v>75</v>
      </c>
      <c r="B76" s="2" t="n">
        <v>1266</v>
      </c>
      <c r="C76" s="2" t="n">
        <v>631</v>
      </c>
      <c r="D76" s="2" t="n">
        <v>1187</v>
      </c>
      <c r="E76" s="2" t="n">
        <v>313</v>
      </c>
      <c r="F76" s="2" t="n">
        <v>145</v>
      </c>
      <c r="G76" s="2" t="n">
        <v>731</v>
      </c>
      <c r="H76" s="2" t="n">
        <v>4</v>
      </c>
      <c r="I76" s="3" t="n">
        <v>345.32</v>
      </c>
      <c r="J76" s="3" t="n">
        <v>392.14</v>
      </c>
      <c r="K76" s="3" t="n">
        <v>1068.9</v>
      </c>
      <c r="L76" s="3" t="n">
        <v>526.06</v>
      </c>
      <c r="M76" s="2" t="n">
        <v>1.9</v>
      </c>
      <c r="N76" s="2" t="s">
        <v>24</v>
      </c>
      <c r="O76" s="4" t="n">
        <f aca="false">VLOOKUP(F76,DIM_SERVICO!$A$2:$D$151,4,FALSE())</f>
        <v>392.14</v>
      </c>
      <c r="P76" s="4" t="n">
        <f aca="false">VLOOKUP(E76,DIM_PECA!$A$2:$F$501,6,FALSE())</f>
        <v>169.19</v>
      </c>
      <c r="Q76" s="4" t="n">
        <f aca="false">VLOOKUP(E76,DIM_PECA!$A$2:$F$501,5,FALSE())</f>
        <v>86.33</v>
      </c>
      <c r="R76" s="4" t="n">
        <f aca="false">H76*P76</f>
        <v>676.76</v>
      </c>
      <c r="S76" s="4" t="n">
        <f aca="false">O76*M76</f>
        <v>745.066</v>
      </c>
      <c r="T76" s="4" t="n">
        <f aca="false">R76+S76</f>
        <v>1421.826</v>
      </c>
      <c r="U76" s="4" t="n">
        <f aca="false">T76-K76</f>
        <v>352.926</v>
      </c>
      <c r="V76" s="4" t="n">
        <f aca="false">R76+S76-U76</f>
        <v>1068.9</v>
      </c>
      <c r="W76" s="5" t="str">
        <f aca="false">IF(ROUND(V76-K76,2)=0,"OK","ERRO")</f>
        <v>OK</v>
      </c>
      <c r="X76" s="5" t="str">
        <f aca="false">VLOOKUP(F76,DIM_SERVICO!$A$2:$D$151,3,FALSE())</f>
        <v>Revisão</v>
      </c>
    </row>
    <row r="77" customFormat="false" ht="15" hidden="false" customHeight="false" outlineLevel="0" collapsed="false">
      <c r="A77" s="6" t="n">
        <v>76</v>
      </c>
      <c r="B77" s="6" t="n">
        <v>48</v>
      </c>
      <c r="C77" s="6" t="n">
        <v>257</v>
      </c>
      <c r="D77" s="6" t="n">
        <v>591</v>
      </c>
      <c r="E77" s="6" t="n">
        <v>117</v>
      </c>
      <c r="F77" s="6" t="n">
        <v>132</v>
      </c>
      <c r="G77" s="6" t="n">
        <v>1335</v>
      </c>
      <c r="H77" s="6" t="n">
        <v>1</v>
      </c>
      <c r="I77" s="7" t="n">
        <v>610.1</v>
      </c>
      <c r="J77" s="7" t="n">
        <v>746.69</v>
      </c>
      <c r="K77" s="7" t="n">
        <v>1660.96</v>
      </c>
      <c r="L77" s="7" t="n">
        <v>692.5</v>
      </c>
      <c r="M77" s="6" t="n">
        <v>2.7</v>
      </c>
      <c r="N77" s="6" t="s">
        <v>24</v>
      </c>
      <c r="O77" s="8" t="n">
        <f aca="false">VLOOKUP(F77,DIM_SERVICO!$A$2:$D$151,4,FALSE())</f>
        <v>746.69</v>
      </c>
      <c r="P77" s="8" t="n">
        <f aca="false">VLOOKUP(E77,DIM_PECA!$A$2:$F$501,6,FALSE())</f>
        <v>1098.82</v>
      </c>
      <c r="Q77" s="8" t="n">
        <f aca="false">VLOOKUP(E77,DIM_PECA!$A$2:$F$501,5,FALSE())</f>
        <v>610.1</v>
      </c>
      <c r="R77" s="8" t="n">
        <f aca="false">H77*P77</f>
        <v>1098.82</v>
      </c>
      <c r="S77" s="8" t="n">
        <f aca="false">O77*M77</f>
        <v>2016.063</v>
      </c>
      <c r="T77" s="8" t="n">
        <f aca="false">R77+S77</f>
        <v>3114.883</v>
      </c>
      <c r="U77" s="8" t="n">
        <f aca="false">T77-K77</f>
        <v>1453.923</v>
      </c>
      <c r="V77" s="8" t="n">
        <f aca="false">R77+S77-U77</f>
        <v>1660.96</v>
      </c>
      <c r="W77" s="9" t="str">
        <f aca="false">IF(ROUND(V77-K77,2)=0,"OK","ERRO")</f>
        <v>OK</v>
      </c>
      <c r="X77" s="9" t="str">
        <f aca="false">VLOOKUP(F77,DIM_SERVICO!$A$2:$D$151,3,FALSE())</f>
        <v>Motor</v>
      </c>
    </row>
    <row r="78" customFormat="false" ht="15" hidden="false" customHeight="false" outlineLevel="0" collapsed="false">
      <c r="A78" s="2" t="n">
        <v>77</v>
      </c>
      <c r="B78" s="2" t="n">
        <v>1068</v>
      </c>
      <c r="C78" s="2" t="n">
        <v>1258</v>
      </c>
      <c r="D78" s="2" t="n">
        <v>3</v>
      </c>
      <c r="E78" s="2" t="n">
        <v>170</v>
      </c>
      <c r="F78" s="2" t="n">
        <v>56</v>
      </c>
      <c r="G78" s="2" t="n">
        <v>1817</v>
      </c>
      <c r="H78" s="2" t="n">
        <v>4</v>
      </c>
      <c r="I78" s="3" t="n">
        <v>1841.2</v>
      </c>
      <c r="J78" s="3" t="n">
        <v>251.62</v>
      </c>
      <c r="K78" s="3" t="n">
        <v>2539.71</v>
      </c>
      <c r="L78" s="3" t="n">
        <v>565.28</v>
      </c>
      <c r="M78" s="2" t="n">
        <v>2.9</v>
      </c>
      <c r="N78" s="2" t="s">
        <v>25</v>
      </c>
      <c r="O78" s="4" t="n">
        <f aca="false">VLOOKUP(F78,DIM_SERVICO!$A$2:$D$151,4,FALSE())</f>
        <v>251.62</v>
      </c>
      <c r="P78" s="4" t="n">
        <f aca="false">VLOOKUP(E78,DIM_PECA!$A$2:$F$501,6,FALSE())</f>
        <v>642.57</v>
      </c>
      <c r="Q78" s="4" t="n">
        <f aca="false">VLOOKUP(E78,DIM_PECA!$A$2:$F$501,5,FALSE())</f>
        <v>460.3</v>
      </c>
      <c r="R78" s="4" t="n">
        <f aca="false">H78*P78</f>
        <v>2570.28</v>
      </c>
      <c r="S78" s="4" t="n">
        <f aca="false">O78*M78</f>
        <v>729.698</v>
      </c>
      <c r="T78" s="4" t="n">
        <f aca="false">R78+S78</f>
        <v>3299.978</v>
      </c>
      <c r="U78" s="4" t="n">
        <f aca="false">T78-K78</f>
        <v>760.268</v>
      </c>
      <c r="V78" s="4" t="n">
        <f aca="false">R78+S78-U78</f>
        <v>2539.71</v>
      </c>
      <c r="W78" s="5" t="str">
        <f aca="false">IF(ROUND(V78-K78,2)=0,"OK","ERRO")</f>
        <v>OK</v>
      </c>
      <c r="X78" s="5" t="str">
        <f aca="false">VLOOKUP(F78,DIM_SERVICO!$A$2:$D$151,3,FALSE())</f>
        <v>Revisão</v>
      </c>
    </row>
    <row r="79" customFormat="false" ht="15" hidden="false" customHeight="false" outlineLevel="0" collapsed="false">
      <c r="A79" s="6" t="n">
        <v>78</v>
      </c>
      <c r="B79" s="6" t="n">
        <v>182</v>
      </c>
      <c r="C79" s="6" t="n">
        <v>1496</v>
      </c>
      <c r="D79" s="6" t="n">
        <v>996</v>
      </c>
      <c r="E79" s="6" t="n">
        <v>240</v>
      </c>
      <c r="F79" s="6" t="n">
        <v>148</v>
      </c>
      <c r="G79" s="6" t="n">
        <v>1696</v>
      </c>
      <c r="H79" s="6" t="n">
        <v>2</v>
      </c>
      <c r="I79" s="7" t="n">
        <v>1337.28</v>
      </c>
      <c r="J79" s="7" t="n">
        <v>1276.19</v>
      </c>
      <c r="K79" s="7" t="n">
        <v>3467.69</v>
      </c>
      <c r="L79" s="7" t="n">
        <v>1461.43</v>
      </c>
      <c r="M79" s="6" t="n">
        <v>3.8</v>
      </c>
      <c r="N79" s="6" t="s">
        <v>24</v>
      </c>
      <c r="O79" s="8" t="n">
        <f aca="false">VLOOKUP(F79,DIM_SERVICO!$A$2:$D$151,4,FALSE())</f>
        <v>1276.19</v>
      </c>
      <c r="P79" s="8" t="n">
        <f aca="false">VLOOKUP(E79,DIM_PECA!$A$2:$F$501,6,FALSE())</f>
        <v>1246.52</v>
      </c>
      <c r="Q79" s="8" t="n">
        <f aca="false">VLOOKUP(E79,DIM_PECA!$A$2:$F$501,5,FALSE())</f>
        <v>668.64</v>
      </c>
      <c r="R79" s="8" t="n">
        <f aca="false">H79*P79</f>
        <v>2493.04</v>
      </c>
      <c r="S79" s="8" t="n">
        <f aca="false">O79*M79</f>
        <v>4849.522</v>
      </c>
      <c r="T79" s="8" t="n">
        <f aca="false">R79+S79</f>
        <v>7342.562</v>
      </c>
      <c r="U79" s="8" t="n">
        <f aca="false">T79-K79</f>
        <v>3874.872</v>
      </c>
      <c r="V79" s="8" t="n">
        <f aca="false">R79+S79-U79</f>
        <v>3467.69</v>
      </c>
      <c r="W79" s="9" t="str">
        <f aca="false">IF(ROUND(V79-K79,2)=0,"OK","ERRO")</f>
        <v>OK</v>
      </c>
      <c r="X79" s="9" t="str">
        <f aca="false">VLOOKUP(F79,DIM_SERVICO!$A$2:$D$151,3,FALSE())</f>
        <v>Revisão</v>
      </c>
    </row>
    <row r="80" customFormat="false" ht="15" hidden="false" customHeight="false" outlineLevel="0" collapsed="false">
      <c r="A80" s="2" t="n">
        <v>79</v>
      </c>
      <c r="B80" s="2" t="n">
        <v>1414</v>
      </c>
      <c r="C80" s="2" t="n">
        <v>789</v>
      </c>
      <c r="D80" s="2" t="n">
        <v>346</v>
      </c>
      <c r="E80" s="2" t="n">
        <v>92</v>
      </c>
      <c r="F80" s="2" t="n">
        <v>102</v>
      </c>
      <c r="G80" s="2" t="n">
        <v>1056</v>
      </c>
      <c r="H80" s="2" t="n">
        <v>4</v>
      </c>
      <c r="I80" s="3" t="n">
        <v>1593.76</v>
      </c>
      <c r="J80" s="3" t="n">
        <v>352.9</v>
      </c>
      <c r="K80" s="3" t="n">
        <v>3617.38</v>
      </c>
      <c r="L80" s="3" t="n">
        <v>1886.38</v>
      </c>
      <c r="M80" s="2" t="n">
        <v>9.1</v>
      </c>
      <c r="N80" s="2" t="s">
        <v>24</v>
      </c>
      <c r="O80" s="4" t="n">
        <f aca="false">VLOOKUP(F80,DIM_SERVICO!$A$2:$D$151,4,FALSE())</f>
        <v>352.9</v>
      </c>
      <c r="P80" s="4" t="n">
        <f aca="false">VLOOKUP(E80,DIM_PECA!$A$2:$F$501,6,FALSE())</f>
        <v>816.12</v>
      </c>
      <c r="Q80" s="4" t="n">
        <f aca="false">VLOOKUP(E80,DIM_PECA!$A$2:$F$501,5,FALSE())</f>
        <v>398.44</v>
      </c>
      <c r="R80" s="4" t="n">
        <f aca="false">H80*P80</f>
        <v>3264.48</v>
      </c>
      <c r="S80" s="4" t="n">
        <f aca="false">O80*M80</f>
        <v>3211.39</v>
      </c>
      <c r="T80" s="4" t="n">
        <f aca="false">R80+S80</f>
        <v>6475.87</v>
      </c>
      <c r="U80" s="4" t="n">
        <f aca="false">T80-K80</f>
        <v>2858.49</v>
      </c>
      <c r="V80" s="4" t="n">
        <f aca="false">R80+S80-U80</f>
        <v>3617.38</v>
      </c>
      <c r="W80" s="5" t="str">
        <f aca="false">IF(ROUND(V80-K80,2)=0,"OK","ERRO")</f>
        <v>OK</v>
      </c>
      <c r="X80" s="5" t="str">
        <f aca="false">VLOOKUP(F80,DIM_SERVICO!$A$2:$D$151,3,FALSE())</f>
        <v>Motor</v>
      </c>
    </row>
    <row r="81" customFormat="false" ht="15" hidden="false" customHeight="false" outlineLevel="0" collapsed="false">
      <c r="A81" s="6" t="n">
        <v>80</v>
      </c>
      <c r="B81" s="6" t="n">
        <v>1189</v>
      </c>
      <c r="C81" s="6" t="n">
        <v>713</v>
      </c>
      <c r="D81" s="6" t="n">
        <v>299</v>
      </c>
      <c r="E81" s="6" t="n">
        <v>343</v>
      </c>
      <c r="F81" s="6" t="n">
        <v>67</v>
      </c>
      <c r="G81" s="6" t="n">
        <v>1556</v>
      </c>
      <c r="H81" s="6" t="n">
        <v>2</v>
      </c>
      <c r="I81" s="7" t="n">
        <v>856.84</v>
      </c>
      <c r="J81" s="7" t="n">
        <v>1283.08</v>
      </c>
      <c r="K81" s="7" t="n">
        <v>2994</v>
      </c>
      <c r="L81" s="7" t="n">
        <v>1561.83</v>
      </c>
      <c r="M81" s="6" t="n">
        <v>8</v>
      </c>
      <c r="N81" s="6" t="s">
        <v>26</v>
      </c>
      <c r="O81" s="8" t="n">
        <f aca="false">VLOOKUP(F81,DIM_SERVICO!$A$2:$D$151,4,FALSE())</f>
        <v>1283.08</v>
      </c>
      <c r="P81" s="8" t="n">
        <f aca="false">VLOOKUP(E81,DIM_PECA!$A$2:$F$501,6,FALSE())</f>
        <v>934.25</v>
      </c>
      <c r="Q81" s="8" t="n">
        <f aca="false">VLOOKUP(E81,DIM_PECA!$A$2:$F$501,5,FALSE())</f>
        <v>428.42</v>
      </c>
      <c r="R81" s="8" t="n">
        <f aca="false">H81*P81</f>
        <v>1868.5</v>
      </c>
      <c r="S81" s="8" t="n">
        <f aca="false">O81*M81</f>
        <v>10264.64</v>
      </c>
      <c r="T81" s="8" t="n">
        <f aca="false">R81+S81</f>
        <v>12133.14</v>
      </c>
      <c r="U81" s="8" t="n">
        <f aca="false">T81-K81</f>
        <v>9139.14</v>
      </c>
      <c r="V81" s="8" t="n">
        <f aca="false">R81+S81-U81</f>
        <v>2994</v>
      </c>
      <c r="W81" s="9" t="str">
        <f aca="false">IF(ROUND(V81-K81,2)=0,"OK","ERRO")</f>
        <v>OK</v>
      </c>
      <c r="X81" s="9" t="str">
        <f aca="false">VLOOKUP(F81,DIM_SERVICO!$A$2:$D$151,3,FALSE())</f>
        <v>Elétrica</v>
      </c>
    </row>
    <row r="82" customFormat="false" ht="15" hidden="false" customHeight="false" outlineLevel="0" collapsed="false">
      <c r="A82" s="2" t="n">
        <v>81</v>
      </c>
      <c r="B82" s="2" t="n">
        <v>874</v>
      </c>
      <c r="C82" s="2" t="n">
        <v>911</v>
      </c>
      <c r="D82" s="2" t="n">
        <v>588</v>
      </c>
      <c r="E82" s="2" t="n">
        <v>229</v>
      </c>
      <c r="F82" s="2" t="n">
        <v>50</v>
      </c>
      <c r="G82" s="2" t="n">
        <v>1501</v>
      </c>
      <c r="H82" s="2" t="n">
        <v>1</v>
      </c>
      <c r="I82" s="3" t="n">
        <v>56.99</v>
      </c>
      <c r="J82" s="3" t="n">
        <v>1357.79</v>
      </c>
      <c r="K82" s="3" t="n">
        <v>1482.25</v>
      </c>
      <c r="L82" s="3" t="n">
        <v>716.19</v>
      </c>
      <c r="M82" s="2" t="n">
        <v>3.4</v>
      </c>
      <c r="N82" s="2" t="s">
        <v>24</v>
      </c>
      <c r="O82" s="4" t="n">
        <f aca="false">VLOOKUP(F82,DIM_SERVICO!$A$2:$D$151,4,FALSE())</f>
        <v>1357.79</v>
      </c>
      <c r="P82" s="4" t="n">
        <f aca="false">VLOOKUP(E82,DIM_PECA!$A$2:$F$501,6,FALSE())</f>
        <v>124.46</v>
      </c>
      <c r="Q82" s="4" t="n">
        <f aca="false">VLOOKUP(E82,DIM_PECA!$A$2:$F$501,5,FALSE())</f>
        <v>56.99</v>
      </c>
      <c r="R82" s="4" t="n">
        <f aca="false">H82*P82</f>
        <v>124.46</v>
      </c>
      <c r="S82" s="4" t="n">
        <f aca="false">O82*M82</f>
        <v>4616.486</v>
      </c>
      <c r="T82" s="4" t="n">
        <f aca="false">R82+S82</f>
        <v>4740.946</v>
      </c>
      <c r="U82" s="4" t="n">
        <f aca="false">T82-K82</f>
        <v>3258.696</v>
      </c>
      <c r="V82" s="4" t="n">
        <f aca="false">R82+S82-U82</f>
        <v>1482.25</v>
      </c>
      <c r="W82" s="5" t="str">
        <f aca="false">IF(ROUND(V82-K82,2)=0,"OK","ERRO")</f>
        <v>OK</v>
      </c>
      <c r="X82" s="5" t="str">
        <f aca="false">VLOOKUP(F82,DIM_SERVICO!$A$2:$D$151,3,FALSE())</f>
        <v>Pintura</v>
      </c>
    </row>
    <row r="83" customFormat="false" ht="15" hidden="false" customHeight="false" outlineLevel="0" collapsed="false">
      <c r="A83" s="6" t="n">
        <v>82</v>
      </c>
      <c r="B83" s="6" t="n">
        <v>181</v>
      </c>
      <c r="C83" s="6" t="n">
        <v>1247</v>
      </c>
      <c r="D83" s="6" t="n">
        <v>479</v>
      </c>
      <c r="E83" s="6" t="n">
        <v>415</v>
      </c>
      <c r="F83" s="6" t="n">
        <v>30</v>
      </c>
      <c r="G83" s="6" t="n">
        <v>1216</v>
      </c>
      <c r="H83" s="6" t="n">
        <v>4</v>
      </c>
      <c r="I83" s="7" t="n">
        <v>3647.56</v>
      </c>
      <c r="J83" s="7" t="n">
        <v>986.98</v>
      </c>
      <c r="K83" s="7" t="n">
        <v>7664.17</v>
      </c>
      <c r="L83" s="7" t="n">
        <v>3617.84</v>
      </c>
      <c r="M83" s="6" t="n">
        <v>7.1</v>
      </c>
      <c r="N83" s="6" t="s">
        <v>27</v>
      </c>
      <c r="O83" s="8" t="n">
        <f aca="false">VLOOKUP(F83,DIM_SERVICO!$A$2:$D$151,4,FALSE())</f>
        <v>986.98</v>
      </c>
      <c r="P83" s="8" t="n">
        <f aca="false">VLOOKUP(E83,DIM_PECA!$A$2:$F$501,6,FALSE())</f>
        <v>1835.91</v>
      </c>
      <c r="Q83" s="8" t="n">
        <f aca="false">VLOOKUP(E83,DIM_PECA!$A$2:$F$501,5,FALSE())</f>
        <v>911.89</v>
      </c>
      <c r="R83" s="8" t="n">
        <f aca="false">H83*P83</f>
        <v>7343.64</v>
      </c>
      <c r="S83" s="8" t="n">
        <f aca="false">O83*M83</f>
        <v>7007.558</v>
      </c>
      <c r="T83" s="8" t="n">
        <f aca="false">R83+S83</f>
        <v>14351.198</v>
      </c>
      <c r="U83" s="8" t="n">
        <f aca="false">T83-K83</f>
        <v>6687.028</v>
      </c>
      <c r="V83" s="8" t="n">
        <f aca="false">R83+S83-U83</f>
        <v>7664.17</v>
      </c>
      <c r="W83" s="9" t="str">
        <f aca="false">IF(ROUND(V83-K83,2)=0,"OK","ERRO")</f>
        <v>OK</v>
      </c>
      <c r="X83" s="9" t="str">
        <f aca="false">VLOOKUP(F83,DIM_SERVICO!$A$2:$D$151,3,FALSE())</f>
        <v>Freios</v>
      </c>
    </row>
    <row r="84" customFormat="false" ht="15" hidden="false" customHeight="false" outlineLevel="0" collapsed="false">
      <c r="A84" s="2" t="n">
        <v>83</v>
      </c>
      <c r="B84" s="2" t="n">
        <v>110</v>
      </c>
      <c r="C84" s="2" t="n">
        <v>1335</v>
      </c>
      <c r="D84" s="2" t="n">
        <v>709</v>
      </c>
      <c r="E84" s="2" t="n">
        <v>91</v>
      </c>
      <c r="F84" s="2" t="n">
        <v>68</v>
      </c>
      <c r="G84" s="2" t="n">
        <v>1371</v>
      </c>
      <c r="H84" s="2" t="n">
        <v>2</v>
      </c>
      <c r="I84" s="3" t="n">
        <v>1908.26</v>
      </c>
      <c r="J84" s="3" t="n">
        <v>1974.4</v>
      </c>
      <c r="K84" s="3" t="n">
        <v>4337.74</v>
      </c>
      <c r="L84" s="3" t="n">
        <v>1628.68</v>
      </c>
      <c r="M84" s="2" t="n">
        <v>11.4</v>
      </c>
      <c r="N84" s="2" t="s">
        <v>25</v>
      </c>
      <c r="O84" s="4" t="n">
        <f aca="false">VLOOKUP(F84,DIM_SERVICO!$A$2:$D$151,4,FALSE())</f>
        <v>1974.4</v>
      </c>
      <c r="P84" s="4" t="n">
        <f aca="false">VLOOKUP(E84,DIM_PECA!$A$2:$F$501,6,FALSE())</f>
        <v>1295.82</v>
      </c>
      <c r="Q84" s="4" t="n">
        <f aca="false">VLOOKUP(E84,DIM_PECA!$A$2:$F$501,5,FALSE())</f>
        <v>954.13</v>
      </c>
      <c r="R84" s="4" t="n">
        <f aca="false">H84*P84</f>
        <v>2591.64</v>
      </c>
      <c r="S84" s="4" t="n">
        <f aca="false">O84*M84</f>
        <v>22508.16</v>
      </c>
      <c r="T84" s="4" t="n">
        <f aca="false">R84+S84</f>
        <v>25099.8</v>
      </c>
      <c r="U84" s="4" t="n">
        <f aca="false">T84-K84</f>
        <v>20762.06</v>
      </c>
      <c r="V84" s="4" t="n">
        <f aca="false">R84+S84-U84</f>
        <v>4337.74</v>
      </c>
      <c r="W84" s="5" t="str">
        <f aca="false">IF(ROUND(V84-K84,2)=0,"OK","ERRO")</f>
        <v>OK</v>
      </c>
      <c r="X84" s="5" t="str">
        <f aca="false">VLOOKUP(F84,DIM_SERVICO!$A$2:$D$151,3,FALSE())</f>
        <v>Suspensão</v>
      </c>
    </row>
    <row r="85" customFormat="false" ht="15" hidden="false" customHeight="false" outlineLevel="0" collapsed="false">
      <c r="A85" s="6" t="n">
        <v>84</v>
      </c>
      <c r="B85" s="6" t="n">
        <v>1002</v>
      </c>
      <c r="C85" s="6" t="n">
        <v>1468</v>
      </c>
      <c r="D85" s="6" t="n">
        <v>250</v>
      </c>
      <c r="E85" s="6" t="n">
        <v>393</v>
      </c>
      <c r="F85" s="6" t="n">
        <v>127</v>
      </c>
      <c r="G85" s="6" t="n">
        <v>915</v>
      </c>
      <c r="H85" s="6" t="n">
        <v>1</v>
      </c>
      <c r="I85" s="7" t="n">
        <v>1133.75</v>
      </c>
      <c r="J85" s="7" t="n">
        <v>165.02</v>
      </c>
      <c r="K85" s="7" t="n">
        <v>2016.65</v>
      </c>
      <c r="L85" s="7" t="n">
        <v>813.43</v>
      </c>
      <c r="M85" s="6" t="n">
        <v>11.1</v>
      </c>
      <c r="N85" s="6" t="s">
        <v>26</v>
      </c>
      <c r="O85" s="8" t="n">
        <f aca="false">VLOOKUP(F85,DIM_SERVICO!$A$2:$D$151,4,FALSE())</f>
        <v>165.02</v>
      </c>
      <c r="P85" s="8" t="n">
        <f aca="false">VLOOKUP(E85,DIM_PECA!$A$2:$F$501,6,FALSE())</f>
        <v>2075.7</v>
      </c>
      <c r="Q85" s="8" t="n">
        <f aca="false">VLOOKUP(E85,DIM_PECA!$A$2:$F$501,5,FALSE())</f>
        <v>1133.75</v>
      </c>
      <c r="R85" s="8" t="n">
        <f aca="false">H85*P85</f>
        <v>2075.7</v>
      </c>
      <c r="S85" s="8" t="n">
        <f aca="false">O85*M85</f>
        <v>1831.722</v>
      </c>
      <c r="T85" s="8" t="n">
        <f aca="false">R85+S85</f>
        <v>3907.422</v>
      </c>
      <c r="U85" s="8" t="n">
        <f aca="false">T85-K85</f>
        <v>1890.772</v>
      </c>
      <c r="V85" s="8" t="n">
        <f aca="false">R85+S85-U85</f>
        <v>2016.65</v>
      </c>
      <c r="W85" s="9" t="str">
        <f aca="false">IF(ROUND(V85-K85,2)=0,"OK","ERRO")</f>
        <v>OK</v>
      </c>
      <c r="X85" s="9" t="str">
        <f aca="false">VLOOKUP(F85,DIM_SERVICO!$A$2:$D$151,3,FALSE())</f>
        <v>Suspensão</v>
      </c>
    </row>
    <row r="86" customFormat="false" ht="15" hidden="false" customHeight="false" outlineLevel="0" collapsed="false">
      <c r="A86" s="2" t="n">
        <v>85</v>
      </c>
      <c r="B86" s="2" t="n">
        <v>760</v>
      </c>
      <c r="C86" s="2" t="n">
        <v>1364</v>
      </c>
      <c r="D86" s="2" t="n">
        <v>1141</v>
      </c>
      <c r="E86" s="2" t="n">
        <v>212</v>
      </c>
      <c r="F86" s="2" t="n">
        <v>136</v>
      </c>
      <c r="G86" s="2" t="n">
        <v>679</v>
      </c>
      <c r="H86" s="2" t="n">
        <v>1</v>
      </c>
      <c r="I86" s="3" t="n">
        <v>768.35</v>
      </c>
      <c r="J86" s="3" t="n">
        <v>509.38</v>
      </c>
      <c r="K86" s="3" t="n">
        <v>1500.66</v>
      </c>
      <c r="L86" s="3" t="n">
        <v>508.72</v>
      </c>
      <c r="M86" s="2" t="n">
        <v>8.2</v>
      </c>
      <c r="N86" s="2" t="s">
        <v>24</v>
      </c>
      <c r="O86" s="4" t="n">
        <f aca="false">VLOOKUP(F86,DIM_SERVICO!$A$2:$D$151,4,FALSE())</f>
        <v>509.38</v>
      </c>
      <c r="P86" s="4" t="n">
        <f aca="false">VLOOKUP(E86,DIM_PECA!$A$2:$F$501,6,FALSE())</f>
        <v>1121.77</v>
      </c>
      <c r="Q86" s="4" t="n">
        <f aca="false">VLOOKUP(E86,DIM_PECA!$A$2:$F$501,5,FALSE())</f>
        <v>768.35</v>
      </c>
      <c r="R86" s="4" t="n">
        <f aca="false">H86*P86</f>
        <v>1121.77</v>
      </c>
      <c r="S86" s="4" t="n">
        <f aca="false">O86*M86</f>
        <v>4176.916</v>
      </c>
      <c r="T86" s="4" t="n">
        <f aca="false">R86+S86</f>
        <v>5298.686</v>
      </c>
      <c r="U86" s="4" t="n">
        <f aca="false">T86-K86</f>
        <v>3798.026</v>
      </c>
      <c r="V86" s="4" t="n">
        <f aca="false">R86+S86-U86</f>
        <v>1500.66</v>
      </c>
      <c r="W86" s="5" t="str">
        <f aca="false">IF(ROUND(V86-K86,2)=0,"OK","ERRO")</f>
        <v>OK</v>
      </c>
      <c r="X86" s="5" t="str">
        <f aca="false">VLOOKUP(F86,DIM_SERVICO!$A$2:$D$151,3,FALSE())</f>
        <v>Elétrica</v>
      </c>
    </row>
    <row r="87" customFormat="false" ht="15" hidden="false" customHeight="false" outlineLevel="0" collapsed="false">
      <c r="A87" s="6" t="n">
        <v>86</v>
      </c>
      <c r="B87" s="6" t="n">
        <v>1264</v>
      </c>
      <c r="C87" s="6" t="n">
        <v>1110</v>
      </c>
      <c r="D87" s="6" t="n">
        <v>286</v>
      </c>
      <c r="E87" s="6" t="n">
        <v>179</v>
      </c>
      <c r="F87" s="6" t="n">
        <v>23</v>
      </c>
      <c r="G87" s="6" t="n">
        <v>1324</v>
      </c>
      <c r="H87" s="6" t="n">
        <v>1</v>
      </c>
      <c r="I87" s="7" t="n">
        <v>215.32</v>
      </c>
      <c r="J87" s="7" t="n">
        <v>1828.61</v>
      </c>
      <c r="K87" s="7" t="n">
        <v>2046.11</v>
      </c>
      <c r="L87" s="7" t="n">
        <v>1179.62</v>
      </c>
      <c r="M87" s="6" t="n">
        <v>1.5</v>
      </c>
      <c r="N87" s="6" t="s">
        <v>24</v>
      </c>
      <c r="O87" s="8" t="n">
        <f aca="false">VLOOKUP(F87,DIM_SERVICO!$A$2:$D$151,4,FALSE())</f>
        <v>1828.61</v>
      </c>
      <c r="P87" s="8" t="n">
        <f aca="false">VLOOKUP(E87,DIM_PECA!$A$2:$F$501,6,FALSE())</f>
        <v>444.84</v>
      </c>
      <c r="Q87" s="8" t="n">
        <f aca="false">VLOOKUP(E87,DIM_PECA!$A$2:$F$501,5,FALSE())</f>
        <v>215.32</v>
      </c>
      <c r="R87" s="8" t="n">
        <f aca="false">H87*P87</f>
        <v>444.84</v>
      </c>
      <c r="S87" s="8" t="n">
        <f aca="false">O87*M87</f>
        <v>2742.915</v>
      </c>
      <c r="T87" s="8" t="n">
        <f aca="false">R87+S87</f>
        <v>3187.755</v>
      </c>
      <c r="U87" s="8" t="n">
        <f aca="false">T87-K87</f>
        <v>1141.645</v>
      </c>
      <c r="V87" s="8" t="n">
        <f aca="false">R87+S87-U87</f>
        <v>2046.11</v>
      </c>
      <c r="W87" s="9" t="str">
        <f aca="false">IF(ROUND(V87-K87,2)=0,"OK","ERRO")</f>
        <v>OK</v>
      </c>
      <c r="X87" s="9" t="str">
        <f aca="false">VLOOKUP(F87,DIM_SERVICO!$A$2:$D$151,3,FALSE())</f>
        <v>Freios</v>
      </c>
    </row>
    <row r="88" customFormat="false" ht="15" hidden="false" customHeight="false" outlineLevel="0" collapsed="false">
      <c r="A88" s="2" t="n">
        <v>87</v>
      </c>
      <c r="B88" s="2" t="n">
        <v>1258</v>
      </c>
      <c r="C88" s="2" t="n">
        <v>1089</v>
      </c>
      <c r="D88" s="2" t="n">
        <v>792</v>
      </c>
      <c r="E88" s="2" t="n">
        <v>232</v>
      </c>
      <c r="F88" s="2" t="n">
        <v>34</v>
      </c>
      <c r="G88" s="2" t="n">
        <v>39</v>
      </c>
      <c r="H88" s="2" t="n">
        <v>4</v>
      </c>
      <c r="I88" s="3" t="n">
        <v>307.24</v>
      </c>
      <c r="J88" s="3" t="n">
        <v>1715.98</v>
      </c>
      <c r="K88" s="3" t="n">
        <v>2295.3</v>
      </c>
      <c r="L88" s="3" t="n">
        <v>1188.74</v>
      </c>
      <c r="M88" s="2" t="n">
        <v>3.7</v>
      </c>
      <c r="N88" s="2" t="s">
        <v>24</v>
      </c>
      <c r="O88" s="4" t="n">
        <f aca="false">VLOOKUP(F88,DIM_SERVICO!$A$2:$D$151,4,FALSE())</f>
        <v>1715.98</v>
      </c>
      <c r="P88" s="4" t="n">
        <f aca="false">VLOOKUP(E88,DIM_PECA!$A$2:$F$501,6,FALSE())</f>
        <v>144.83</v>
      </c>
      <c r="Q88" s="4" t="n">
        <f aca="false">VLOOKUP(E88,DIM_PECA!$A$2:$F$501,5,FALSE())</f>
        <v>76.81</v>
      </c>
      <c r="R88" s="4" t="n">
        <f aca="false">H88*P88</f>
        <v>579.32</v>
      </c>
      <c r="S88" s="4" t="n">
        <f aca="false">O88*M88</f>
        <v>6349.126</v>
      </c>
      <c r="T88" s="4" t="n">
        <f aca="false">R88+S88</f>
        <v>6928.446</v>
      </c>
      <c r="U88" s="4" t="n">
        <f aca="false">T88-K88</f>
        <v>4633.146</v>
      </c>
      <c r="V88" s="4" t="n">
        <f aca="false">R88+S88-U88</f>
        <v>2295.3</v>
      </c>
      <c r="W88" s="5" t="str">
        <f aca="false">IF(ROUND(V88-K88,2)=0,"OK","ERRO")</f>
        <v>OK</v>
      </c>
      <c r="X88" s="5" t="str">
        <f aca="false">VLOOKUP(F88,DIM_SERVICO!$A$2:$D$151,3,FALSE())</f>
        <v>Revisão</v>
      </c>
    </row>
    <row r="89" customFormat="false" ht="15" hidden="false" customHeight="false" outlineLevel="0" collapsed="false">
      <c r="A89" s="6" t="n">
        <v>88</v>
      </c>
      <c r="B89" s="6" t="n">
        <v>1228</v>
      </c>
      <c r="C89" s="6" t="n">
        <v>765</v>
      </c>
      <c r="D89" s="6" t="n">
        <v>760</v>
      </c>
      <c r="E89" s="6" t="n">
        <v>220</v>
      </c>
      <c r="F89" s="6" t="n">
        <v>20</v>
      </c>
      <c r="G89" s="6" t="n">
        <v>1269</v>
      </c>
      <c r="H89" s="6" t="n">
        <v>4</v>
      </c>
      <c r="I89" s="7" t="n">
        <v>4794.76</v>
      </c>
      <c r="J89" s="7" t="n">
        <v>295.88</v>
      </c>
      <c r="K89" s="7" t="n">
        <v>8821.33</v>
      </c>
      <c r="L89" s="7" t="n">
        <v>3899.2</v>
      </c>
      <c r="M89" s="6" t="n">
        <v>8.4</v>
      </c>
      <c r="N89" s="6" t="s">
        <v>24</v>
      </c>
      <c r="O89" s="8" t="n">
        <f aca="false">VLOOKUP(F89,DIM_SERVICO!$A$2:$D$151,4,FALSE())</f>
        <v>295.88</v>
      </c>
      <c r="P89" s="8" t="n">
        <f aca="false">VLOOKUP(E89,DIM_PECA!$A$2:$F$501,6,FALSE())</f>
        <v>2376.4</v>
      </c>
      <c r="Q89" s="8" t="n">
        <f aca="false">VLOOKUP(E89,DIM_PECA!$A$2:$F$501,5,FALSE())</f>
        <v>1198.69</v>
      </c>
      <c r="R89" s="8" t="n">
        <f aca="false">H89*P89</f>
        <v>9505.6</v>
      </c>
      <c r="S89" s="8" t="n">
        <f aca="false">O89*M89</f>
        <v>2485.392</v>
      </c>
      <c r="T89" s="8" t="n">
        <f aca="false">R89+S89</f>
        <v>11990.992</v>
      </c>
      <c r="U89" s="8" t="n">
        <f aca="false">T89-K89</f>
        <v>3169.662</v>
      </c>
      <c r="V89" s="8" t="n">
        <f aca="false">R89+S89-U89</f>
        <v>8821.33</v>
      </c>
      <c r="W89" s="9" t="str">
        <f aca="false">IF(ROUND(V89-K89,2)=0,"OK","ERRO")</f>
        <v>OK</v>
      </c>
      <c r="X89" s="9" t="str">
        <f aca="false">VLOOKUP(F89,DIM_SERVICO!$A$2:$D$151,3,FALSE())</f>
        <v>Elétrica</v>
      </c>
    </row>
    <row r="90" customFormat="false" ht="15" hidden="false" customHeight="false" outlineLevel="0" collapsed="false">
      <c r="A90" s="2" t="n">
        <v>89</v>
      </c>
      <c r="B90" s="2" t="n">
        <v>1376</v>
      </c>
      <c r="C90" s="2" t="n">
        <v>20</v>
      </c>
      <c r="D90" s="2" t="n">
        <v>166</v>
      </c>
      <c r="E90" s="2" t="n">
        <v>369</v>
      </c>
      <c r="F90" s="2" t="n">
        <v>86</v>
      </c>
      <c r="G90" s="2" t="n">
        <v>112</v>
      </c>
      <c r="H90" s="2" t="n">
        <v>3</v>
      </c>
      <c r="I90" s="3" t="n">
        <v>1620.27</v>
      </c>
      <c r="J90" s="3" t="n">
        <v>147.26</v>
      </c>
      <c r="K90" s="3" t="n">
        <v>3305.51</v>
      </c>
      <c r="L90" s="3" t="n">
        <v>1625.68</v>
      </c>
      <c r="M90" s="2" t="n">
        <v>9.3</v>
      </c>
      <c r="N90" s="2" t="s">
        <v>24</v>
      </c>
      <c r="O90" s="4" t="n">
        <f aca="false">VLOOKUP(F90,DIM_SERVICO!$A$2:$D$151,4,FALSE())</f>
        <v>147.26</v>
      </c>
      <c r="P90" s="4" t="n">
        <f aca="false">VLOOKUP(E90,DIM_PECA!$A$2:$F$501,6,FALSE())</f>
        <v>1052.75</v>
      </c>
      <c r="Q90" s="4" t="n">
        <f aca="false">VLOOKUP(E90,DIM_PECA!$A$2:$F$501,5,FALSE())</f>
        <v>540.09</v>
      </c>
      <c r="R90" s="4" t="n">
        <f aca="false">H90*P90</f>
        <v>3158.25</v>
      </c>
      <c r="S90" s="4" t="n">
        <f aca="false">O90*M90</f>
        <v>1369.518</v>
      </c>
      <c r="T90" s="4" t="n">
        <f aca="false">R90+S90</f>
        <v>4527.768</v>
      </c>
      <c r="U90" s="4" t="n">
        <f aca="false">T90-K90</f>
        <v>1222.258</v>
      </c>
      <c r="V90" s="4" t="n">
        <f aca="false">R90+S90-U90</f>
        <v>3305.51</v>
      </c>
      <c r="W90" s="5" t="str">
        <f aca="false">IF(ROUND(V90-K90,2)=0,"OK","ERRO")</f>
        <v>OK</v>
      </c>
      <c r="X90" s="5" t="str">
        <f aca="false">VLOOKUP(F90,DIM_SERVICO!$A$2:$D$151,3,FALSE())</f>
        <v>Suspensão</v>
      </c>
    </row>
    <row r="91" customFormat="false" ht="15" hidden="false" customHeight="false" outlineLevel="0" collapsed="false">
      <c r="A91" s="6" t="n">
        <v>90</v>
      </c>
      <c r="B91" s="6" t="n">
        <v>339</v>
      </c>
      <c r="C91" s="6" t="n">
        <v>3</v>
      </c>
      <c r="D91" s="6" t="n">
        <v>344</v>
      </c>
      <c r="E91" s="6" t="n">
        <v>201</v>
      </c>
      <c r="F91" s="6" t="n">
        <v>96</v>
      </c>
      <c r="G91" s="6" t="n">
        <v>701</v>
      </c>
      <c r="H91" s="6" t="n">
        <v>4</v>
      </c>
      <c r="I91" s="7" t="n">
        <v>425.8</v>
      </c>
      <c r="J91" s="7" t="n">
        <v>1247.25</v>
      </c>
      <c r="K91" s="7" t="n">
        <v>1951.11</v>
      </c>
      <c r="L91" s="7" t="n">
        <v>915.56</v>
      </c>
      <c r="M91" s="6" t="n">
        <v>4.8</v>
      </c>
      <c r="N91" s="6" t="s">
        <v>24</v>
      </c>
      <c r="O91" s="8" t="n">
        <f aca="false">VLOOKUP(F91,DIM_SERVICO!$A$2:$D$151,4,FALSE())</f>
        <v>1247.25</v>
      </c>
      <c r="P91" s="8" t="n">
        <f aca="false">VLOOKUP(E91,DIM_PECA!$A$2:$F$501,6,FALSE())</f>
        <v>185.92</v>
      </c>
      <c r="Q91" s="8" t="n">
        <f aca="false">VLOOKUP(E91,DIM_PECA!$A$2:$F$501,5,FALSE())</f>
        <v>106.45</v>
      </c>
      <c r="R91" s="8" t="n">
        <f aca="false">H91*P91</f>
        <v>743.68</v>
      </c>
      <c r="S91" s="8" t="n">
        <f aca="false">O91*M91</f>
        <v>5986.8</v>
      </c>
      <c r="T91" s="8" t="n">
        <f aca="false">R91+S91</f>
        <v>6730.48</v>
      </c>
      <c r="U91" s="8" t="n">
        <f aca="false">T91-K91</f>
        <v>4779.37</v>
      </c>
      <c r="V91" s="8" t="n">
        <f aca="false">R91+S91-U91</f>
        <v>1951.11</v>
      </c>
      <c r="W91" s="9" t="str">
        <f aca="false">IF(ROUND(V91-K91,2)=0,"OK","ERRO")</f>
        <v>OK</v>
      </c>
      <c r="X91" s="9" t="str">
        <f aca="false">VLOOKUP(F91,DIM_SERVICO!$A$2:$D$151,3,FALSE())</f>
        <v>Suspensão</v>
      </c>
    </row>
    <row r="92" customFormat="false" ht="15" hidden="false" customHeight="false" outlineLevel="0" collapsed="false">
      <c r="A92" s="2" t="n">
        <v>91</v>
      </c>
      <c r="B92" s="2" t="n">
        <v>643</v>
      </c>
      <c r="C92" s="2" t="n">
        <v>1316</v>
      </c>
      <c r="D92" s="2" t="n">
        <v>728</v>
      </c>
      <c r="E92" s="2" t="n">
        <v>186</v>
      </c>
      <c r="F92" s="2" t="n">
        <v>118</v>
      </c>
      <c r="G92" s="2" t="n">
        <v>1808</v>
      </c>
      <c r="H92" s="2" t="n">
        <v>2</v>
      </c>
      <c r="I92" s="3" t="n">
        <v>580.66</v>
      </c>
      <c r="J92" s="3" t="n">
        <v>114.25</v>
      </c>
      <c r="K92" s="3" t="n">
        <v>1276.93</v>
      </c>
      <c r="L92" s="3" t="n">
        <v>653.1</v>
      </c>
      <c r="M92" s="2" t="n">
        <v>6</v>
      </c>
      <c r="N92" s="2" t="s">
        <v>27</v>
      </c>
      <c r="O92" s="4" t="n">
        <f aca="false">VLOOKUP(F92,DIM_SERVICO!$A$2:$D$151,4,FALSE())</f>
        <v>114.25</v>
      </c>
      <c r="P92" s="4" t="n">
        <f aca="false">VLOOKUP(E92,DIM_PECA!$A$2:$F$501,6,FALSE())</f>
        <v>636.86</v>
      </c>
      <c r="Q92" s="4" t="n">
        <f aca="false">VLOOKUP(E92,DIM_PECA!$A$2:$F$501,5,FALSE())</f>
        <v>290.33</v>
      </c>
      <c r="R92" s="4" t="n">
        <f aca="false">H92*P92</f>
        <v>1273.72</v>
      </c>
      <c r="S92" s="4" t="n">
        <f aca="false">O92*M92</f>
        <v>685.5</v>
      </c>
      <c r="T92" s="4" t="n">
        <f aca="false">R92+S92</f>
        <v>1959.22</v>
      </c>
      <c r="U92" s="4" t="n">
        <f aca="false">T92-K92</f>
        <v>682.29</v>
      </c>
      <c r="V92" s="4" t="n">
        <f aca="false">R92+S92-U92</f>
        <v>1276.93</v>
      </c>
      <c r="W92" s="5" t="str">
        <f aca="false">IF(ROUND(V92-K92,2)=0,"OK","ERRO")</f>
        <v>OK</v>
      </c>
      <c r="X92" s="5" t="str">
        <f aca="false">VLOOKUP(F92,DIM_SERVICO!$A$2:$D$151,3,FALSE())</f>
        <v>Elétrica</v>
      </c>
    </row>
    <row r="93" customFormat="false" ht="15" hidden="false" customHeight="false" outlineLevel="0" collapsed="false">
      <c r="A93" s="6" t="n">
        <v>92</v>
      </c>
      <c r="B93" s="6" t="n">
        <v>182</v>
      </c>
      <c r="C93" s="6" t="n">
        <v>617</v>
      </c>
      <c r="D93" s="6" t="n">
        <v>148</v>
      </c>
      <c r="E93" s="6" t="n">
        <v>392</v>
      </c>
      <c r="F93" s="6" t="n">
        <v>16</v>
      </c>
      <c r="G93" s="6" t="n">
        <v>692</v>
      </c>
      <c r="H93" s="6" t="n">
        <v>1</v>
      </c>
      <c r="I93" s="7" t="n">
        <v>1064.49</v>
      </c>
      <c r="J93" s="7" t="n">
        <v>266.12</v>
      </c>
      <c r="K93" s="7" t="n">
        <v>1674.16</v>
      </c>
      <c r="L93" s="7" t="n">
        <v>488.87</v>
      </c>
      <c r="M93" s="6" t="n">
        <v>0.7</v>
      </c>
      <c r="N93" s="6" t="s">
        <v>25</v>
      </c>
      <c r="O93" s="8" t="n">
        <f aca="false">VLOOKUP(F93,DIM_SERVICO!$A$2:$D$151,4,FALSE())</f>
        <v>266.12</v>
      </c>
      <c r="P93" s="8" t="n">
        <f aca="false">VLOOKUP(E93,DIM_PECA!$A$2:$F$501,6,FALSE())</f>
        <v>1442.21</v>
      </c>
      <c r="Q93" s="8" t="n">
        <f aca="false">VLOOKUP(E93,DIM_PECA!$A$2:$F$501,5,FALSE())</f>
        <v>1064.49</v>
      </c>
      <c r="R93" s="8" t="n">
        <f aca="false">H93*P93</f>
        <v>1442.21</v>
      </c>
      <c r="S93" s="8" t="n">
        <f aca="false">O93*M93</f>
        <v>186.284</v>
      </c>
      <c r="T93" s="8" t="n">
        <f aca="false">R93+S93</f>
        <v>1628.494</v>
      </c>
      <c r="U93" s="8" t="n">
        <f aca="false">T93-K93</f>
        <v>-45.6659999999999</v>
      </c>
      <c r="V93" s="8" t="n">
        <f aca="false">R93+S93-U93</f>
        <v>1674.16</v>
      </c>
      <c r="W93" s="9" t="str">
        <f aca="false">IF(ROUND(V93-K93,2)=0,"OK","ERRO")</f>
        <v>OK</v>
      </c>
      <c r="X93" s="9" t="str">
        <f aca="false">VLOOKUP(F93,DIM_SERVICO!$A$2:$D$151,3,FALSE())</f>
        <v>Funilaria</v>
      </c>
    </row>
    <row r="94" customFormat="false" ht="15" hidden="false" customHeight="false" outlineLevel="0" collapsed="false">
      <c r="A94" s="2" t="n">
        <v>93</v>
      </c>
      <c r="B94" s="2" t="n">
        <v>612</v>
      </c>
      <c r="C94" s="2" t="n">
        <v>1488</v>
      </c>
      <c r="D94" s="2" t="n">
        <v>277</v>
      </c>
      <c r="E94" s="2" t="n">
        <v>124</v>
      </c>
      <c r="F94" s="2" t="n">
        <v>63</v>
      </c>
      <c r="G94" s="2" t="n">
        <v>112</v>
      </c>
      <c r="H94" s="2" t="n">
        <v>3</v>
      </c>
      <c r="I94" s="3" t="n">
        <v>2674.53</v>
      </c>
      <c r="J94" s="3" t="n">
        <v>263.48</v>
      </c>
      <c r="K94" s="3" t="n">
        <v>4535.88</v>
      </c>
      <c r="L94" s="3" t="n">
        <v>1746.67</v>
      </c>
      <c r="M94" s="2" t="n">
        <v>2.6</v>
      </c>
      <c r="N94" s="2" t="s">
        <v>27</v>
      </c>
      <c r="O94" s="4" t="n">
        <f aca="false">VLOOKUP(F94,DIM_SERVICO!$A$2:$D$151,4,FALSE())</f>
        <v>263.48</v>
      </c>
      <c r="P94" s="4" t="n">
        <f aca="false">VLOOKUP(E94,DIM_PECA!$A$2:$F$501,6,FALSE())</f>
        <v>1592.13</v>
      </c>
      <c r="Q94" s="4" t="n">
        <f aca="false">VLOOKUP(E94,DIM_PECA!$A$2:$F$501,5,FALSE())</f>
        <v>891.51</v>
      </c>
      <c r="R94" s="4" t="n">
        <f aca="false">H94*P94</f>
        <v>4776.39</v>
      </c>
      <c r="S94" s="4" t="n">
        <f aca="false">O94*M94</f>
        <v>685.048</v>
      </c>
      <c r="T94" s="4" t="n">
        <f aca="false">R94+S94</f>
        <v>5461.438</v>
      </c>
      <c r="U94" s="4" t="n">
        <f aca="false">T94-K94</f>
        <v>925.558</v>
      </c>
      <c r="V94" s="4" t="n">
        <f aca="false">R94+S94-U94</f>
        <v>4535.88</v>
      </c>
      <c r="W94" s="5" t="str">
        <f aca="false">IF(ROUND(V94-K94,2)=0,"OK","ERRO")</f>
        <v>OK</v>
      </c>
      <c r="X94" s="5" t="str">
        <f aca="false">VLOOKUP(F94,DIM_SERVICO!$A$2:$D$151,3,FALSE())</f>
        <v>Funilaria</v>
      </c>
    </row>
    <row r="95" customFormat="false" ht="15" hidden="false" customHeight="false" outlineLevel="0" collapsed="false">
      <c r="A95" s="6" t="n">
        <v>94</v>
      </c>
      <c r="B95" s="6" t="n">
        <v>131</v>
      </c>
      <c r="C95" s="6" t="n">
        <v>637</v>
      </c>
      <c r="D95" s="6" t="n">
        <v>872</v>
      </c>
      <c r="E95" s="6" t="n">
        <v>326</v>
      </c>
      <c r="F95" s="6" t="n">
        <v>6</v>
      </c>
      <c r="G95" s="6" t="n">
        <v>1770</v>
      </c>
      <c r="H95" s="6" t="n">
        <v>4</v>
      </c>
      <c r="I95" s="7" t="n">
        <v>2818.4</v>
      </c>
      <c r="J95" s="7" t="n">
        <v>1505.67</v>
      </c>
      <c r="K95" s="7" t="n">
        <v>4826.26</v>
      </c>
      <c r="L95" s="7" t="n">
        <v>1451.46</v>
      </c>
      <c r="M95" s="6" t="n">
        <v>11.4</v>
      </c>
      <c r="N95" s="6" t="s">
        <v>24</v>
      </c>
      <c r="O95" s="8" t="n">
        <f aca="false">VLOOKUP(F95,DIM_SERVICO!$A$2:$D$151,4,FALSE())</f>
        <v>1505.67</v>
      </c>
      <c r="P95" s="8" t="n">
        <f aca="false">VLOOKUP(E95,DIM_PECA!$A$2:$F$501,6,FALSE())</f>
        <v>964.21</v>
      </c>
      <c r="Q95" s="8" t="n">
        <f aca="false">VLOOKUP(E95,DIM_PECA!$A$2:$F$501,5,FALSE())</f>
        <v>704.6</v>
      </c>
      <c r="R95" s="8" t="n">
        <f aca="false">H95*P95</f>
        <v>3856.84</v>
      </c>
      <c r="S95" s="8" t="n">
        <f aca="false">O95*M95</f>
        <v>17164.638</v>
      </c>
      <c r="T95" s="8" t="n">
        <f aca="false">R95+S95</f>
        <v>21021.478</v>
      </c>
      <c r="U95" s="8" t="n">
        <f aca="false">T95-K95</f>
        <v>16195.218</v>
      </c>
      <c r="V95" s="8" t="n">
        <f aca="false">R95+S95-U95</f>
        <v>4826.26</v>
      </c>
      <c r="W95" s="9" t="str">
        <f aca="false">IF(ROUND(V95-K95,2)=0,"OK","ERRO")</f>
        <v>OK</v>
      </c>
      <c r="X95" s="9" t="str">
        <f aca="false">VLOOKUP(F95,DIM_SERVICO!$A$2:$D$151,3,FALSE())</f>
        <v>Motor</v>
      </c>
    </row>
    <row r="96" customFormat="false" ht="15" hidden="false" customHeight="false" outlineLevel="0" collapsed="false">
      <c r="A96" s="2" t="n">
        <v>95</v>
      </c>
      <c r="B96" s="2" t="n">
        <v>981</v>
      </c>
      <c r="C96" s="2" t="n">
        <v>685</v>
      </c>
      <c r="D96" s="2" t="n">
        <v>407</v>
      </c>
      <c r="E96" s="2" t="n">
        <v>436</v>
      </c>
      <c r="F96" s="2" t="n">
        <v>119</v>
      </c>
      <c r="G96" s="2" t="n">
        <v>451</v>
      </c>
      <c r="H96" s="2" t="n">
        <v>1</v>
      </c>
      <c r="I96" s="3" t="n">
        <v>523.57</v>
      </c>
      <c r="J96" s="3" t="n">
        <v>92.23</v>
      </c>
      <c r="K96" s="3" t="n">
        <v>833.68</v>
      </c>
      <c r="L96" s="3" t="n">
        <v>274.07</v>
      </c>
      <c r="M96" s="2" t="n">
        <v>3.9</v>
      </c>
      <c r="N96" s="2" t="s">
        <v>26</v>
      </c>
      <c r="O96" s="4" t="n">
        <f aca="false">VLOOKUP(F96,DIM_SERVICO!$A$2:$D$151,4,FALSE())</f>
        <v>92.23</v>
      </c>
      <c r="P96" s="4" t="n">
        <f aca="false">VLOOKUP(E96,DIM_PECA!$A$2:$F$501,6,FALSE())</f>
        <v>741.45</v>
      </c>
      <c r="Q96" s="4" t="n">
        <f aca="false">VLOOKUP(E96,DIM_PECA!$A$2:$F$501,5,FALSE())</f>
        <v>523.57</v>
      </c>
      <c r="R96" s="4" t="n">
        <f aca="false">H96*P96</f>
        <v>741.45</v>
      </c>
      <c r="S96" s="4" t="n">
        <f aca="false">O96*M96</f>
        <v>359.697</v>
      </c>
      <c r="T96" s="4" t="n">
        <f aca="false">R96+S96</f>
        <v>1101.147</v>
      </c>
      <c r="U96" s="4" t="n">
        <f aca="false">T96-K96</f>
        <v>267.467</v>
      </c>
      <c r="V96" s="4" t="n">
        <f aca="false">R96+S96-U96</f>
        <v>833.68</v>
      </c>
      <c r="W96" s="5" t="str">
        <f aca="false">IF(ROUND(V96-K96,2)=0,"OK","ERRO")</f>
        <v>OK</v>
      </c>
      <c r="X96" s="5" t="str">
        <f aca="false">VLOOKUP(F96,DIM_SERVICO!$A$2:$D$151,3,FALSE())</f>
        <v>Motor</v>
      </c>
    </row>
    <row r="97" customFormat="false" ht="15" hidden="false" customHeight="false" outlineLevel="0" collapsed="false">
      <c r="A97" s="6" t="n">
        <v>96</v>
      </c>
      <c r="B97" s="6" t="n">
        <v>539</v>
      </c>
      <c r="C97" s="6" t="n">
        <v>1113</v>
      </c>
      <c r="D97" s="6" t="n">
        <v>1072</v>
      </c>
      <c r="E97" s="6" t="n">
        <v>1</v>
      </c>
      <c r="F97" s="6" t="n">
        <v>126</v>
      </c>
      <c r="G97" s="6" t="n">
        <v>1453</v>
      </c>
      <c r="H97" s="6" t="n">
        <v>1</v>
      </c>
      <c r="I97" s="7" t="n">
        <v>994.02</v>
      </c>
      <c r="J97" s="7" t="n">
        <v>722.81</v>
      </c>
      <c r="K97" s="7" t="n">
        <v>2033.97</v>
      </c>
      <c r="L97" s="7" t="n">
        <v>658.17</v>
      </c>
      <c r="M97" s="6" t="n">
        <v>2.2</v>
      </c>
      <c r="N97" s="6" t="s">
        <v>24</v>
      </c>
      <c r="O97" s="8" t="n">
        <f aca="false">VLOOKUP(F97,DIM_SERVICO!$A$2:$D$151,4,FALSE())</f>
        <v>722.81</v>
      </c>
      <c r="P97" s="8" t="n">
        <f aca="false">VLOOKUP(E97,DIM_PECA!$A$2:$F$501,6,FALSE())</f>
        <v>1488.03</v>
      </c>
      <c r="Q97" s="8" t="n">
        <f aca="false">VLOOKUP(E97,DIM_PECA!$A$2:$F$501,5,FALSE())</f>
        <v>994.02</v>
      </c>
      <c r="R97" s="8" t="n">
        <f aca="false">H97*P97</f>
        <v>1488.03</v>
      </c>
      <c r="S97" s="8" t="n">
        <f aca="false">O97*M97</f>
        <v>1590.182</v>
      </c>
      <c r="T97" s="8" t="n">
        <f aca="false">R97+S97</f>
        <v>3078.212</v>
      </c>
      <c r="U97" s="8" t="n">
        <f aca="false">T97-K97</f>
        <v>1044.242</v>
      </c>
      <c r="V97" s="8" t="n">
        <f aca="false">R97+S97-U97</f>
        <v>2033.97</v>
      </c>
      <c r="W97" s="9" t="str">
        <f aca="false">IF(ROUND(V97-K97,2)=0,"OK","ERRO")</f>
        <v>OK</v>
      </c>
      <c r="X97" s="9" t="str">
        <f aca="false">VLOOKUP(F97,DIM_SERVICO!$A$2:$D$151,3,FALSE())</f>
        <v>Freios</v>
      </c>
    </row>
    <row r="98" customFormat="false" ht="15" hidden="false" customHeight="false" outlineLevel="0" collapsed="false">
      <c r="A98" s="2" t="n">
        <v>97</v>
      </c>
      <c r="B98" s="2" t="n">
        <v>707</v>
      </c>
      <c r="C98" s="2" t="n">
        <v>415</v>
      </c>
      <c r="D98" s="2" t="n">
        <v>115</v>
      </c>
      <c r="E98" s="2" t="n">
        <v>479</v>
      </c>
      <c r="F98" s="2" t="n">
        <v>148</v>
      </c>
      <c r="G98" s="2" t="n">
        <v>1645</v>
      </c>
      <c r="H98" s="2" t="n">
        <v>4</v>
      </c>
      <c r="I98" s="3" t="n">
        <v>2972.48</v>
      </c>
      <c r="J98" s="3" t="n">
        <v>1276.19</v>
      </c>
      <c r="K98" s="3" t="n">
        <v>5335.39</v>
      </c>
      <c r="L98" s="3" t="n">
        <v>1826.5</v>
      </c>
      <c r="M98" s="2" t="n">
        <v>6</v>
      </c>
      <c r="N98" s="2" t="s">
        <v>24</v>
      </c>
      <c r="O98" s="4" t="n">
        <f aca="false">VLOOKUP(F98,DIM_SERVICO!$A$2:$D$151,4,FALSE())</f>
        <v>1276.19</v>
      </c>
      <c r="P98" s="4" t="n">
        <f aca="false">VLOOKUP(E98,DIM_PECA!$A$2:$F$501,6,FALSE())</f>
        <v>1014.8</v>
      </c>
      <c r="Q98" s="4" t="n">
        <f aca="false">VLOOKUP(E98,DIM_PECA!$A$2:$F$501,5,FALSE())</f>
        <v>743.12</v>
      </c>
      <c r="R98" s="4" t="n">
        <f aca="false">H98*P98</f>
        <v>4059.2</v>
      </c>
      <c r="S98" s="4" t="n">
        <f aca="false">O98*M98</f>
        <v>7657.14</v>
      </c>
      <c r="T98" s="4" t="n">
        <f aca="false">R98+S98</f>
        <v>11716.34</v>
      </c>
      <c r="U98" s="4" t="n">
        <f aca="false">T98-K98</f>
        <v>6380.95</v>
      </c>
      <c r="V98" s="4" t="n">
        <f aca="false">R98+S98-U98</f>
        <v>5335.39</v>
      </c>
      <c r="W98" s="5" t="str">
        <f aca="false">IF(ROUND(V98-K98,2)=0,"OK","ERRO")</f>
        <v>OK</v>
      </c>
      <c r="X98" s="5" t="str">
        <f aca="false">VLOOKUP(F98,DIM_SERVICO!$A$2:$D$151,3,FALSE())</f>
        <v>Revisão</v>
      </c>
    </row>
    <row r="99" customFormat="false" ht="15" hidden="false" customHeight="false" outlineLevel="0" collapsed="false">
      <c r="A99" s="6" t="n">
        <v>98</v>
      </c>
      <c r="B99" s="6" t="n">
        <v>1243</v>
      </c>
      <c r="C99" s="6" t="n">
        <v>104</v>
      </c>
      <c r="D99" s="6" t="n">
        <v>789</v>
      </c>
      <c r="E99" s="6" t="n">
        <v>204</v>
      </c>
      <c r="F99" s="6" t="n">
        <v>32</v>
      </c>
      <c r="G99" s="6" t="n">
        <v>814</v>
      </c>
      <c r="H99" s="6" t="n">
        <v>1</v>
      </c>
      <c r="I99" s="7" t="n">
        <v>75.25</v>
      </c>
      <c r="J99" s="7" t="n">
        <v>1856.26</v>
      </c>
      <c r="K99" s="7" t="n">
        <v>1958.78</v>
      </c>
      <c r="L99" s="7" t="n">
        <v>1072.91</v>
      </c>
      <c r="M99" s="6" t="n">
        <v>5.8</v>
      </c>
      <c r="N99" s="6" t="s">
        <v>26</v>
      </c>
      <c r="O99" s="8" t="n">
        <f aca="false">VLOOKUP(F99,DIM_SERVICO!$A$2:$D$151,4,FALSE())</f>
        <v>1856.26</v>
      </c>
      <c r="P99" s="8" t="n">
        <f aca="false">VLOOKUP(E99,DIM_PECA!$A$2:$F$501,6,FALSE())</f>
        <v>102.52</v>
      </c>
      <c r="Q99" s="8" t="n">
        <f aca="false">VLOOKUP(E99,DIM_PECA!$A$2:$F$501,5,FALSE())</f>
        <v>75.25</v>
      </c>
      <c r="R99" s="8" t="n">
        <f aca="false">H99*P99</f>
        <v>102.52</v>
      </c>
      <c r="S99" s="8" t="n">
        <f aca="false">O99*M99</f>
        <v>10766.308</v>
      </c>
      <c r="T99" s="8" t="n">
        <f aca="false">R99+S99</f>
        <v>10868.828</v>
      </c>
      <c r="U99" s="8" t="n">
        <f aca="false">T99-K99</f>
        <v>8910.048</v>
      </c>
      <c r="V99" s="8" t="n">
        <f aca="false">R99+S99-U99</f>
        <v>1958.78</v>
      </c>
      <c r="W99" s="9" t="str">
        <f aca="false">IF(ROUND(V99-K99,2)=0,"OK","ERRO")</f>
        <v>OK</v>
      </c>
      <c r="X99" s="9" t="str">
        <f aca="false">VLOOKUP(F99,DIM_SERVICO!$A$2:$D$151,3,FALSE())</f>
        <v>Freios</v>
      </c>
    </row>
    <row r="100" customFormat="false" ht="15" hidden="false" customHeight="false" outlineLevel="0" collapsed="false">
      <c r="A100" s="2" t="n">
        <v>99</v>
      </c>
      <c r="B100" s="2" t="n">
        <v>537</v>
      </c>
      <c r="C100" s="2" t="n">
        <v>680</v>
      </c>
      <c r="D100" s="2" t="n">
        <v>1037</v>
      </c>
      <c r="E100" s="2" t="n">
        <v>31</v>
      </c>
      <c r="F100" s="2" t="n">
        <v>69</v>
      </c>
      <c r="G100" s="2" t="n">
        <v>243</v>
      </c>
      <c r="H100" s="2" t="n">
        <v>1</v>
      </c>
      <c r="I100" s="3" t="n">
        <v>389.98</v>
      </c>
      <c r="J100" s="3" t="n">
        <v>905.47</v>
      </c>
      <c r="K100" s="3" t="n">
        <v>1702.57</v>
      </c>
      <c r="L100" s="3" t="n">
        <v>876.71</v>
      </c>
      <c r="M100" s="2" t="n">
        <v>7.9</v>
      </c>
      <c r="N100" s="2" t="s">
        <v>25</v>
      </c>
      <c r="O100" s="4" t="n">
        <f aca="false">VLOOKUP(F100,DIM_SERVICO!$A$2:$D$151,4,FALSE())</f>
        <v>905.47</v>
      </c>
      <c r="P100" s="4" t="n">
        <f aca="false">VLOOKUP(E100,DIM_PECA!$A$2:$F$501,6,FALSE())</f>
        <v>831.85</v>
      </c>
      <c r="Q100" s="4" t="n">
        <f aca="false">VLOOKUP(E100,DIM_PECA!$A$2:$F$501,5,FALSE())</f>
        <v>389.98</v>
      </c>
      <c r="R100" s="4" t="n">
        <f aca="false">H100*P100</f>
        <v>831.85</v>
      </c>
      <c r="S100" s="4" t="n">
        <f aca="false">O100*M100</f>
        <v>7153.213</v>
      </c>
      <c r="T100" s="4" t="n">
        <f aca="false">R100+S100</f>
        <v>7985.063</v>
      </c>
      <c r="U100" s="4" t="n">
        <f aca="false">T100-K100</f>
        <v>6282.493</v>
      </c>
      <c r="V100" s="4" t="n">
        <f aca="false">R100+S100-U100</f>
        <v>1702.57</v>
      </c>
      <c r="W100" s="5" t="str">
        <f aca="false">IF(ROUND(V100-K100,2)=0,"OK","ERRO")</f>
        <v>OK</v>
      </c>
      <c r="X100" s="5" t="str">
        <f aca="false">VLOOKUP(F100,DIM_SERVICO!$A$2:$D$151,3,FALSE())</f>
        <v>Motor</v>
      </c>
    </row>
    <row r="101" customFormat="false" ht="15" hidden="false" customHeight="false" outlineLevel="0" collapsed="false">
      <c r="A101" s="6" t="n">
        <v>100</v>
      </c>
      <c r="B101" s="6" t="n">
        <v>1476</v>
      </c>
      <c r="C101" s="6" t="n">
        <v>1395</v>
      </c>
      <c r="D101" s="6" t="n">
        <v>851</v>
      </c>
      <c r="E101" s="6" t="n">
        <v>227</v>
      </c>
      <c r="F101" s="6" t="n">
        <v>111</v>
      </c>
      <c r="G101" s="6" t="n">
        <v>1382</v>
      </c>
      <c r="H101" s="6" t="n">
        <v>2</v>
      </c>
      <c r="I101" s="7" t="n">
        <v>307.4</v>
      </c>
      <c r="J101" s="7" t="n">
        <v>1482.2</v>
      </c>
      <c r="K101" s="7" t="n">
        <v>2000.02</v>
      </c>
      <c r="L101" s="7" t="n">
        <v>997.64</v>
      </c>
      <c r="M101" s="6" t="n">
        <v>5.2</v>
      </c>
      <c r="N101" s="6" t="s">
        <v>24</v>
      </c>
      <c r="O101" s="8" t="n">
        <f aca="false">VLOOKUP(F101,DIM_SERVICO!$A$2:$D$151,4,FALSE())</f>
        <v>1482.2</v>
      </c>
      <c r="P101" s="8" t="n">
        <f aca="false">VLOOKUP(E101,DIM_PECA!$A$2:$F$501,6,FALSE())</f>
        <v>258.91</v>
      </c>
      <c r="Q101" s="8" t="n">
        <f aca="false">VLOOKUP(E101,DIM_PECA!$A$2:$F$501,5,FALSE())</f>
        <v>153.7</v>
      </c>
      <c r="R101" s="8" t="n">
        <f aca="false">H101*P101</f>
        <v>517.82</v>
      </c>
      <c r="S101" s="8" t="n">
        <f aca="false">O101*M101</f>
        <v>7707.44</v>
      </c>
      <c r="T101" s="8" t="n">
        <f aca="false">R101+S101</f>
        <v>8225.26</v>
      </c>
      <c r="U101" s="8" t="n">
        <f aca="false">T101-K101</f>
        <v>6225.24</v>
      </c>
      <c r="V101" s="8" t="n">
        <f aca="false">R101+S101-U101</f>
        <v>2000.02</v>
      </c>
      <c r="W101" s="9" t="str">
        <f aca="false">IF(ROUND(V101-K101,2)=0,"OK","ERRO")</f>
        <v>OK</v>
      </c>
      <c r="X101" s="9" t="str">
        <f aca="false">VLOOKUP(F101,DIM_SERVICO!$A$2:$D$151,3,FALSE())</f>
        <v>Pintura</v>
      </c>
    </row>
    <row r="102" customFormat="false" ht="15" hidden="false" customHeight="false" outlineLevel="0" collapsed="false">
      <c r="A102" s="2" t="n">
        <v>101</v>
      </c>
      <c r="B102" s="2" t="n">
        <v>231</v>
      </c>
      <c r="C102" s="2" t="n">
        <v>67</v>
      </c>
      <c r="D102" s="2" t="n">
        <v>1017</v>
      </c>
      <c r="E102" s="2" t="n">
        <v>477</v>
      </c>
      <c r="F102" s="2" t="n">
        <v>100</v>
      </c>
      <c r="G102" s="2" t="n">
        <v>1379</v>
      </c>
      <c r="H102" s="2" t="n">
        <v>1</v>
      </c>
      <c r="I102" s="3" t="n">
        <v>190.58</v>
      </c>
      <c r="J102" s="3" t="n">
        <v>2148.55</v>
      </c>
      <c r="K102" s="3" t="n">
        <v>2335.75</v>
      </c>
      <c r="L102" s="3" t="n">
        <v>1195</v>
      </c>
      <c r="M102" s="2" t="n">
        <v>5.3</v>
      </c>
      <c r="N102" s="2" t="s">
        <v>25</v>
      </c>
      <c r="O102" s="4" t="n">
        <f aca="false">VLOOKUP(F102,DIM_SERVICO!$A$2:$D$151,4,FALSE())</f>
        <v>2148.55</v>
      </c>
      <c r="P102" s="4" t="n">
        <f aca="false">VLOOKUP(E102,DIM_PECA!$A$2:$F$501,6,FALSE())</f>
        <v>310.13</v>
      </c>
      <c r="Q102" s="4" t="n">
        <f aca="false">VLOOKUP(E102,DIM_PECA!$A$2:$F$501,5,FALSE())</f>
        <v>190.58</v>
      </c>
      <c r="R102" s="4" t="n">
        <f aca="false">H102*P102</f>
        <v>310.13</v>
      </c>
      <c r="S102" s="4" t="n">
        <f aca="false">O102*M102</f>
        <v>11387.315</v>
      </c>
      <c r="T102" s="4" t="n">
        <f aca="false">R102+S102</f>
        <v>11697.445</v>
      </c>
      <c r="U102" s="4" t="n">
        <f aca="false">T102-K102</f>
        <v>9361.695</v>
      </c>
      <c r="V102" s="4" t="n">
        <f aca="false">R102+S102-U102</f>
        <v>2335.75</v>
      </c>
      <c r="W102" s="5" t="str">
        <f aca="false">IF(ROUND(V102-K102,2)=0,"OK","ERRO")</f>
        <v>OK</v>
      </c>
      <c r="X102" s="5" t="str">
        <f aca="false">VLOOKUP(F102,DIM_SERVICO!$A$2:$D$151,3,FALSE())</f>
        <v>Motor</v>
      </c>
    </row>
    <row r="103" customFormat="false" ht="15" hidden="false" customHeight="false" outlineLevel="0" collapsed="false">
      <c r="A103" s="6" t="n">
        <v>102</v>
      </c>
      <c r="B103" s="6" t="n">
        <v>1426</v>
      </c>
      <c r="C103" s="6" t="n">
        <v>142</v>
      </c>
      <c r="D103" s="6" t="n">
        <v>268</v>
      </c>
      <c r="E103" s="6" t="n">
        <v>77</v>
      </c>
      <c r="F103" s="6" t="n">
        <v>131</v>
      </c>
      <c r="G103" s="6" t="n">
        <v>449</v>
      </c>
      <c r="H103" s="6" t="n">
        <v>1</v>
      </c>
      <c r="I103" s="7" t="n">
        <v>918.33</v>
      </c>
      <c r="J103" s="7" t="n">
        <v>419.61</v>
      </c>
      <c r="K103" s="7" t="n">
        <v>1704.33</v>
      </c>
      <c r="L103" s="7" t="n">
        <v>582.95</v>
      </c>
      <c r="M103" s="6" t="n">
        <v>6.7</v>
      </c>
      <c r="N103" s="6" t="s">
        <v>24</v>
      </c>
      <c r="O103" s="8" t="n">
        <f aca="false">VLOOKUP(F103,DIM_SERVICO!$A$2:$D$151,4,FALSE())</f>
        <v>419.61</v>
      </c>
      <c r="P103" s="8" t="n">
        <f aca="false">VLOOKUP(E103,DIM_PECA!$A$2:$F$501,6,FALSE())</f>
        <v>1374.42</v>
      </c>
      <c r="Q103" s="8" t="n">
        <f aca="false">VLOOKUP(E103,DIM_PECA!$A$2:$F$501,5,FALSE())</f>
        <v>918.33</v>
      </c>
      <c r="R103" s="8" t="n">
        <f aca="false">H103*P103</f>
        <v>1374.42</v>
      </c>
      <c r="S103" s="8" t="n">
        <f aca="false">O103*M103</f>
        <v>2811.387</v>
      </c>
      <c r="T103" s="8" t="n">
        <f aca="false">R103+S103</f>
        <v>4185.807</v>
      </c>
      <c r="U103" s="8" t="n">
        <f aca="false">T103-K103</f>
        <v>2481.477</v>
      </c>
      <c r="V103" s="8" t="n">
        <f aca="false">R103+S103-U103</f>
        <v>1704.33</v>
      </c>
      <c r="W103" s="9" t="str">
        <f aca="false">IF(ROUND(V103-K103,2)=0,"OK","ERRO")</f>
        <v>OK</v>
      </c>
      <c r="X103" s="9" t="str">
        <f aca="false">VLOOKUP(F103,DIM_SERVICO!$A$2:$D$151,3,FALSE())</f>
        <v>Freios</v>
      </c>
    </row>
    <row r="104" customFormat="false" ht="15" hidden="false" customHeight="false" outlineLevel="0" collapsed="false">
      <c r="A104" s="2" t="n">
        <v>103</v>
      </c>
      <c r="B104" s="2" t="n">
        <v>131</v>
      </c>
      <c r="C104" s="2" t="n">
        <v>637</v>
      </c>
      <c r="D104" s="2" t="n">
        <v>851</v>
      </c>
      <c r="E104" s="2" t="n">
        <v>232</v>
      </c>
      <c r="F104" s="2" t="n">
        <v>145</v>
      </c>
      <c r="G104" s="2" t="n">
        <v>1105</v>
      </c>
      <c r="H104" s="2" t="n">
        <v>2</v>
      </c>
      <c r="I104" s="3" t="n">
        <v>153.62</v>
      </c>
      <c r="J104" s="3" t="n">
        <v>392.14</v>
      </c>
      <c r="K104" s="3" t="n">
        <v>681.8</v>
      </c>
      <c r="L104" s="3" t="n">
        <v>329.94</v>
      </c>
      <c r="M104" s="2" t="n">
        <v>4.5</v>
      </c>
      <c r="N104" s="2" t="s">
        <v>24</v>
      </c>
      <c r="O104" s="4" t="n">
        <f aca="false">VLOOKUP(F104,DIM_SERVICO!$A$2:$D$151,4,FALSE())</f>
        <v>392.14</v>
      </c>
      <c r="P104" s="4" t="n">
        <f aca="false">VLOOKUP(E104,DIM_PECA!$A$2:$F$501,6,FALSE())</f>
        <v>144.83</v>
      </c>
      <c r="Q104" s="4" t="n">
        <f aca="false">VLOOKUP(E104,DIM_PECA!$A$2:$F$501,5,FALSE())</f>
        <v>76.81</v>
      </c>
      <c r="R104" s="4" t="n">
        <f aca="false">H104*P104</f>
        <v>289.66</v>
      </c>
      <c r="S104" s="4" t="n">
        <f aca="false">O104*M104</f>
        <v>1764.63</v>
      </c>
      <c r="T104" s="4" t="n">
        <f aca="false">R104+S104</f>
        <v>2054.29</v>
      </c>
      <c r="U104" s="4" t="n">
        <f aca="false">T104-K104</f>
        <v>1372.49</v>
      </c>
      <c r="V104" s="4" t="n">
        <f aca="false">R104+S104-U104</f>
        <v>681.8</v>
      </c>
      <c r="W104" s="5" t="str">
        <f aca="false">IF(ROUND(V104-K104,2)=0,"OK","ERRO")</f>
        <v>OK</v>
      </c>
      <c r="X104" s="5" t="str">
        <f aca="false">VLOOKUP(F104,DIM_SERVICO!$A$2:$D$151,3,FALSE())</f>
        <v>Revisão</v>
      </c>
    </row>
    <row r="105" customFormat="false" ht="15" hidden="false" customHeight="false" outlineLevel="0" collapsed="false">
      <c r="A105" s="6" t="n">
        <v>104</v>
      </c>
      <c r="B105" s="6" t="n">
        <v>405</v>
      </c>
      <c r="C105" s="6" t="n">
        <v>826</v>
      </c>
      <c r="D105" s="6" t="n">
        <v>958</v>
      </c>
      <c r="E105" s="6" t="n">
        <v>380</v>
      </c>
      <c r="F105" s="6" t="n">
        <v>101</v>
      </c>
      <c r="G105" s="6" t="n">
        <v>1102</v>
      </c>
      <c r="H105" s="6" t="n">
        <v>4</v>
      </c>
      <c r="I105" s="7" t="n">
        <v>202.04</v>
      </c>
      <c r="J105" s="7" t="n">
        <v>1690.47</v>
      </c>
      <c r="K105" s="7" t="n">
        <v>2063.23</v>
      </c>
      <c r="L105" s="7" t="n">
        <v>1118.4</v>
      </c>
      <c r="M105" s="6" t="n">
        <v>11.1</v>
      </c>
      <c r="N105" s="6" t="s">
        <v>24</v>
      </c>
      <c r="O105" s="8" t="n">
        <f aca="false">VLOOKUP(F105,DIM_SERVICO!$A$2:$D$151,4,FALSE())</f>
        <v>1690.47</v>
      </c>
      <c r="P105" s="8" t="n">
        <f aca="false">VLOOKUP(E105,DIM_PECA!$A$2:$F$501,6,FALSE())</f>
        <v>93.19</v>
      </c>
      <c r="Q105" s="8" t="n">
        <f aca="false">VLOOKUP(E105,DIM_PECA!$A$2:$F$501,5,FALSE())</f>
        <v>50.51</v>
      </c>
      <c r="R105" s="8" t="n">
        <f aca="false">H105*P105</f>
        <v>372.76</v>
      </c>
      <c r="S105" s="8" t="n">
        <f aca="false">O105*M105</f>
        <v>18764.217</v>
      </c>
      <c r="T105" s="8" t="n">
        <f aca="false">R105+S105</f>
        <v>19136.977</v>
      </c>
      <c r="U105" s="8" t="n">
        <f aca="false">T105-K105</f>
        <v>17073.747</v>
      </c>
      <c r="V105" s="8" t="n">
        <f aca="false">R105+S105-U105</f>
        <v>2063.23</v>
      </c>
      <c r="W105" s="9" t="str">
        <f aca="false">IF(ROUND(V105-K105,2)=0,"OK","ERRO")</f>
        <v>OK</v>
      </c>
      <c r="X105" s="9" t="str">
        <f aca="false">VLOOKUP(F105,DIM_SERVICO!$A$2:$D$151,3,FALSE())</f>
        <v>Revisão</v>
      </c>
    </row>
    <row r="106" customFormat="false" ht="15" hidden="false" customHeight="false" outlineLevel="0" collapsed="false">
      <c r="A106" s="2" t="n">
        <v>105</v>
      </c>
      <c r="B106" s="2" t="n">
        <v>773</v>
      </c>
      <c r="C106" s="2" t="n">
        <v>384</v>
      </c>
      <c r="D106" s="2" t="n">
        <v>424</v>
      </c>
      <c r="E106" s="2" t="n">
        <v>7</v>
      </c>
      <c r="F106" s="2" t="n">
        <v>10</v>
      </c>
      <c r="G106" s="2" t="n">
        <v>1168</v>
      </c>
      <c r="H106" s="2" t="n">
        <v>4</v>
      </c>
      <c r="I106" s="3" t="n">
        <v>2904.72</v>
      </c>
      <c r="J106" s="3" t="n">
        <v>338.82</v>
      </c>
      <c r="K106" s="3" t="n">
        <v>5382.42</v>
      </c>
      <c r="L106" s="3" t="n">
        <v>2298.17</v>
      </c>
      <c r="M106" s="2" t="n">
        <v>6.1</v>
      </c>
      <c r="N106" s="2" t="s">
        <v>24</v>
      </c>
      <c r="O106" s="4" t="n">
        <f aca="false">VLOOKUP(F106,DIM_SERVICO!$A$2:$D$151,4,FALSE())</f>
        <v>338.82</v>
      </c>
      <c r="P106" s="4" t="n">
        <f aca="false">VLOOKUP(E106,DIM_PECA!$A$2:$F$501,6,FALSE())</f>
        <v>1260.9</v>
      </c>
      <c r="Q106" s="4" t="n">
        <f aca="false">VLOOKUP(E106,DIM_PECA!$A$2:$F$501,5,FALSE())</f>
        <v>726.18</v>
      </c>
      <c r="R106" s="4" t="n">
        <f aca="false">H106*P106</f>
        <v>5043.6</v>
      </c>
      <c r="S106" s="4" t="n">
        <f aca="false">O106*M106</f>
        <v>2066.802</v>
      </c>
      <c r="T106" s="4" t="n">
        <f aca="false">R106+S106</f>
        <v>7110.402</v>
      </c>
      <c r="U106" s="4" t="n">
        <f aca="false">T106-K106</f>
        <v>1727.982</v>
      </c>
      <c r="V106" s="4" t="n">
        <f aca="false">R106+S106-U106</f>
        <v>5382.42</v>
      </c>
      <c r="W106" s="5" t="str">
        <f aca="false">IF(ROUND(V106-K106,2)=0,"OK","ERRO")</f>
        <v>OK</v>
      </c>
      <c r="X106" s="5" t="str">
        <f aca="false">VLOOKUP(F106,DIM_SERVICO!$A$2:$D$151,3,FALSE())</f>
        <v>Diagnóstico</v>
      </c>
    </row>
    <row r="107" customFormat="false" ht="15" hidden="false" customHeight="false" outlineLevel="0" collapsed="false">
      <c r="A107" s="6" t="n">
        <v>106</v>
      </c>
      <c r="B107" s="6" t="n">
        <v>553</v>
      </c>
      <c r="C107" s="6" t="n">
        <v>682</v>
      </c>
      <c r="D107" s="6" t="n">
        <v>1065</v>
      </c>
      <c r="E107" s="6" t="n">
        <v>182</v>
      </c>
      <c r="F107" s="6" t="n">
        <v>5</v>
      </c>
      <c r="G107" s="6" t="n">
        <v>237</v>
      </c>
      <c r="H107" s="6" t="n">
        <v>2</v>
      </c>
      <c r="I107" s="7" t="n">
        <v>1570.52</v>
      </c>
      <c r="J107" s="7" t="n">
        <v>1161.51</v>
      </c>
      <c r="K107" s="7" t="n">
        <v>3563.52</v>
      </c>
      <c r="L107" s="7" t="n">
        <v>1409.67</v>
      </c>
      <c r="M107" s="6" t="n">
        <v>4.9</v>
      </c>
      <c r="N107" s="6" t="s">
        <v>24</v>
      </c>
      <c r="O107" s="8" t="n">
        <f aca="false">VLOOKUP(F107,DIM_SERVICO!$A$2:$D$151,4,FALSE())</f>
        <v>1161.51</v>
      </c>
      <c r="P107" s="8" t="n">
        <f aca="false">VLOOKUP(E107,DIM_PECA!$A$2:$F$501,6,FALSE())</f>
        <v>1398.98</v>
      </c>
      <c r="Q107" s="8" t="n">
        <f aca="false">VLOOKUP(E107,DIM_PECA!$A$2:$F$501,5,FALSE())</f>
        <v>785.26</v>
      </c>
      <c r="R107" s="8" t="n">
        <f aca="false">H107*P107</f>
        <v>2797.96</v>
      </c>
      <c r="S107" s="8" t="n">
        <f aca="false">O107*M107</f>
        <v>5691.399</v>
      </c>
      <c r="T107" s="8" t="n">
        <f aca="false">R107+S107</f>
        <v>8489.359</v>
      </c>
      <c r="U107" s="8" t="n">
        <f aca="false">T107-K107</f>
        <v>4925.839</v>
      </c>
      <c r="V107" s="8" t="n">
        <f aca="false">R107+S107-U107</f>
        <v>3563.52</v>
      </c>
      <c r="W107" s="9" t="str">
        <f aca="false">IF(ROUND(V107-K107,2)=0,"OK","ERRO")</f>
        <v>OK</v>
      </c>
      <c r="X107" s="9" t="str">
        <f aca="false">VLOOKUP(F107,DIM_SERVICO!$A$2:$D$151,3,FALSE())</f>
        <v>Funilaria</v>
      </c>
    </row>
    <row r="108" customFormat="false" ht="15" hidden="false" customHeight="false" outlineLevel="0" collapsed="false">
      <c r="A108" s="2" t="n">
        <v>107</v>
      </c>
      <c r="B108" s="2" t="n">
        <v>1344</v>
      </c>
      <c r="C108" s="2" t="n">
        <v>311</v>
      </c>
      <c r="D108" s="2" t="n">
        <v>1174</v>
      </c>
      <c r="E108" s="2" t="n">
        <v>45</v>
      </c>
      <c r="F108" s="2" t="n">
        <v>17</v>
      </c>
      <c r="G108" s="2" t="n">
        <v>1711</v>
      </c>
      <c r="H108" s="2" t="n">
        <v>3</v>
      </c>
      <c r="I108" s="3" t="n">
        <v>200.88</v>
      </c>
      <c r="J108" s="3" t="n">
        <v>131.97</v>
      </c>
      <c r="K108" s="3" t="n">
        <v>473.87</v>
      </c>
      <c r="L108" s="3" t="n">
        <v>215.03</v>
      </c>
      <c r="M108" s="2" t="n">
        <v>6.5</v>
      </c>
      <c r="N108" s="2" t="s">
        <v>27</v>
      </c>
      <c r="O108" s="4" t="n">
        <f aca="false">VLOOKUP(F108,DIM_SERVICO!$A$2:$D$151,4,FALSE())</f>
        <v>131.97</v>
      </c>
      <c r="P108" s="4" t="n">
        <f aca="false">VLOOKUP(E108,DIM_PECA!$A$2:$F$501,6,FALSE())</f>
        <v>117.19</v>
      </c>
      <c r="Q108" s="4" t="n">
        <f aca="false">VLOOKUP(E108,DIM_PECA!$A$2:$F$501,5,FALSE())</f>
        <v>66.96</v>
      </c>
      <c r="R108" s="4" t="n">
        <f aca="false">H108*P108</f>
        <v>351.57</v>
      </c>
      <c r="S108" s="4" t="n">
        <f aca="false">O108*M108</f>
        <v>857.805</v>
      </c>
      <c r="T108" s="4" t="n">
        <f aca="false">R108+S108</f>
        <v>1209.375</v>
      </c>
      <c r="U108" s="4" t="n">
        <f aca="false">T108-K108</f>
        <v>735.505</v>
      </c>
      <c r="V108" s="4" t="n">
        <f aca="false">R108+S108-U108</f>
        <v>473.87</v>
      </c>
      <c r="W108" s="5" t="str">
        <f aca="false">IF(ROUND(V108-K108,2)=0,"OK","ERRO")</f>
        <v>OK</v>
      </c>
      <c r="X108" s="5" t="str">
        <f aca="false">VLOOKUP(F108,DIM_SERVICO!$A$2:$D$151,3,FALSE())</f>
        <v>Pintura</v>
      </c>
    </row>
    <row r="109" customFormat="false" ht="15" hidden="false" customHeight="false" outlineLevel="0" collapsed="false">
      <c r="A109" s="6" t="n">
        <v>108</v>
      </c>
      <c r="B109" s="6" t="n">
        <v>629</v>
      </c>
      <c r="C109" s="6" t="n">
        <v>136</v>
      </c>
      <c r="D109" s="6" t="n">
        <v>500</v>
      </c>
      <c r="E109" s="6" t="n">
        <v>10</v>
      </c>
      <c r="F109" s="6" t="n">
        <v>138</v>
      </c>
      <c r="G109" s="6" t="n">
        <v>327</v>
      </c>
      <c r="H109" s="6" t="n">
        <v>2</v>
      </c>
      <c r="I109" s="7" t="n">
        <v>977.48</v>
      </c>
      <c r="J109" s="7" t="n">
        <v>836.68</v>
      </c>
      <c r="K109" s="7" t="n">
        <v>2976.32</v>
      </c>
      <c r="L109" s="7" t="n">
        <v>1580.11</v>
      </c>
      <c r="M109" s="6" t="n">
        <v>4</v>
      </c>
      <c r="N109" s="6" t="s">
        <v>24</v>
      </c>
      <c r="O109" s="8" t="n">
        <f aca="false">VLOOKUP(F109,DIM_SERVICO!$A$2:$D$151,4,FALSE())</f>
        <v>836.68</v>
      </c>
      <c r="P109" s="8" t="n">
        <f aca="false">VLOOKUP(E109,DIM_PECA!$A$2:$F$501,6,FALSE())</f>
        <v>1069.82</v>
      </c>
      <c r="Q109" s="8" t="n">
        <f aca="false">VLOOKUP(E109,DIM_PECA!$A$2:$F$501,5,FALSE())</f>
        <v>488.74</v>
      </c>
      <c r="R109" s="8" t="n">
        <f aca="false">H109*P109</f>
        <v>2139.64</v>
      </c>
      <c r="S109" s="8" t="n">
        <f aca="false">O109*M109</f>
        <v>3346.72</v>
      </c>
      <c r="T109" s="8" t="n">
        <f aca="false">R109+S109</f>
        <v>5486.36</v>
      </c>
      <c r="U109" s="8" t="n">
        <f aca="false">T109-K109</f>
        <v>2510.04</v>
      </c>
      <c r="V109" s="8" t="n">
        <f aca="false">R109+S109-U109</f>
        <v>2976.32</v>
      </c>
      <c r="W109" s="9" t="str">
        <f aca="false">IF(ROUND(V109-K109,2)=0,"OK","ERRO")</f>
        <v>OK</v>
      </c>
      <c r="X109" s="9" t="str">
        <f aca="false">VLOOKUP(F109,DIM_SERVICO!$A$2:$D$151,3,FALSE())</f>
        <v>Funilaria</v>
      </c>
    </row>
    <row r="110" customFormat="false" ht="15" hidden="false" customHeight="false" outlineLevel="0" collapsed="false">
      <c r="A110" s="2" t="n">
        <v>109</v>
      </c>
      <c r="B110" s="2" t="n">
        <v>499</v>
      </c>
      <c r="C110" s="2" t="n">
        <v>1248</v>
      </c>
      <c r="D110" s="2" t="n">
        <v>1151</v>
      </c>
      <c r="E110" s="2" t="n">
        <v>425</v>
      </c>
      <c r="F110" s="2" t="n">
        <v>31</v>
      </c>
      <c r="G110" s="2" t="n">
        <v>1313</v>
      </c>
      <c r="H110" s="2" t="n">
        <v>2</v>
      </c>
      <c r="I110" s="3" t="n">
        <v>355.64</v>
      </c>
      <c r="J110" s="3" t="n">
        <v>1359.86</v>
      </c>
      <c r="K110" s="3" t="n">
        <v>2091.4</v>
      </c>
      <c r="L110" s="3" t="n">
        <v>1238.12</v>
      </c>
      <c r="M110" s="2" t="n">
        <v>4.2</v>
      </c>
      <c r="N110" s="2" t="s">
        <v>26</v>
      </c>
      <c r="O110" s="4" t="n">
        <f aca="false">VLOOKUP(F110,DIM_SERVICO!$A$2:$D$151,4,FALSE())</f>
        <v>1359.86</v>
      </c>
      <c r="P110" s="4" t="n">
        <f aca="false">VLOOKUP(E110,DIM_PECA!$A$2:$F$501,6,FALSE())</f>
        <v>387.11</v>
      </c>
      <c r="Q110" s="4" t="n">
        <f aca="false">VLOOKUP(E110,DIM_PECA!$A$2:$F$501,5,FALSE())</f>
        <v>177.82</v>
      </c>
      <c r="R110" s="4" t="n">
        <f aca="false">H110*P110</f>
        <v>774.22</v>
      </c>
      <c r="S110" s="4" t="n">
        <f aca="false">O110*M110</f>
        <v>5711.412</v>
      </c>
      <c r="T110" s="4" t="n">
        <f aca="false">R110+S110</f>
        <v>6485.632</v>
      </c>
      <c r="U110" s="4" t="n">
        <f aca="false">T110-K110</f>
        <v>4394.232</v>
      </c>
      <c r="V110" s="4" t="n">
        <f aca="false">R110+S110-U110</f>
        <v>2091.4</v>
      </c>
      <c r="W110" s="5" t="str">
        <f aca="false">IF(ROUND(V110-K110,2)=0,"OK","ERRO")</f>
        <v>OK</v>
      </c>
      <c r="X110" s="5" t="str">
        <f aca="false">VLOOKUP(F110,DIM_SERVICO!$A$2:$D$151,3,FALSE())</f>
        <v>Suspensão</v>
      </c>
    </row>
    <row r="111" customFormat="false" ht="15" hidden="false" customHeight="false" outlineLevel="0" collapsed="false">
      <c r="A111" s="6" t="n">
        <v>110</v>
      </c>
      <c r="B111" s="6" t="n">
        <v>1077</v>
      </c>
      <c r="C111" s="6" t="n">
        <v>1164</v>
      </c>
      <c r="D111" s="6" t="n">
        <v>503</v>
      </c>
      <c r="E111" s="6" t="n">
        <v>344</v>
      </c>
      <c r="F111" s="6" t="n">
        <v>43</v>
      </c>
      <c r="G111" s="6" t="n">
        <v>1360</v>
      </c>
      <c r="H111" s="6" t="n">
        <v>2</v>
      </c>
      <c r="I111" s="7" t="n">
        <v>95.16</v>
      </c>
      <c r="J111" s="7" t="n">
        <v>1163.17</v>
      </c>
      <c r="K111" s="7" t="n">
        <v>1202.34</v>
      </c>
      <c r="L111" s="7" t="n">
        <v>675.45</v>
      </c>
      <c r="M111" s="6" t="n">
        <v>5.2</v>
      </c>
      <c r="N111" s="6" t="s">
        <v>25</v>
      </c>
      <c r="O111" s="8" t="n">
        <f aca="false">VLOOKUP(F111,DIM_SERVICO!$A$2:$D$151,4,FALSE())</f>
        <v>1163.17</v>
      </c>
      <c r="P111" s="8" t="n">
        <f aca="false">VLOOKUP(E111,DIM_PECA!$A$2:$F$501,6,FALSE())</f>
        <v>71.86</v>
      </c>
      <c r="Q111" s="8" t="n">
        <f aca="false">VLOOKUP(E111,DIM_PECA!$A$2:$F$501,5,FALSE())</f>
        <v>47.58</v>
      </c>
      <c r="R111" s="8" t="n">
        <f aca="false">H111*P111</f>
        <v>143.72</v>
      </c>
      <c r="S111" s="8" t="n">
        <f aca="false">O111*M111</f>
        <v>6048.484</v>
      </c>
      <c r="T111" s="8" t="n">
        <f aca="false">R111+S111</f>
        <v>6192.204</v>
      </c>
      <c r="U111" s="8" t="n">
        <f aca="false">T111-K111</f>
        <v>4989.864</v>
      </c>
      <c r="V111" s="8" t="n">
        <f aca="false">R111+S111-U111</f>
        <v>1202.34</v>
      </c>
      <c r="W111" s="9" t="str">
        <f aca="false">IF(ROUND(V111-K111,2)=0,"OK","ERRO")</f>
        <v>OK</v>
      </c>
      <c r="X111" s="9" t="str">
        <f aca="false">VLOOKUP(F111,DIM_SERVICO!$A$2:$D$151,3,FALSE())</f>
        <v>Diagnóstico</v>
      </c>
    </row>
    <row r="112" customFormat="false" ht="15" hidden="false" customHeight="false" outlineLevel="0" collapsed="false">
      <c r="A112" s="2" t="n">
        <v>111</v>
      </c>
      <c r="B112" s="2" t="n">
        <v>332</v>
      </c>
      <c r="C112" s="2" t="n">
        <v>483</v>
      </c>
      <c r="D112" s="2" t="n">
        <v>851</v>
      </c>
      <c r="E112" s="2" t="n">
        <v>276</v>
      </c>
      <c r="F112" s="2" t="n">
        <v>22</v>
      </c>
      <c r="G112" s="2" t="n">
        <v>1631</v>
      </c>
      <c r="H112" s="2" t="n">
        <v>2</v>
      </c>
      <c r="I112" s="3" t="n">
        <v>1608.6</v>
      </c>
      <c r="J112" s="3" t="n">
        <v>1591.95</v>
      </c>
      <c r="K112" s="3" t="n">
        <v>4684.55</v>
      </c>
      <c r="L112" s="3" t="n">
        <v>2237.95</v>
      </c>
      <c r="M112" s="2" t="n">
        <v>7.5</v>
      </c>
      <c r="N112" s="2" t="s">
        <v>26</v>
      </c>
      <c r="O112" s="4" t="n">
        <f aca="false">VLOOKUP(F112,DIM_SERVICO!$A$2:$D$151,4,FALSE())</f>
        <v>1591.95</v>
      </c>
      <c r="P112" s="4" t="n">
        <f aca="false">VLOOKUP(E112,DIM_PECA!$A$2:$F$501,6,FALSE())</f>
        <v>1546.3</v>
      </c>
      <c r="Q112" s="4" t="n">
        <f aca="false">VLOOKUP(E112,DIM_PECA!$A$2:$F$501,5,FALSE())</f>
        <v>804.3</v>
      </c>
      <c r="R112" s="4" t="n">
        <f aca="false">H112*P112</f>
        <v>3092.6</v>
      </c>
      <c r="S112" s="4" t="n">
        <f aca="false">O112*M112</f>
        <v>11939.625</v>
      </c>
      <c r="T112" s="4" t="n">
        <f aca="false">R112+S112</f>
        <v>15032.225</v>
      </c>
      <c r="U112" s="4" t="n">
        <f aca="false">T112-K112</f>
        <v>10347.675</v>
      </c>
      <c r="V112" s="4" t="n">
        <f aca="false">R112+S112-U112</f>
        <v>4684.55</v>
      </c>
      <c r="W112" s="5" t="str">
        <f aca="false">IF(ROUND(V112-K112,2)=0,"OK","ERRO")</f>
        <v>OK</v>
      </c>
      <c r="X112" s="5" t="str">
        <f aca="false">VLOOKUP(F112,DIM_SERVICO!$A$2:$D$151,3,FALSE())</f>
        <v>Motor</v>
      </c>
    </row>
    <row r="113" customFormat="false" ht="15" hidden="false" customHeight="false" outlineLevel="0" collapsed="false">
      <c r="A113" s="6" t="n">
        <v>112</v>
      </c>
      <c r="B113" s="6" t="n">
        <v>1197</v>
      </c>
      <c r="C113" s="6" t="n">
        <v>747</v>
      </c>
      <c r="D113" s="6" t="n">
        <v>192</v>
      </c>
      <c r="E113" s="6" t="n">
        <v>263</v>
      </c>
      <c r="F113" s="6" t="n">
        <v>20</v>
      </c>
      <c r="G113" s="6" t="n">
        <v>1453</v>
      </c>
      <c r="H113" s="6" t="n">
        <v>2</v>
      </c>
      <c r="I113" s="7" t="n">
        <v>238.6</v>
      </c>
      <c r="J113" s="7" t="n">
        <v>295.88</v>
      </c>
      <c r="K113" s="7" t="n">
        <v>764.44</v>
      </c>
      <c r="L113" s="7" t="n">
        <v>374.52</v>
      </c>
      <c r="M113" s="6" t="n">
        <v>0.8</v>
      </c>
      <c r="N113" s="6" t="s">
        <v>26</v>
      </c>
      <c r="O113" s="8" t="n">
        <f aca="false">VLOOKUP(F113,DIM_SERVICO!$A$2:$D$151,4,FALSE())</f>
        <v>295.88</v>
      </c>
      <c r="P113" s="8" t="n">
        <f aca="false">VLOOKUP(E113,DIM_PECA!$A$2:$F$501,6,FALSE())</f>
        <v>242.08</v>
      </c>
      <c r="Q113" s="8" t="n">
        <f aca="false">VLOOKUP(E113,DIM_PECA!$A$2:$F$501,5,FALSE())</f>
        <v>119.3</v>
      </c>
      <c r="R113" s="8" t="n">
        <f aca="false">H113*P113</f>
        <v>484.16</v>
      </c>
      <c r="S113" s="8" t="n">
        <f aca="false">O113*M113</f>
        <v>236.704</v>
      </c>
      <c r="T113" s="8" t="n">
        <f aca="false">R113+S113</f>
        <v>720.864</v>
      </c>
      <c r="U113" s="8" t="n">
        <f aca="false">T113-K113</f>
        <v>-43.576</v>
      </c>
      <c r="V113" s="8" t="n">
        <f aca="false">R113+S113-U113</f>
        <v>764.44</v>
      </c>
      <c r="W113" s="9" t="str">
        <f aca="false">IF(ROUND(V113-K113,2)=0,"OK","ERRO")</f>
        <v>OK</v>
      </c>
      <c r="X113" s="9" t="str">
        <f aca="false">VLOOKUP(F113,DIM_SERVICO!$A$2:$D$151,3,FALSE())</f>
        <v>Elétrica</v>
      </c>
    </row>
    <row r="114" customFormat="false" ht="15" hidden="false" customHeight="false" outlineLevel="0" collapsed="false">
      <c r="A114" s="2" t="n">
        <v>113</v>
      </c>
      <c r="B114" s="2" t="n">
        <v>796</v>
      </c>
      <c r="C114" s="2" t="n">
        <v>565</v>
      </c>
      <c r="D114" s="2" t="n">
        <v>804</v>
      </c>
      <c r="E114" s="2" t="n">
        <v>305</v>
      </c>
      <c r="F114" s="2" t="n">
        <v>13</v>
      </c>
      <c r="G114" s="2" t="n">
        <v>623</v>
      </c>
      <c r="H114" s="2" t="n">
        <v>4</v>
      </c>
      <c r="I114" s="3" t="n">
        <v>4526.2</v>
      </c>
      <c r="J114" s="3" t="n">
        <v>1546.25</v>
      </c>
      <c r="K114" s="3" t="n">
        <v>10369.55</v>
      </c>
      <c r="L114" s="3" t="n">
        <v>5207.76</v>
      </c>
      <c r="M114" s="2" t="n">
        <v>3.5</v>
      </c>
      <c r="N114" s="2" t="s">
        <v>25</v>
      </c>
      <c r="O114" s="4" t="n">
        <f aca="false">VLOOKUP(F114,DIM_SERVICO!$A$2:$D$151,4,FALSE())</f>
        <v>1546.25</v>
      </c>
      <c r="P114" s="4" t="n">
        <f aca="false">VLOOKUP(E114,DIM_PECA!$A$2:$F$501,6,FALSE())</f>
        <v>2431.25</v>
      </c>
      <c r="Q114" s="4" t="n">
        <f aca="false">VLOOKUP(E114,DIM_PECA!$A$2:$F$501,5,FALSE())</f>
        <v>1131.55</v>
      </c>
      <c r="R114" s="4" t="n">
        <f aca="false">H114*P114</f>
        <v>9725</v>
      </c>
      <c r="S114" s="4" t="n">
        <f aca="false">O114*M114</f>
        <v>5411.875</v>
      </c>
      <c r="T114" s="4" t="n">
        <f aca="false">R114+S114</f>
        <v>15136.875</v>
      </c>
      <c r="U114" s="4" t="n">
        <f aca="false">T114-K114</f>
        <v>4767.325</v>
      </c>
      <c r="V114" s="4" t="n">
        <f aca="false">R114+S114-U114</f>
        <v>10369.55</v>
      </c>
      <c r="W114" s="5" t="str">
        <f aca="false">IF(ROUND(V114-K114,2)=0,"OK","ERRO")</f>
        <v>OK</v>
      </c>
      <c r="X114" s="5" t="str">
        <f aca="false">VLOOKUP(F114,DIM_SERVICO!$A$2:$D$151,3,FALSE())</f>
        <v>Diagnóstico</v>
      </c>
    </row>
    <row r="115" customFormat="false" ht="15" hidden="false" customHeight="false" outlineLevel="0" collapsed="false">
      <c r="A115" s="6" t="n">
        <v>114</v>
      </c>
      <c r="B115" s="6" t="n">
        <v>361</v>
      </c>
      <c r="C115" s="6" t="n">
        <v>711</v>
      </c>
      <c r="D115" s="6" t="n">
        <v>983</v>
      </c>
      <c r="E115" s="6" t="n">
        <v>34</v>
      </c>
      <c r="F115" s="6" t="n">
        <v>85</v>
      </c>
      <c r="G115" s="6" t="n">
        <v>202</v>
      </c>
      <c r="H115" s="6" t="n">
        <v>2</v>
      </c>
      <c r="I115" s="7" t="n">
        <v>2153.48</v>
      </c>
      <c r="J115" s="7" t="n">
        <v>328.76</v>
      </c>
      <c r="K115" s="7" t="n">
        <v>3094.36</v>
      </c>
      <c r="L115" s="7" t="n">
        <v>809.05</v>
      </c>
      <c r="M115" s="6" t="n">
        <v>6.2</v>
      </c>
      <c r="N115" s="6" t="s">
        <v>24</v>
      </c>
      <c r="O115" s="8" t="n">
        <f aca="false">VLOOKUP(F115,DIM_SERVICO!$A$2:$D$151,4,FALSE())</f>
        <v>328.76</v>
      </c>
      <c r="P115" s="8" t="n">
        <f aca="false">VLOOKUP(E115,DIM_PECA!$A$2:$F$501,6,FALSE())</f>
        <v>1464.23</v>
      </c>
      <c r="Q115" s="8" t="n">
        <f aca="false">VLOOKUP(E115,DIM_PECA!$A$2:$F$501,5,FALSE())</f>
        <v>1076.74</v>
      </c>
      <c r="R115" s="8" t="n">
        <f aca="false">H115*P115</f>
        <v>2928.46</v>
      </c>
      <c r="S115" s="8" t="n">
        <f aca="false">O115*M115</f>
        <v>2038.312</v>
      </c>
      <c r="T115" s="8" t="n">
        <f aca="false">R115+S115</f>
        <v>4966.772</v>
      </c>
      <c r="U115" s="8" t="n">
        <f aca="false">T115-K115</f>
        <v>1872.412</v>
      </c>
      <c r="V115" s="8" t="n">
        <f aca="false">R115+S115-U115</f>
        <v>3094.36</v>
      </c>
      <c r="W115" s="9" t="str">
        <f aca="false">IF(ROUND(V115-K115,2)=0,"OK","ERRO")</f>
        <v>OK</v>
      </c>
      <c r="X115" s="9" t="str">
        <f aca="false">VLOOKUP(F115,DIM_SERVICO!$A$2:$D$151,3,FALSE())</f>
        <v>Motor</v>
      </c>
    </row>
    <row r="116" customFormat="false" ht="15" hidden="false" customHeight="false" outlineLevel="0" collapsed="false">
      <c r="A116" s="2" t="n">
        <v>115</v>
      </c>
      <c r="B116" s="2" t="n">
        <v>1397</v>
      </c>
      <c r="C116" s="2" t="n">
        <v>1157</v>
      </c>
      <c r="D116" s="2" t="n">
        <v>168</v>
      </c>
      <c r="E116" s="2" t="n">
        <v>444</v>
      </c>
      <c r="F116" s="2" t="n">
        <v>19</v>
      </c>
      <c r="G116" s="2" t="n">
        <v>1275</v>
      </c>
      <c r="H116" s="2" t="n">
        <v>2</v>
      </c>
      <c r="I116" s="3" t="n">
        <v>2116.96</v>
      </c>
      <c r="J116" s="3" t="n">
        <v>1822.04</v>
      </c>
      <c r="K116" s="3" t="n">
        <v>4595.95</v>
      </c>
      <c r="L116" s="3" t="n">
        <v>1553.54</v>
      </c>
      <c r="M116" s="2" t="n">
        <v>7.4</v>
      </c>
      <c r="N116" s="2" t="s">
        <v>25</v>
      </c>
      <c r="O116" s="4" t="n">
        <f aca="false">VLOOKUP(F116,DIM_SERVICO!$A$2:$D$151,4,FALSE())</f>
        <v>1822.04</v>
      </c>
      <c r="P116" s="4" t="n">
        <f aca="false">VLOOKUP(E116,DIM_PECA!$A$2:$F$501,6,FALSE())</f>
        <v>1433.85</v>
      </c>
      <c r="Q116" s="4" t="n">
        <f aca="false">VLOOKUP(E116,DIM_PECA!$A$2:$F$501,5,FALSE())</f>
        <v>1058.48</v>
      </c>
      <c r="R116" s="4" t="n">
        <f aca="false">H116*P116</f>
        <v>2867.7</v>
      </c>
      <c r="S116" s="4" t="n">
        <f aca="false">O116*M116</f>
        <v>13483.096</v>
      </c>
      <c r="T116" s="4" t="n">
        <f aca="false">R116+S116</f>
        <v>16350.796</v>
      </c>
      <c r="U116" s="4" t="n">
        <f aca="false">T116-K116</f>
        <v>11754.846</v>
      </c>
      <c r="V116" s="4" t="n">
        <f aca="false">R116+S116-U116</f>
        <v>4595.95</v>
      </c>
      <c r="W116" s="5" t="str">
        <f aca="false">IF(ROUND(V116-K116,2)=0,"OK","ERRO")</f>
        <v>OK</v>
      </c>
      <c r="X116" s="5" t="str">
        <f aca="false">VLOOKUP(F116,DIM_SERVICO!$A$2:$D$151,3,FALSE())</f>
        <v>Pintura</v>
      </c>
    </row>
    <row r="117" customFormat="false" ht="15" hidden="false" customHeight="false" outlineLevel="0" collapsed="false">
      <c r="A117" s="6" t="n">
        <v>116</v>
      </c>
      <c r="B117" s="6" t="n">
        <v>1247</v>
      </c>
      <c r="C117" s="6" t="n">
        <v>44</v>
      </c>
      <c r="D117" s="6" t="n">
        <v>1112</v>
      </c>
      <c r="E117" s="6" t="n">
        <v>257</v>
      </c>
      <c r="F117" s="6" t="n">
        <v>110</v>
      </c>
      <c r="G117" s="6" t="n">
        <v>1389</v>
      </c>
      <c r="H117" s="6" t="n">
        <v>1</v>
      </c>
      <c r="I117" s="7" t="n">
        <v>379.14</v>
      </c>
      <c r="J117" s="7" t="n">
        <v>587.35</v>
      </c>
      <c r="K117" s="7" t="n">
        <v>1122.66</v>
      </c>
      <c r="L117" s="7" t="n">
        <v>488.29</v>
      </c>
      <c r="M117" s="6" t="n">
        <v>1.3</v>
      </c>
      <c r="N117" s="6" t="s">
        <v>25</v>
      </c>
      <c r="O117" s="8" t="n">
        <f aca="false">VLOOKUP(F117,DIM_SERVICO!$A$2:$D$151,4,FALSE())</f>
        <v>587.35</v>
      </c>
      <c r="P117" s="8" t="n">
        <f aca="false">VLOOKUP(E117,DIM_PECA!$A$2:$F$501,6,FALSE())</f>
        <v>632.93</v>
      </c>
      <c r="Q117" s="8" t="n">
        <f aca="false">VLOOKUP(E117,DIM_PECA!$A$2:$F$501,5,FALSE())</f>
        <v>379.14</v>
      </c>
      <c r="R117" s="8" t="n">
        <f aca="false">H117*P117</f>
        <v>632.93</v>
      </c>
      <c r="S117" s="8" t="n">
        <f aca="false">O117*M117</f>
        <v>763.555</v>
      </c>
      <c r="T117" s="8" t="n">
        <f aca="false">R117+S117</f>
        <v>1396.485</v>
      </c>
      <c r="U117" s="8" t="n">
        <f aca="false">T117-K117</f>
        <v>273.825</v>
      </c>
      <c r="V117" s="8" t="n">
        <f aca="false">R117+S117-U117</f>
        <v>1122.66</v>
      </c>
      <c r="W117" s="9" t="str">
        <f aca="false">IF(ROUND(V117-K117,2)=0,"OK","ERRO")</f>
        <v>OK</v>
      </c>
      <c r="X117" s="9" t="str">
        <f aca="false">VLOOKUP(F117,DIM_SERVICO!$A$2:$D$151,3,FALSE())</f>
        <v>Funilaria</v>
      </c>
    </row>
    <row r="118" customFormat="false" ht="15" hidden="false" customHeight="false" outlineLevel="0" collapsed="false">
      <c r="A118" s="2" t="n">
        <v>117</v>
      </c>
      <c r="B118" s="2" t="n">
        <v>65</v>
      </c>
      <c r="C118" s="2" t="n">
        <v>597</v>
      </c>
      <c r="D118" s="2" t="n">
        <v>553</v>
      </c>
      <c r="E118" s="2" t="n">
        <v>441</v>
      </c>
      <c r="F118" s="2" t="n">
        <v>21</v>
      </c>
      <c r="G118" s="2" t="n">
        <v>879</v>
      </c>
      <c r="H118" s="2" t="n">
        <v>4</v>
      </c>
      <c r="I118" s="3" t="n">
        <v>456</v>
      </c>
      <c r="J118" s="3" t="n">
        <v>126.78</v>
      </c>
      <c r="K118" s="3" t="n">
        <v>681.32</v>
      </c>
      <c r="L118" s="3" t="n">
        <v>162.63</v>
      </c>
      <c r="M118" s="2" t="n">
        <v>1.7</v>
      </c>
      <c r="N118" s="2" t="s">
        <v>24</v>
      </c>
      <c r="O118" s="4" t="n">
        <f aca="false">VLOOKUP(F118,DIM_SERVICO!$A$2:$D$151,4,FALSE())</f>
        <v>126.78</v>
      </c>
      <c r="P118" s="4" t="n">
        <f aca="false">VLOOKUP(E118,DIM_PECA!$A$2:$F$501,6,FALSE())</f>
        <v>157.56</v>
      </c>
      <c r="Q118" s="4" t="n">
        <f aca="false">VLOOKUP(E118,DIM_PECA!$A$2:$F$501,5,FALSE())</f>
        <v>114</v>
      </c>
      <c r="R118" s="4" t="n">
        <f aca="false">H118*P118</f>
        <v>630.24</v>
      </c>
      <c r="S118" s="4" t="n">
        <f aca="false">O118*M118</f>
        <v>215.526</v>
      </c>
      <c r="T118" s="4" t="n">
        <f aca="false">R118+S118</f>
        <v>845.766</v>
      </c>
      <c r="U118" s="4" t="n">
        <f aca="false">T118-K118</f>
        <v>164.446</v>
      </c>
      <c r="V118" s="4" t="n">
        <f aca="false">R118+S118-U118</f>
        <v>681.32</v>
      </c>
      <c r="W118" s="5" t="str">
        <f aca="false">IF(ROUND(V118-K118,2)=0,"OK","ERRO")</f>
        <v>OK</v>
      </c>
      <c r="X118" s="5" t="str">
        <f aca="false">VLOOKUP(F118,DIM_SERVICO!$A$2:$D$151,3,FALSE())</f>
        <v>Suspensão</v>
      </c>
    </row>
    <row r="119" customFormat="false" ht="15" hidden="false" customHeight="false" outlineLevel="0" collapsed="false">
      <c r="A119" s="6" t="n">
        <v>118</v>
      </c>
      <c r="B119" s="6" t="n">
        <v>45</v>
      </c>
      <c r="C119" s="6" t="n">
        <v>956</v>
      </c>
      <c r="D119" s="6" t="n">
        <v>277</v>
      </c>
      <c r="E119" s="6" t="n">
        <v>428</v>
      </c>
      <c r="F119" s="6" t="n">
        <v>72</v>
      </c>
      <c r="G119" s="6" t="n">
        <v>335</v>
      </c>
      <c r="H119" s="6" t="n">
        <v>1</v>
      </c>
      <c r="I119" s="7" t="n">
        <v>66.7</v>
      </c>
      <c r="J119" s="7" t="n">
        <v>710.66</v>
      </c>
      <c r="K119" s="7" t="n">
        <v>802.93</v>
      </c>
      <c r="L119" s="7" t="n">
        <v>361.2</v>
      </c>
      <c r="M119" s="6" t="n">
        <v>1.1</v>
      </c>
      <c r="N119" s="6" t="s">
        <v>24</v>
      </c>
      <c r="O119" s="8" t="n">
        <f aca="false">VLOOKUP(F119,DIM_SERVICO!$A$2:$D$151,4,FALSE())</f>
        <v>710.66</v>
      </c>
      <c r="P119" s="8" t="n">
        <f aca="false">VLOOKUP(E119,DIM_PECA!$A$2:$F$501,6,FALSE())</f>
        <v>108.66</v>
      </c>
      <c r="Q119" s="8" t="n">
        <f aca="false">VLOOKUP(E119,DIM_PECA!$A$2:$F$501,5,FALSE())</f>
        <v>66.7</v>
      </c>
      <c r="R119" s="8" t="n">
        <f aca="false">H119*P119</f>
        <v>108.66</v>
      </c>
      <c r="S119" s="8" t="n">
        <f aca="false">O119*M119</f>
        <v>781.726</v>
      </c>
      <c r="T119" s="8" t="n">
        <f aca="false">R119+S119</f>
        <v>890.386</v>
      </c>
      <c r="U119" s="8" t="n">
        <f aca="false">T119-K119</f>
        <v>87.456</v>
      </c>
      <c r="V119" s="8" t="n">
        <f aca="false">R119+S119-U119</f>
        <v>802.93</v>
      </c>
      <c r="W119" s="9" t="str">
        <f aca="false">IF(ROUND(V119-K119,2)=0,"OK","ERRO")</f>
        <v>OK</v>
      </c>
      <c r="X119" s="9" t="str">
        <f aca="false">VLOOKUP(F119,DIM_SERVICO!$A$2:$D$151,3,FALSE())</f>
        <v>Motor</v>
      </c>
    </row>
    <row r="120" customFormat="false" ht="15" hidden="false" customHeight="false" outlineLevel="0" collapsed="false">
      <c r="A120" s="2" t="n">
        <v>119</v>
      </c>
      <c r="B120" s="2" t="n">
        <v>152</v>
      </c>
      <c r="C120" s="2" t="n">
        <v>62</v>
      </c>
      <c r="D120" s="2" t="n">
        <v>622</v>
      </c>
      <c r="E120" s="2" t="n">
        <v>380</v>
      </c>
      <c r="F120" s="2" t="n">
        <v>133</v>
      </c>
      <c r="G120" s="2" t="n">
        <v>1524</v>
      </c>
      <c r="H120" s="2" t="n">
        <v>3</v>
      </c>
      <c r="I120" s="3" t="n">
        <v>151.53</v>
      </c>
      <c r="J120" s="3" t="n">
        <v>1635.43</v>
      </c>
      <c r="K120" s="3" t="n">
        <v>1819.25</v>
      </c>
      <c r="L120" s="3" t="n">
        <v>1045.09</v>
      </c>
      <c r="M120" s="2" t="n">
        <v>0.6</v>
      </c>
      <c r="N120" s="2" t="s">
        <v>27</v>
      </c>
      <c r="O120" s="4" t="n">
        <f aca="false">VLOOKUP(F120,DIM_SERVICO!$A$2:$D$151,4,FALSE())</f>
        <v>1635.43</v>
      </c>
      <c r="P120" s="4" t="n">
        <f aca="false">VLOOKUP(E120,DIM_PECA!$A$2:$F$501,6,FALSE())</f>
        <v>93.19</v>
      </c>
      <c r="Q120" s="4" t="n">
        <f aca="false">VLOOKUP(E120,DIM_PECA!$A$2:$F$501,5,FALSE())</f>
        <v>50.51</v>
      </c>
      <c r="R120" s="4" t="n">
        <f aca="false">H120*P120</f>
        <v>279.57</v>
      </c>
      <c r="S120" s="4" t="n">
        <f aca="false">O120*M120</f>
        <v>981.258</v>
      </c>
      <c r="T120" s="4" t="n">
        <f aca="false">R120+S120</f>
        <v>1260.828</v>
      </c>
      <c r="U120" s="4" t="n">
        <f aca="false">T120-K120</f>
        <v>-558.422</v>
      </c>
      <c r="V120" s="4" t="n">
        <f aca="false">R120+S120-U120</f>
        <v>1819.25</v>
      </c>
      <c r="W120" s="5" t="str">
        <f aca="false">IF(ROUND(V120-K120,2)=0,"OK","ERRO")</f>
        <v>OK</v>
      </c>
      <c r="X120" s="5" t="str">
        <f aca="false">VLOOKUP(F120,DIM_SERVICO!$A$2:$D$151,3,FALSE())</f>
        <v>Suspensão</v>
      </c>
    </row>
    <row r="121" customFormat="false" ht="15" hidden="false" customHeight="false" outlineLevel="0" collapsed="false">
      <c r="A121" s="6" t="n">
        <v>120</v>
      </c>
      <c r="B121" s="6" t="n">
        <v>466</v>
      </c>
      <c r="C121" s="6" t="n">
        <v>1277</v>
      </c>
      <c r="D121" s="6" t="n">
        <v>1160</v>
      </c>
      <c r="E121" s="6" t="n">
        <v>246</v>
      </c>
      <c r="F121" s="6" t="n">
        <v>125</v>
      </c>
      <c r="G121" s="6" t="n">
        <v>1458</v>
      </c>
      <c r="H121" s="6" t="n">
        <v>3</v>
      </c>
      <c r="I121" s="7" t="n">
        <v>2466.9</v>
      </c>
      <c r="J121" s="7" t="n">
        <v>988.93</v>
      </c>
      <c r="K121" s="7" t="n">
        <v>4693</v>
      </c>
      <c r="L121" s="7" t="n">
        <v>1784.21</v>
      </c>
      <c r="M121" s="6" t="n">
        <v>12</v>
      </c>
      <c r="N121" s="6" t="s">
        <v>24</v>
      </c>
      <c r="O121" s="8" t="n">
        <f aca="false">VLOOKUP(F121,DIM_SERVICO!$A$2:$D$151,4,FALSE())</f>
        <v>988.93</v>
      </c>
      <c r="P121" s="8" t="n">
        <f aca="false">VLOOKUP(E121,DIM_PECA!$A$2:$F$501,6,FALSE())</f>
        <v>1370.72</v>
      </c>
      <c r="Q121" s="8" t="n">
        <f aca="false">VLOOKUP(E121,DIM_PECA!$A$2:$F$501,5,FALSE())</f>
        <v>822.3</v>
      </c>
      <c r="R121" s="8" t="n">
        <f aca="false">H121*P121</f>
        <v>4112.16</v>
      </c>
      <c r="S121" s="8" t="n">
        <f aca="false">O121*M121</f>
        <v>11867.16</v>
      </c>
      <c r="T121" s="8" t="n">
        <f aca="false">R121+S121</f>
        <v>15979.32</v>
      </c>
      <c r="U121" s="8" t="n">
        <f aca="false">T121-K121</f>
        <v>11286.32</v>
      </c>
      <c r="V121" s="8" t="n">
        <f aca="false">R121+S121-U121</f>
        <v>4693</v>
      </c>
      <c r="W121" s="9" t="str">
        <f aca="false">IF(ROUND(V121-K121,2)=0,"OK","ERRO")</f>
        <v>OK</v>
      </c>
      <c r="X121" s="9" t="str">
        <f aca="false">VLOOKUP(F121,DIM_SERVICO!$A$2:$D$151,3,FALSE())</f>
        <v>Suspensão</v>
      </c>
    </row>
    <row r="122" customFormat="false" ht="15" hidden="false" customHeight="false" outlineLevel="0" collapsed="false">
      <c r="A122" s="2" t="n">
        <v>121</v>
      </c>
      <c r="B122" s="2" t="n">
        <v>823</v>
      </c>
      <c r="C122" s="2" t="n">
        <v>69</v>
      </c>
      <c r="D122" s="2" t="n">
        <v>421</v>
      </c>
      <c r="E122" s="2" t="n">
        <v>31</v>
      </c>
      <c r="F122" s="2" t="n">
        <v>51</v>
      </c>
      <c r="G122" s="2" t="n">
        <v>172</v>
      </c>
      <c r="H122" s="2" t="n">
        <v>3</v>
      </c>
      <c r="I122" s="3" t="n">
        <v>1169.94</v>
      </c>
      <c r="J122" s="3" t="n">
        <v>876</v>
      </c>
      <c r="K122" s="3" t="n">
        <v>3371.55</v>
      </c>
      <c r="L122" s="3" t="n">
        <v>1764.24</v>
      </c>
      <c r="M122" s="2" t="n">
        <v>10.4</v>
      </c>
      <c r="N122" s="2" t="s">
        <v>25</v>
      </c>
      <c r="O122" s="4" t="n">
        <f aca="false">VLOOKUP(F122,DIM_SERVICO!$A$2:$D$151,4,FALSE())</f>
        <v>876</v>
      </c>
      <c r="P122" s="4" t="n">
        <f aca="false">VLOOKUP(E122,DIM_PECA!$A$2:$F$501,6,FALSE())</f>
        <v>831.85</v>
      </c>
      <c r="Q122" s="4" t="n">
        <f aca="false">VLOOKUP(E122,DIM_PECA!$A$2:$F$501,5,FALSE())</f>
        <v>389.98</v>
      </c>
      <c r="R122" s="4" t="n">
        <f aca="false">H122*P122</f>
        <v>2495.55</v>
      </c>
      <c r="S122" s="4" t="n">
        <f aca="false">O122*M122</f>
        <v>9110.4</v>
      </c>
      <c r="T122" s="4" t="n">
        <f aca="false">R122+S122</f>
        <v>11605.95</v>
      </c>
      <c r="U122" s="4" t="n">
        <f aca="false">T122-K122</f>
        <v>8234.4</v>
      </c>
      <c r="V122" s="4" t="n">
        <f aca="false">R122+S122-U122</f>
        <v>3371.55</v>
      </c>
      <c r="W122" s="5" t="str">
        <f aca="false">IF(ROUND(V122-K122,2)=0,"OK","ERRO")</f>
        <v>OK</v>
      </c>
      <c r="X122" s="5" t="str">
        <f aca="false">VLOOKUP(F122,DIM_SERVICO!$A$2:$D$151,3,FALSE())</f>
        <v>Revisão</v>
      </c>
    </row>
    <row r="123" customFormat="false" ht="15" hidden="false" customHeight="false" outlineLevel="0" collapsed="false">
      <c r="A123" s="6" t="n">
        <v>122</v>
      </c>
      <c r="B123" s="6" t="n">
        <v>167</v>
      </c>
      <c r="C123" s="6" t="n">
        <v>190</v>
      </c>
      <c r="D123" s="6" t="n">
        <v>816</v>
      </c>
      <c r="E123" s="6" t="n">
        <v>178</v>
      </c>
      <c r="F123" s="6" t="n">
        <v>143</v>
      </c>
      <c r="G123" s="6" t="n">
        <v>1247</v>
      </c>
      <c r="H123" s="6" t="n">
        <v>4</v>
      </c>
      <c r="I123" s="7" t="n">
        <v>350.08</v>
      </c>
      <c r="J123" s="7" t="n">
        <v>1722.21</v>
      </c>
      <c r="K123" s="7" t="n">
        <v>2269.29</v>
      </c>
      <c r="L123" s="7" t="n">
        <v>1050.12</v>
      </c>
      <c r="M123" s="6" t="n">
        <v>4.1</v>
      </c>
      <c r="N123" s="6" t="s">
        <v>27</v>
      </c>
      <c r="O123" s="8" t="n">
        <f aca="false">VLOOKUP(F123,DIM_SERVICO!$A$2:$D$151,4,FALSE())</f>
        <v>1722.21</v>
      </c>
      <c r="P123" s="8" t="n">
        <f aca="false">VLOOKUP(E123,DIM_PECA!$A$2:$F$501,6,FALSE())</f>
        <v>136.77</v>
      </c>
      <c r="Q123" s="8" t="n">
        <f aca="false">VLOOKUP(E123,DIM_PECA!$A$2:$F$501,5,FALSE())</f>
        <v>87.52</v>
      </c>
      <c r="R123" s="8" t="n">
        <f aca="false">H123*P123</f>
        <v>547.08</v>
      </c>
      <c r="S123" s="8" t="n">
        <f aca="false">O123*M123</f>
        <v>7061.061</v>
      </c>
      <c r="T123" s="8" t="n">
        <f aca="false">R123+S123</f>
        <v>7608.141</v>
      </c>
      <c r="U123" s="8" t="n">
        <f aca="false">T123-K123</f>
        <v>5338.851</v>
      </c>
      <c r="V123" s="8" t="n">
        <f aca="false">R123+S123-U123</f>
        <v>2269.29</v>
      </c>
      <c r="W123" s="9" t="str">
        <f aca="false">IF(ROUND(V123-K123,2)=0,"OK","ERRO")</f>
        <v>OK</v>
      </c>
      <c r="X123" s="9" t="str">
        <f aca="false">VLOOKUP(F123,DIM_SERVICO!$A$2:$D$151,3,FALSE())</f>
        <v>Suspensão</v>
      </c>
    </row>
    <row r="124" customFormat="false" ht="15" hidden="false" customHeight="false" outlineLevel="0" collapsed="false">
      <c r="A124" s="2" t="n">
        <v>123</v>
      </c>
      <c r="B124" s="2" t="n">
        <v>1246</v>
      </c>
      <c r="C124" s="2" t="n">
        <v>623</v>
      </c>
      <c r="D124" s="2" t="n">
        <v>1133</v>
      </c>
      <c r="E124" s="2" t="n">
        <v>477</v>
      </c>
      <c r="F124" s="2" t="n">
        <v>120</v>
      </c>
      <c r="G124" s="2" t="n">
        <v>859</v>
      </c>
      <c r="H124" s="2" t="n">
        <v>3</v>
      </c>
      <c r="I124" s="3" t="n">
        <v>571.74</v>
      </c>
      <c r="J124" s="3" t="n">
        <v>1729.81</v>
      </c>
      <c r="K124" s="3" t="n">
        <v>2447.38</v>
      </c>
      <c r="L124" s="3" t="n">
        <v>938.19</v>
      </c>
      <c r="M124" s="2" t="n">
        <v>3.6</v>
      </c>
      <c r="N124" s="2" t="s">
        <v>25</v>
      </c>
      <c r="O124" s="4" t="n">
        <f aca="false">VLOOKUP(F124,DIM_SERVICO!$A$2:$D$151,4,FALSE())</f>
        <v>1729.81</v>
      </c>
      <c r="P124" s="4" t="n">
        <f aca="false">VLOOKUP(E124,DIM_PECA!$A$2:$F$501,6,FALSE())</f>
        <v>310.13</v>
      </c>
      <c r="Q124" s="4" t="n">
        <f aca="false">VLOOKUP(E124,DIM_PECA!$A$2:$F$501,5,FALSE())</f>
        <v>190.58</v>
      </c>
      <c r="R124" s="4" t="n">
        <f aca="false">H124*P124</f>
        <v>930.39</v>
      </c>
      <c r="S124" s="4" t="n">
        <f aca="false">O124*M124</f>
        <v>6227.316</v>
      </c>
      <c r="T124" s="4" t="n">
        <f aca="false">R124+S124</f>
        <v>7157.706</v>
      </c>
      <c r="U124" s="4" t="n">
        <f aca="false">T124-K124</f>
        <v>4710.326</v>
      </c>
      <c r="V124" s="4" t="n">
        <f aca="false">R124+S124-U124</f>
        <v>2447.38</v>
      </c>
      <c r="W124" s="5" t="str">
        <f aca="false">IF(ROUND(V124-K124,2)=0,"OK","ERRO")</f>
        <v>OK</v>
      </c>
      <c r="X124" s="5" t="str">
        <f aca="false">VLOOKUP(F124,DIM_SERVICO!$A$2:$D$151,3,FALSE())</f>
        <v>Suspensão</v>
      </c>
    </row>
    <row r="125" customFormat="false" ht="15" hidden="false" customHeight="false" outlineLevel="0" collapsed="false">
      <c r="A125" s="6" t="n">
        <v>124</v>
      </c>
      <c r="B125" s="6" t="n">
        <v>795</v>
      </c>
      <c r="C125" s="6" t="n">
        <v>710</v>
      </c>
      <c r="D125" s="6" t="n">
        <v>908</v>
      </c>
      <c r="E125" s="6" t="n">
        <v>478</v>
      </c>
      <c r="F125" s="6" t="n">
        <v>55</v>
      </c>
      <c r="G125" s="6" t="n">
        <v>371</v>
      </c>
      <c r="H125" s="6" t="n">
        <v>3</v>
      </c>
      <c r="I125" s="7" t="n">
        <v>208.53</v>
      </c>
      <c r="J125" s="7" t="n">
        <v>176.18</v>
      </c>
      <c r="K125" s="7" t="n">
        <v>555.11</v>
      </c>
      <c r="L125" s="7" t="n">
        <v>263.81</v>
      </c>
      <c r="M125" s="6" t="n">
        <v>1.5</v>
      </c>
      <c r="N125" s="6" t="s">
        <v>24</v>
      </c>
      <c r="O125" s="8" t="n">
        <f aca="false">VLOOKUP(F125,DIM_SERVICO!$A$2:$D$151,4,FALSE())</f>
        <v>176.18</v>
      </c>
      <c r="P125" s="8" t="n">
        <f aca="false">VLOOKUP(E125,DIM_PECA!$A$2:$F$501,6,FALSE())</f>
        <v>126.31</v>
      </c>
      <c r="Q125" s="8" t="n">
        <f aca="false">VLOOKUP(E125,DIM_PECA!$A$2:$F$501,5,FALSE())</f>
        <v>69.51</v>
      </c>
      <c r="R125" s="8" t="n">
        <f aca="false">H125*P125</f>
        <v>378.93</v>
      </c>
      <c r="S125" s="8" t="n">
        <f aca="false">O125*M125</f>
        <v>264.27</v>
      </c>
      <c r="T125" s="8" t="n">
        <f aca="false">R125+S125</f>
        <v>643.2</v>
      </c>
      <c r="U125" s="8" t="n">
        <f aca="false">T125-K125</f>
        <v>88.09</v>
      </c>
      <c r="V125" s="8" t="n">
        <f aca="false">R125+S125-U125</f>
        <v>555.11</v>
      </c>
      <c r="W125" s="9" t="str">
        <f aca="false">IF(ROUND(V125-K125,2)=0,"OK","ERRO")</f>
        <v>OK</v>
      </c>
      <c r="X125" s="9" t="str">
        <f aca="false">VLOOKUP(F125,DIM_SERVICO!$A$2:$D$151,3,FALSE())</f>
        <v>Motor</v>
      </c>
    </row>
    <row r="126" customFormat="false" ht="15" hidden="false" customHeight="false" outlineLevel="0" collapsed="false">
      <c r="A126" s="2" t="n">
        <v>125</v>
      </c>
      <c r="B126" s="2" t="n">
        <v>50</v>
      </c>
      <c r="C126" s="2" t="n">
        <v>280</v>
      </c>
      <c r="D126" s="2" t="n">
        <v>739</v>
      </c>
      <c r="E126" s="2" t="n">
        <v>119</v>
      </c>
      <c r="F126" s="2" t="n">
        <v>55</v>
      </c>
      <c r="G126" s="2" t="n">
        <v>538</v>
      </c>
      <c r="H126" s="2" t="n">
        <v>2</v>
      </c>
      <c r="I126" s="3" t="n">
        <v>2272.8</v>
      </c>
      <c r="J126" s="3" t="n">
        <v>176.18</v>
      </c>
      <c r="K126" s="3" t="n">
        <v>4676</v>
      </c>
      <c r="L126" s="3" t="n">
        <v>2325.93</v>
      </c>
      <c r="M126" s="2" t="n">
        <v>6.1</v>
      </c>
      <c r="N126" s="2" t="s">
        <v>26</v>
      </c>
      <c r="O126" s="4" t="n">
        <f aca="false">VLOOKUP(F126,DIM_SERVICO!$A$2:$D$151,4,FALSE())</f>
        <v>176.18</v>
      </c>
      <c r="P126" s="4" t="n">
        <f aca="false">VLOOKUP(E126,DIM_PECA!$A$2:$F$501,6,FALSE())</f>
        <v>2249.91</v>
      </c>
      <c r="Q126" s="4" t="n">
        <f aca="false">VLOOKUP(E126,DIM_PECA!$A$2:$F$501,5,FALSE())</f>
        <v>1136.4</v>
      </c>
      <c r="R126" s="4" t="n">
        <f aca="false">H126*P126</f>
        <v>4499.82</v>
      </c>
      <c r="S126" s="4" t="n">
        <f aca="false">O126*M126</f>
        <v>1074.698</v>
      </c>
      <c r="T126" s="4" t="n">
        <f aca="false">R126+S126</f>
        <v>5574.518</v>
      </c>
      <c r="U126" s="4" t="n">
        <f aca="false">T126-K126</f>
        <v>898.518</v>
      </c>
      <c r="V126" s="4" t="n">
        <f aca="false">R126+S126-U126</f>
        <v>4676</v>
      </c>
      <c r="W126" s="5" t="str">
        <f aca="false">IF(ROUND(V126-K126,2)=0,"OK","ERRO")</f>
        <v>OK</v>
      </c>
      <c r="X126" s="5" t="str">
        <f aca="false">VLOOKUP(F126,DIM_SERVICO!$A$2:$D$151,3,FALSE())</f>
        <v>Motor</v>
      </c>
    </row>
    <row r="127" customFormat="false" ht="15" hidden="false" customHeight="false" outlineLevel="0" collapsed="false">
      <c r="A127" s="6" t="n">
        <v>126</v>
      </c>
      <c r="B127" s="6" t="n">
        <v>155</v>
      </c>
      <c r="C127" s="6" t="n">
        <v>970</v>
      </c>
      <c r="D127" s="6" t="n">
        <v>101</v>
      </c>
      <c r="E127" s="6" t="n">
        <v>273</v>
      </c>
      <c r="F127" s="6" t="n">
        <v>84</v>
      </c>
      <c r="G127" s="6" t="n">
        <v>1183</v>
      </c>
      <c r="H127" s="6" t="n">
        <v>3</v>
      </c>
      <c r="I127" s="7" t="n">
        <v>2335.71</v>
      </c>
      <c r="J127" s="7" t="n">
        <v>1250.08</v>
      </c>
      <c r="K127" s="7" t="n">
        <v>4479.71</v>
      </c>
      <c r="L127" s="7" t="n">
        <v>1536.71</v>
      </c>
      <c r="M127" s="6" t="n">
        <v>6.3</v>
      </c>
      <c r="N127" s="6" t="s">
        <v>24</v>
      </c>
      <c r="O127" s="8" t="n">
        <f aca="false">VLOOKUP(F127,DIM_SERVICO!$A$2:$D$151,4,FALSE())</f>
        <v>1250.08</v>
      </c>
      <c r="P127" s="8" t="n">
        <f aca="false">VLOOKUP(E127,DIM_PECA!$A$2:$F$501,6,FALSE())</f>
        <v>1242.46</v>
      </c>
      <c r="Q127" s="8" t="n">
        <f aca="false">VLOOKUP(E127,DIM_PECA!$A$2:$F$501,5,FALSE())</f>
        <v>778.57</v>
      </c>
      <c r="R127" s="8" t="n">
        <f aca="false">H127*P127</f>
        <v>3727.38</v>
      </c>
      <c r="S127" s="8" t="n">
        <f aca="false">O127*M127</f>
        <v>7875.504</v>
      </c>
      <c r="T127" s="8" t="n">
        <f aca="false">R127+S127</f>
        <v>11602.884</v>
      </c>
      <c r="U127" s="8" t="n">
        <f aca="false">T127-K127</f>
        <v>7123.174</v>
      </c>
      <c r="V127" s="8" t="n">
        <f aca="false">R127+S127-U127</f>
        <v>4479.71</v>
      </c>
      <c r="W127" s="9" t="str">
        <f aca="false">IF(ROUND(V127-K127,2)=0,"OK","ERRO")</f>
        <v>OK</v>
      </c>
      <c r="X127" s="9" t="str">
        <f aca="false">VLOOKUP(F127,DIM_SERVICO!$A$2:$D$151,3,FALSE())</f>
        <v>Freios</v>
      </c>
    </row>
    <row r="128" customFormat="false" ht="15" hidden="false" customHeight="false" outlineLevel="0" collapsed="false">
      <c r="A128" s="2" t="n">
        <v>127</v>
      </c>
      <c r="B128" s="2" t="n">
        <v>930</v>
      </c>
      <c r="C128" s="2" t="n">
        <v>481</v>
      </c>
      <c r="D128" s="2" t="n">
        <v>1103</v>
      </c>
      <c r="E128" s="2" t="n">
        <v>338</v>
      </c>
      <c r="F128" s="2" t="n">
        <v>93</v>
      </c>
      <c r="G128" s="2" t="n">
        <v>1519</v>
      </c>
      <c r="H128" s="2" t="n">
        <v>3</v>
      </c>
      <c r="I128" s="3" t="n">
        <v>2216.4</v>
      </c>
      <c r="J128" s="3" t="n">
        <v>2049.66</v>
      </c>
      <c r="K128" s="3" t="n">
        <v>5263.77</v>
      </c>
      <c r="L128" s="3" t="n">
        <v>2248.61</v>
      </c>
      <c r="M128" s="2" t="n">
        <v>3.4</v>
      </c>
      <c r="N128" s="2" t="s">
        <v>24</v>
      </c>
      <c r="O128" s="4" t="n">
        <f aca="false">VLOOKUP(F128,DIM_SERVICO!$A$2:$D$151,4,FALSE())</f>
        <v>2049.66</v>
      </c>
      <c r="P128" s="4" t="n">
        <f aca="false">VLOOKUP(E128,DIM_PECA!$A$2:$F$501,6,FALSE())</f>
        <v>1071.37</v>
      </c>
      <c r="Q128" s="4" t="n">
        <f aca="false">VLOOKUP(E128,DIM_PECA!$A$2:$F$501,5,FALSE())</f>
        <v>738.8</v>
      </c>
      <c r="R128" s="4" t="n">
        <f aca="false">H128*P128</f>
        <v>3214.11</v>
      </c>
      <c r="S128" s="4" t="n">
        <f aca="false">O128*M128</f>
        <v>6968.844</v>
      </c>
      <c r="T128" s="4" t="n">
        <f aca="false">R128+S128</f>
        <v>10182.954</v>
      </c>
      <c r="U128" s="4" t="n">
        <f aca="false">T128-K128</f>
        <v>4919.184</v>
      </c>
      <c r="V128" s="4" t="n">
        <f aca="false">R128+S128-U128</f>
        <v>5263.77</v>
      </c>
      <c r="W128" s="5" t="str">
        <f aca="false">IF(ROUND(V128-K128,2)=0,"OK","ERRO")</f>
        <v>OK</v>
      </c>
      <c r="X128" s="5" t="str">
        <f aca="false">VLOOKUP(F128,DIM_SERVICO!$A$2:$D$151,3,FALSE())</f>
        <v>Revisão</v>
      </c>
    </row>
    <row r="129" customFormat="false" ht="15" hidden="false" customHeight="false" outlineLevel="0" collapsed="false">
      <c r="A129" s="6" t="n">
        <v>128</v>
      </c>
      <c r="B129" s="6" t="n">
        <v>1469</v>
      </c>
      <c r="C129" s="6" t="n">
        <v>373</v>
      </c>
      <c r="D129" s="6" t="n">
        <v>160</v>
      </c>
      <c r="E129" s="6" t="n">
        <v>124</v>
      </c>
      <c r="F129" s="6" t="n">
        <v>134</v>
      </c>
      <c r="G129" s="6" t="n">
        <v>1298</v>
      </c>
      <c r="H129" s="6" t="n">
        <v>1</v>
      </c>
      <c r="I129" s="7" t="n">
        <v>891.51</v>
      </c>
      <c r="J129" s="7" t="n">
        <v>1364.67</v>
      </c>
      <c r="K129" s="7" t="n">
        <v>2956.8</v>
      </c>
      <c r="L129" s="7" t="n">
        <v>1554.71</v>
      </c>
      <c r="M129" s="6" t="n">
        <v>10.4</v>
      </c>
      <c r="N129" s="6" t="s">
        <v>27</v>
      </c>
      <c r="O129" s="8" t="n">
        <f aca="false">VLOOKUP(F129,DIM_SERVICO!$A$2:$D$151,4,FALSE())</f>
        <v>1364.67</v>
      </c>
      <c r="P129" s="8" t="n">
        <f aca="false">VLOOKUP(E129,DIM_PECA!$A$2:$F$501,6,FALSE())</f>
        <v>1592.13</v>
      </c>
      <c r="Q129" s="8" t="n">
        <f aca="false">VLOOKUP(E129,DIM_PECA!$A$2:$F$501,5,FALSE())</f>
        <v>891.51</v>
      </c>
      <c r="R129" s="8" t="n">
        <f aca="false">H129*P129</f>
        <v>1592.13</v>
      </c>
      <c r="S129" s="8" t="n">
        <f aca="false">O129*M129</f>
        <v>14192.568</v>
      </c>
      <c r="T129" s="8" t="n">
        <f aca="false">R129+S129</f>
        <v>15784.698</v>
      </c>
      <c r="U129" s="8" t="n">
        <f aca="false">T129-K129</f>
        <v>12827.898</v>
      </c>
      <c r="V129" s="8" t="n">
        <f aca="false">R129+S129-U129</f>
        <v>2956.8</v>
      </c>
      <c r="W129" s="9" t="str">
        <f aca="false">IF(ROUND(V129-K129,2)=0,"OK","ERRO")</f>
        <v>OK</v>
      </c>
      <c r="X129" s="9" t="str">
        <f aca="false">VLOOKUP(F129,DIM_SERVICO!$A$2:$D$151,3,FALSE())</f>
        <v>Elétrica</v>
      </c>
    </row>
    <row r="130" customFormat="false" ht="15" hidden="false" customHeight="false" outlineLevel="0" collapsed="false">
      <c r="A130" s="2" t="n">
        <v>129</v>
      </c>
      <c r="B130" s="2" t="n">
        <v>722</v>
      </c>
      <c r="C130" s="2" t="n">
        <v>978</v>
      </c>
      <c r="D130" s="2" t="n">
        <v>744</v>
      </c>
      <c r="E130" s="2" t="n">
        <v>309</v>
      </c>
      <c r="F130" s="2" t="n">
        <v>71</v>
      </c>
      <c r="G130" s="2" t="n">
        <v>1595</v>
      </c>
      <c r="H130" s="2" t="n">
        <v>1</v>
      </c>
      <c r="I130" s="3" t="n">
        <v>26.69</v>
      </c>
      <c r="J130" s="3" t="n">
        <v>482.15</v>
      </c>
      <c r="K130" s="3" t="n">
        <v>486.1</v>
      </c>
      <c r="L130" s="3" t="n">
        <v>197.54</v>
      </c>
      <c r="M130" s="2" t="n">
        <v>11.7</v>
      </c>
      <c r="N130" s="2" t="s">
        <v>26</v>
      </c>
      <c r="O130" s="4" t="n">
        <f aca="false">VLOOKUP(F130,DIM_SERVICO!$A$2:$D$151,4,FALSE())</f>
        <v>482.15</v>
      </c>
      <c r="P130" s="4" t="n">
        <f aca="false">VLOOKUP(E130,DIM_PECA!$A$2:$F$501,6,FALSE())</f>
        <v>46.22</v>
      </c>
      <c r="Q130" s="4" t="n">
        <f aca="false">VLOOKUP(E130,DIM_PECA!$A$2:$F$501,5,FALSE())</f>
        <v>26.69</v>
      </c>
      <c r="R130" s="4" t="n">
        <f aca="false">H130*P130</f>
        <v>46.22</v>
      </c>
      <c r="S130" s="4" t="n">
        <f aca="false">O130*M130</f>
        <v>5641.155</v>
      </c>
      <c r="T130" s="4" t="n">
        <f aca="false">R130+S130</f>
        <v>5687.375</v>
      </c>
      <c r="U130" s="4" t="n">
        <f aca="false">T130-K130</f>
        <v>5201.275</v>
      </c>
      <c r="V130" s="4" t="n">
        <f aca="false">R130+S130-U130</f>
        <v>486.1</v>
      </c>
      <c r="W130" s="5" t="str">
        <f aca="false">IF(ROUND(V130-K130,2)=0,"OK","ERRO")</f>
        <v>OK</v>
      </c>
      <c r="X130" s="5" t="str">
        <f aca="false">VLOOKUP(F130,DIM_SERVICO!$A$2:$D$151,3,FALSE())</f>
        <v>Elétrica</v>
      </c>
    </row>
    <row r="131" customFormat="false" ht="15" hidden="false" customHeight="false" outlineLevel="0" collapsed="false">
      <c r="A131" s="6" t="n">
        <v>130</v>
      </c>
      <c r="B131" s="6" t="n">
        <v>780</v>
      </c>
      <c r="C131" s="6" t="n">
        <v>432</v>
      </c>
      <c r="D131" s="6" t="n">
        <v>1111</v>
      </c>
      <c r="E131" s="6" t="n">
        <v>280</v>
      </c>
      <c r="F131" s="6" t="n">
        <v>93</v>
      </c>
      <c r="G131" s="6" t="n">
        <v>755</v>
      </c>
      <c r="H131" s="6" t="n">
        <v>2</v>
      </c>
      <c r="I131" s="7" t="n">
        <v>266.08</v>
      </c>
      <c r="J131" s="7" t="n">
        <v>2049.66</v>
      </c>
      <c r="K131" s="7" t="n">
        <v>2530.56</v>
      </c>
      <c r="L131" s="7" t="n">
        <v>1175.84</v>
      </c>
      <c r="M131" s="6" t="n">
        <v>5.9</v>
      </c>
      <c r="N131" s="6" t="s">
        <v>24</v>
      </c>
      <c r="O131" s="8" t="n">
        <f aca="false">VLOOKUP(F131,DIM_SERVICO!$A$2:$D$151,4,FALSE())</f>
        <v>2049.66</v>
      </c>
      <c r="P131" s="8" t="n">
        <f aca="false">VLOOKUP(E131,DIM_PECA!$A$2:$F$501,6,FALSE())</f>
        <v>240.45</v>
      </c>
      <c r="Q131" s="8" t="n">
        <f aca="false">VLOOKUP(E131,DIM_PECA!$A$2:$F$501,5,FALSE())</f>
        <v>133.04</v>
      </c>
      <c r="R131" s="8" t="n">
        <f aca="false">H131*P131</f>
        <v>480.9</v>
      </c>
      <c r="S131" s="8" t="n">
        <f aca="false">O131*M131</f>
        <v>12092.994</v>
      </c>
      <c r="T131" s="8" t="n">
        <f aca="false">R131+S131</f>
        <v>12573.894</v>
      </c>
      <c r="U131" s="8" t="n">
        <f aca="false">T131-K131</f>
        <v>10043.334</v>
      </c>
      <c r="V131" s="8" t="n">
        <f aca="false">R131+S131-U131</f>
        <v>2530.56</v>
      </c>
      <c r="W131" s="9" t="str">
        <f aca="false">IF(ROUND(V131-K131,2)=0,"OK","ERRO")</f>
        <v>OK</v>
      </c>
      <c r="X131" s="9" t="str">
        <f aca="false">VLOOKUP(F131,DIM_SERVICO!$A$2:$D$151,3,FALSE())</f>
        <v>Revisão</v>
      </c>
    </row>
    <row r="132" customFormat="false" ht="15" hidden="false" customHeight="false" outlineLevel="0" collapsed="false">
      <c r="A132" s="2" t="n">
        <v>131</v>
      </c>
      <c r="B132" s="2" t="n">
        <v>7</v>
      </c>
      <c r="C132" s="2" t="n">
        <v>29</v>
      </c>
      <c r="D132" s="2" t="n">
        <v>905</v>
      </c>
      <c r="E132" s="2" t="n">
        <v>389</v>
      </c>
      <c r="F132" s="2" t="n">
        <v>56</v>
      </c>
      <c r="G132" s="2" t="n">
        <v>1249</v>
      </c>
      <c r="H132" s="2" t="n">
        <v>4</v>
      </c>
      <c r="I132" s="3" t="n">
        <v>3404.76</v>
      </c>
      <c r="J132" s="3" t="n">
        <v>251.62</v>
      </c>
      <c r="K132" s="3" t="n">
        <v>6874.46</v>
      </c>
      <c r="L132" s="3" t="n">
        <v>3375.72</v>
      </c>
      <c r="M132" s="2" t="n">
        <v>10.8</v>
      </c>
      <c r="N132" s="2" t="s">
        <v>24</v>
      </c>
      <c r="O132" s="4" t="n">
        <f aca="false">VLOOKUP(F132,DIM_SERVICO!$A$2:$D$151,4,FALSE())</f>
        <v>251.62</v>
      </c>
      <c r="P132" s="4" t="n">
        <f aca="false">VLOOKUP(E132,DIM_PECA!$A$2:$F$501,6,FALSE())</f>
        <v>1655.71</v>
      </c>
      <c r="Q132" s="4" t="n">
        <f aca="false">VLOOKUP(E132,DIM_PECA!$A$2:$F$501,5,FALSE())</f>
        <v>851.19</v>
      </c>
      <c r="R132" s="4" t="n">
        <f aca="false">H132*P132</f>
        <v>6622.84</v>
      </c>
      <c r="S132" s="4" t="n">
        <f aca="false">O132*M132</f>
        <v>2717.496</v>
      </c>
      <c r="T132" s="4" t="n">
        <f aca="false">R132+S132</f>
        <v>9340.336</v>
      </c>
      <c r="U132" s="4" t="n">
        <f aca="false">T132-K132</f>
        <v>2465.876</v>
      </c>
      <c r="V132" s="4" t="n">
        <f aca="false">R132+S132-U132</f>
        <v>6874.46</v>
      </c>
      <c r="W132" s="5" t="str">
        <f aca="false">IF(ROUND(V132-K132,2)=0,"OK","ERRO")</f>
        <v>OK</v>
      </c>
      <c r="X132" s="5" t="str">
        <f aca="false">VLOOKUP(F132,DIM_SERVICO!$A$2:$D$151,3,FALSE())</f>
        <v>Revisão</v>
      </c>
    </row>
    <row r="133" customFormat="false" ht="15" hidden="false" customHeight="false" outlineLevel="0" collapsed="false">
      <c r="A133" s="6" t="n">
        <v>132</v>
      </c>
      <c r="B133" s="6" t="n">
        <v>410</v>
      </c>
      <c r="C133" s="6" t="n">
        <v>655</v>
      </c>
      <c r="D133" s="6" t="n">
        <v>272</v>
      </c>
      <c r="E133" s="6" t="n">
        <v>349</v>
      </c>
      <c r="F133" s="6" t="n">
        <v>57</v>
      </c>
      <c r="G133" s="6" t="n">
        <v>302</v>
      </c>
      <c r="H133" s="6" t="n">
        <v>3</v>
      </c>
      <c r="I133" s="7" t="n">
        <v>2446.98</v>
      </c>
      <c r="J133" s="7" t="n">
        <v>719.54</v>
      </c>
      <c r="K133" s="7" t="n">
        <v>5522.63</v>
      </c>
      <c r="L133" s="7" t="n">
        <v>2787.67</v>
      </c>
      <c r="M133" s="6" t="n">
        <v>1.6</v>
      </c>
      <c r="N133" s="6" t="s">
        <v>24</v>
      </c>
      <c r="O133" s="8" t="n">
        <f aca="false">VLOOKUP(F133,DIM_SERVICO!$A$2:$D$151,4,FALSE())</f>
        <v>719.54</v>
      </c>
      <c r="P133" s="8" t="n">
        <f aca="false">VLOOKUP(E133,DIM_PECA!$A$2:$F$501,6,FALSE())</f>
        <v>1601.03</v>
      </c>
      <c r="Q133" s="8" t="n">
        <f aca="false">VLOOKUP(E133,DIM_PECA!$A$2:$F$501,5,FALSE())</f>
        <v>815.66</v>
      </c>
      <c r="R133" s="8" t="n">
        <f aca="false">H133*P133</f>
        <v>4803.09</v>
      </c>
      <c r="S133" s="8" t="n">
        <f aca="false">O133*M133</f>
        <v>1151.264</v>
      </c>
      <c r="T133" s="8" t="n">
        <f aca="false">R133+S133</f>
        <v>5954.354</v>
      </c>
      <c r="U133" s="8" t="n">
        <f aca="false">T133-K133</f>
        <v>431.724</v>
      </c>
      <c r="V133" s="8" t="n">
        <f aca="false">R133+S133-U133</f>
        <v>5522.63</v>
      </c>
      <c r="W133" s="9" t="str">
        <f aca="false">IF(ROUND(V133-K133,2)=0,"OK","ERRO")</f>
        <v>OK</v>
      </c>
      <c r="X133" s="9" t="str">
        <f aca="false">VLOOKUP(F133,DIM_SERVICO!$A$2:$D$151,3,FALSE())</f>
        <v>Diagnóstico</v>
      </c>
    </row>
    <row r="134" customFormat="false" ht="15" hidden="false" customHeight="false" outlineLevel="0" collapsed="false">
      <c r="A134" s="2" t="n">
        <v>133</v>
      </c>
      <c r="B134" s="2" t="n">
        <v>485</v>
      </c>
      <c r="C134" s="2" t="n">
        <v>419</v>
      </c>
      <c r="D134" s="2" t="n">
        <v>1023</v>
      </c>
      <c r="E134" s="2" t="n">
        <v>179</v>
      </c>
      <c r="F134" s="2" t="n">
        <v>124</v>
      </c>
      <c r="G134" s="2" t="n">
        <v>1622</v>
      </c>
      <c r="H134" s="2" t="n">
        <v>4</v>
      </c>
      <c r="I134" s="3" t="n">
        <v>861.28</v>
      </c>
      <c r="J134" s="3" t="n">
        <v>2049.22</v>
      </c>
      <c r="K134" s="3" t="n">
        <v>3828.58</v>
      </c>
      <c r="L134" s="3" t="n">
        <v>1863.53</v>
      </c>
      <c r="M134" s="2" t="n">
        <v>6.8</v>
      </c>
      <c r="N134" s="2" t="s">
        <v>24</v>
      </c>
      <c r="O134" s="4" t="n">
        <f aca="false">VLOOKUP(F134,DIM_SERVICO!$A$2:$D$151,4,FALSE())</f>
        <v>2049.22</v>
      </c>
      <c r="P134" s="4" t="n">
        <f aca="false">VLOOKUP(E134,DIM_PECA!$A$2:$F$501,6,FALSE())</f>
        <v>444.84</v>
      </c>
      <c r="Q134" s="4" t="n">
        <f aca="false">VLOOKUP(E134,DIM_PECA!$A$2:$F$501,5,FALSE())</f>
        <v>215.32</v>
      </c>
      <c r="R134" s="4" t="n">
        <f aca="false">H134*P134</f>
        <v>1779.36</v>
      </c>
      <c r="S134" s="4" t="n">
        <f aca="false">O134*M134</f>
        <v>13934.696</v>
      </c>
      <c r="T134" s="4" t="n">
        <f aca="false">R134+S134</f>
        <v>15714.056</v>
      </c>
      <c r="U134" s="4" t="n">
        <f aca="false">T134-K134</f>
        <v>11885.476</v>
      </c>
      <c r="V134" s="4" t="n">
        <f aca="false">R134+S134-U134</f>
        <v>3828.58</v>
      </c>
      <c r="W134" s="5" t="str">
        <f aca="false">IF(ROUND(V134-K134,2)=0,"OK","ERRO")</f>
        <v>OK</v>
      </c>
      <c r="X134" s="5" t="str">
        <f aca="false">VLOOKUP(F134,DIM_SERVICO!$A$2:$D$151,3,FALSE())</f>
        <v>Freios</v>
      </c>
    </row>
    <row r="135" customFormat="false" ht="15" hidden="false" customHeight="false" outlineLevel="0" collapsed="false">
      <c r="A135" s="6" t="n">
        <v>134</v>
      </c>
      <c r="B135" s="6" t="n">
        <v>1107</v>
      </c>
      <c r="C135" s="6" t="n">
        <v>1006</v>
      </c>
      <c r="D135" s="6" t="n">
        <v>367</v>
      </c>
      <c r="E135" s="6" t="n">
        <v>454</v>
      </c>
      <c r="F135" s="6" t="n">
        <v>58</v>
      </c>
      <c r="G135" s="6" t="n">
        <v>766</v>
      </c>
      <c r="H135" s="6" t="n">
        <v>1</v>
      </c>
      <c r="I135" s="7" t="n">
        <v>445.8</v>
      </c>
      <c r="J135" s="7" t="n">
        <v>1803.6</v>
      </c>
      <c r="K135" s="7" t="n">
        <v>2589.32</v>
      </c>
      <c r="L135" s="7" t="n">
        <v>1360.64</v>
      </c>
      <c r="M135" s="6" t="n">
        <v>10.4</v>
      </c>
      <c r="N135" s="6" t="s">
        <v>24</v>
      </c>
      <c r="O135" s="8" t="n">
        <f aca="false">VLOOKUP(F135,DIM_SERVICO!$A$2:$D$151,4,FALSE())</f>
        <v>1803.6</v>
      </c>
      <c r="P135" s="8" t="n">
        <f aca="false">VLOOKUP(E135,DIM_PECA!$A$2:$F$501,6,FALSE())</f>
        <v>785.72</v>
      </c>
      <c r="Q135" s="8" t="n">
        <f aca="false">VLOOKUP(E135,DIM_PECA!$A$2:$F$501,5,FALSE())</f>
        <v>445.8</v>
      </c>
      <c r="R135" s="8" t="n">
        <f aca="false">H135*P135</f>
        <v>785.72</v>
      </c>
      <c r="S135" s="8" t="n">
        <f aca="false">O135*M135</f>
        <v>18757.44</v>
      </c>
      <c r="T135" s="8" t="n">
        <f aca="false">R135+S135</f>
        <v>19543.16</v>
      </c>
      <c r="U135" s="8" t="n">
        <f aca="false">T135-K135</f>
        <v>16953.84</v>
      </c>
      <c r="V135" s="8" t="n">
        <f aca="false">R135+S135-U135</f>
        <v>2589.32</v>
      </c>
      <c r="W135" s="9" t="str">
        <f aca="false">IF(ROUND(V135-K135,2)=0,"OK","ERRO")</f>
        <v>OK</v>
      </c>
      <c r="X135" s="9" t="str">
        <f aca="false">VLOOKUP(F135,DIM_SERVICO!$A$2:$D$151,3,FALSE())</f>
        <v>Freios</v>
      </c>
    </row>
    <row r="136" customFormat="false" ht="15" hidden="false" customHeight="false" outlineLevel="0" collapsed="false">
      <c r="A136" s="2" t="n">
        <v>135</v>
      </c>
      <c r="B136" s="2" t="n">
        <v>930</v>
      </c>
      <c r="C136" s="2" t="n">
        <v>668</v>
      </c>
      <c r="D136" s="2" t="n">
        <v>591</v>
      </c>
      <c r="E136" s="2" t="n">
        <v>369</v>
      </c>
      <c r="F136" s="2" t="n">
        <v>134</v>
      </c>
      <c r="G136" s="2" t="n">
        <v>91</v>
      </c>
      <c r="H136" s="2" t="n">
        <v>3</v>
      </c>
      <c r="I136" s="3" t="n">
        <v>1620.27</v>
      </c>
      <c r="J136" s="3" t="n">
        <v>1364.67</v>
      </c>
      <c r="K136" s="3" t="n">
        <v>4070.63</v>
      </c>
      <c r="L136" s="3" t="n">
        <v>1831.2</v>
      </c>
      <c r="M136" s="2" t="n">
        <v>10.8</v>
      </c>
      <c r="N136" s="2" t="s">
        <v>25</v>
      </c>
      <c r="O136" s="4" t="n">
        <f aca="false">VLOOKUP(F136,DIM_SERVICO!$A$2:$D$151,4,FALSE())</f>
        <v>1364.67</v>
      </c>
      <c r="P136" s="4" t="n">
        <f aca="false">VLOOKUP(E136,DIM_PECA!$A$2:$F$501,6,FALSE())</f>
        <v>1052.75</v>
      </c>
      <c r="Q136" s="4" t="n">
        <f aca="false">VLOOKUP(E136,DIM_PECA!$A$2:$F$501,5,FALSE())</f>
        <v>540.09</v>
      </c>
      <c r="R136" s="4" t="n">
        <f aca="false">H136*P136</f>
        <v>3158.25</v>
      </c>
      <c r="S136" s="4" t="n">
        <f aca="false">O136*M136</f>
        <v>14738.436</v>
      </c>
      <c r="T136" s="4" t="n">
        <f aca="false">R136+S136</f>
        <v>17896.686</v>
      </c>
      <c r="U136" s="4" t="n">
        <f aca="false">T136-K136</f>
        <v>13826.056</v>
      </c>
      <c r="V136" s="4" t="n">
        <f aca="false">R136+S136-U136</f>
        <v>4070.63</v>
      </c>
      <c r="W136" s="5" t="str">
        <f aca="false">IF(ROUND(V136-K136,2)=0,"OK","ERRO")</f>
        <v>OK</v>
      </c>
      <c r="X136" s="5" t="str">
        <f aca="false">VLOOKUP(F136,DIM_SERVICO!$A$2:$D$151,3,FALSE())</f>
        <v>Elétrica</v>
      </c>
    </row>
    <row r="137" customFormat="false" ht="15" hidden="false" customHeight="false" outlineLevel="0" collapsed="false">
      <c r="A137" s="6" t="n">
        <v>136</v>
      </c>
      <c r="B137" s="6" t="n">
        <v>1183</v>
      </c>
      <c r="C137" s="6" t="n">
        <v>86</v>
      </c>
      <c r="D137" s="6" t="n">
        <v>861</v>
      </c>
      <c r="E137" s="6" t="n">
        <v>440</v>
      </c>
      <c r="F137" s="6" t="n">
        <v>139</v>
      </c>
      <c r="G137" s="6" t="n">
        <v>327</v>
      </c>
      <c r="H137" s="6" t="n">
        <v>4</v>
      </c>
      <c r="I137" s="7" t="n">
        <v>284.56</v>
      </c>
      <c r="J137" s="7" t="n">
        <v>2138.46</v>
      </c>
      <c r="K137" s="7" t="n">
        <v>2583.46</v>
      </c>
      <c r="L137" s="7" t="n">
        <v>1394.2</v>
      </c>
      <c r="M137" s="6" t="n">
        <v>6.5</v>
      </c>
      <c r="N137" s="6" t="s">
        <v>24</v>
      </c>
      <c r="O137" s="8" t="n">
        <f aca="false">VLOOKUP(F137,DIM_SERVICO!$A$2:$D$151,4,FALSE())</f>
        <v>2138.46</v>
      </c>
      <c r="P137" s="8" t="n">
        <f aca="false">VLOOKUP(E137,DIM_PECA!$A$2:$F$501,6,FALSE())</f>
        <v>111.25</v>
      </c>
      <c r="Q137" s="8" t="n">
        <f aca="false">VLOOKUP(E137,DIM_PECA!$A$2:$F$501,5,FALSE())</f>
        <v>71.14</v>
      </c>
      <c r="R137" s="8" t="n">
        <f aca="false">H137*P137</f>
        <v>445</v>
      </c>
      <c r="S137" s="8" t="n">
        <f aca="false">O137*M137</f>
        <v>13899.99</v>
      </c>
      <c r="T137" s="8" t="n">
        <f aca="false">R137+S137</f>
        <v>14344.99</v>
      </c>
      <c r="U137" s="8" t="n">
        <f aca="false">T137-K137</f>
        <v>11761.53</v>
      </c>
      <c r="V137" s="8" t="n">
        <f aca="false">R137+S137-U137</f>
        <v>2583.46</v>
      </c>
      <c r="W137" s="9" t="str">
        <f aca="false">IF(ROUND(V137-K137,2)=0,"OK","ERRO")</f>
        <v>OK</v>
      </c>
      <c r="X137" s="9" t="str">
        <f aca="false">VLOOKUP(F137,DIM_SERVICO!$A$2:$D$151,3,FALSE())</f>
        <v>Revisão</v>
      </c>
    </row>
    <row r="138" customFormat="false" ht="15" hidden="false" customHeight="false" outlineLevel="0" collapsed="false">
      <c r="A138" s="2" t="n">
        <v>137</v>
      </c>
      <c r="B138" s="2" t="n">
        <v>1279</v>
      </c>
      <c r="C138" s="2" t="n">
        <v>369</v>
      </c>
      <c r="D138" s="2" t="n">
        <v>1037</v>
      </c>
      <c r="E138" s="2" t="n">
        <v>97</v>
      </c>
      <c r="F138" s="2" t="n">
        <v>116</v>
      </c>
      <c r="G138" s="2" t="n">
        <v>48</v>
      </c>
      <c r="H138" s="2" t="n">
        <v>4</v>
      </c>
      <c r="I138" s="3" t="n">
        <v>2897.48</v>
      </c>
      <c r="J138" s="3" t="n">
        <v>1593.06</v>
      </c>
      <c r="K138" s="3" t="n">
        <v>6470.19</v>
      </c>
      <c r="L138" s="3" t="n">
        <v>2965.04</v>
      </c>
      <c r="M138" s="2" t="n">
        <v>4.7</v>
      </c>
      <c r="N138" s="2" t="s">
        <v>27</v>
      </c>
      <c r="O138" s="4" t="n">
        <f aca="false">VLOOKUP(F138,DIM_SERVICO!$A$2:$D$151,4,FALSE())</f>
        <v>1593.06</v>
      </c>
      <c r="P138" s="4" t="n">
        <f aca="false">VLOOKUP(E138,DIM_PECA!$A$2:$F$501,6,FALSE())</f>
        <v>1399.01</v>
      </c>
      <c r="Q138" s="4" t="n">
        <f aca="false">VLOOKUP(E138,DIM_PECA!$A$2:$F$501,5,FALSE())</f>
        <v>724.37</v>
      </c>
      <c r="R138" s="4" t="n">
        <f aca="false">H138*P138</f>
        <v>5596.04</v>
      </c>
      <c r="S138" s="4" t="n">
        <f aca="false">O138*M138</f>
        <v>7487.382</v>
      </c>
      <c r="T138" s="4" t="n">
        <f aca="false">R138+S138</f>
        <v>13083.422</v>
      </c>
      <c r="U138" s="4" t="n">
        <f aca="false">T138-K138</f>
        <v>6613.232</v>
      </c>
      <c r="V138" s="4" t="n">
        <f aca="false">R138+S138-U138</f>
        <v>6470.19</v>
      </c>
      <c r="W138" s="5" t="str">
        <f aca="false">IF(ROUND(V138-K138,2)=0,"OK","ERRO")</f>
        <v>OK</v>
      </c>
      <c r="X138" s="5" t="str">
        <f aca="false">VLOOKUP(F138,DIM_SERVICO!$A$2:$D$151,3,FALSE())</f>
        <v>Motor</v>
      </c>
    </row>
    <row r="139" customFormat="false" ht="15" hidden="false" customHeight="false" outlineLevel="0" collapsed="false">
      <c r="A139" s="6" t="n">
        <v>138</v>
      </c>
      <c r="B139" s="6" t="n">
        <v>467</v>
      </c>
      <c r="C139" s="6" t="n">
        <v>1038</v>
      </c>
      <c r="D139" s="6" t="n">
        <v>839</v>
      </c>
      <c r="E139" s="6" t="n">
        <v>371</v>
      </c>
      <c r="F139" s="6" t="n">
        <v>56</v>
      </c>
      <c r="G139" s="6" t="n">
        <v>780</v>
      </c>
      <c r="H139" s="6" t="n">
        <v>1</v>
      </c>
      <c r="I139" s="7" t="n">
        <v>231.43</v>
      </c>
      <c r="J139" s="7" t="n">
        <v>251.62</v>
      </c>
      <c r="K139" s="7" t="n">
        <v>675.89</v>
      </c>
      <c r="L139" s="7" t="n">
        <v>353.35</v>
      </c>
      <c r="M139" s="6" t="n">
        <v>6.7</v>
      </c>
      <c r="N139" s="6" t="s">
        <v>24</v>
      </c>
      <c r="O139" s="8" t="n">
        <f aca="false">VLOOKUP(F139,DIM_SERVICO!$A$2:$D$151,4,FALSE())</f>
        <v>251.62</v>
      </c>
      <c r="P139" s="8" t="n">
        <f aca="false">VLOOKUP(E139,DIM_PECA!$A$2:$F$501,6,FALSE())</f>
        <v>459.84</v>
      </c>
      <c r="Q139" s="8" t="n">
        <f aca="false">VLOOKUP(E139,DIM_PECA!$A$2:$F$501,5,FALSE())</f>
        <v>231.43</v>
      </c>
      <c r="R139" s="8" t="n">
        <f aca="false">H139*P139</f>
        <v>459.84</v>
      </c>
      <c r="S139" s="8" t="n">
        <f aca="false">O139*M139</f>
        <v>1685.854</v>
      </c>
      <c r="T139" s="8" t="n">
        <f aca="false">R139+S139</f>
        <v>2145.694</v>
      </c>
      <c r="U139" s="8" t="n">
        <f aca="false">T139-K139</f>
        <v>1469.804</v>
      </c>
      <c r="V139" s="8" t="n">
        <f aca="false">R139+S139-U139</f>
        <v>675.89</v>
      </c>
      <c r="W139" s="9" t="str">
        <f aca="false">IF(ROUND(V139-K139,2)=0,"OK","ERRO")</f>
        <v>OK</v>
      </c>
      <c r="X139" s="9" t="str">
        <f aca="false">VLOOKUP(F139,DIM_SERVICO!$A$2:$D$151,3,FALSE())</f>
        <v>Revisão</v>
      </c>
    </row>
    <row r="140" customFormat="false" ht="15" hidden="false" customHeight="false" outlineLevel="0" collapsed="false">
      <c r="A140" s="2" t="n">
        <v>139</v>
      </c>
      <c r="B140" s="2" t="n">
        <v>491</v>
      </c>
      <c r="C140" s="2" t="n">
        <v>1386</v>
      </c>
      <c r="D140" s="2" t="n">
        <v>240</v>
      </c>
      <c r="E140" s="2" t="n">
        <v>215</v>
      </c>
      <c r="F140" s="2" t="n">
        <v>37</v>
      </c>
      <c r="G140" s="2" t="n">
        <v>1548</v>
      </c>
      <c r="H140" s="2" t="n">
        <v>2</v>
      </c>
      <c r="I140" s="3" t="n">
        <v>83.78</v>
      </c>
      <c r="J140" s="3" t="n">
        <v>388.25</v>
      </c>
      <c r="K140" s="3" t="n">
        <v>476.59</v>
      </c>
      <c r="L140" s="3" t="n">
        <v>205.33</v>
      </c>
      <c r="M140" s="2" t="n">
        <v>11.9</v>
      </c>
      <c r="N140" s="2" t="s">
        <v>24</v>
      </c>
      <c r="O140" s="4" t="n">
        <f aca="false">VLOOKUP(F140,DIM_SERVICO!$A$2:$D$151,4,FALSE())</f>
        <v>388.25</v>
      </c>
      <c r="P140" s="4" t="n">
        <f aca="false">VLOOKUP(E140,DIM_PECA!$A$2:$F$501,6,FALSE())</f>
        <v>64.89</v>
      </c>
      <c r="Q140" s="4" t="n">
        <f aca="false">VLOOKUP(E140,DIM_PECA!$A$2:$F$501,5,FALSE())</f>
        <v>41.89</v>
      </c>
      <c r="R140" s="4" t="n">
        <f aca="false">H140*P140</f>
        <v>129.78</v>
      </c>
      <c r="S140" s="4" t="n">
        <f aca="false">O140*M140</f>
        <v>4620.175</v>
      </c>
      <c r="T140" s="4" t="n">
        <f aca="false">R140+S140</f>
        <v>4749.955</v>
      </c>
      <c r="U140" s="4" t="n">
        <f aca="false">T140-K140</f>
        <v>4273.365</v>
      </c>
      <c r="V140" s="4" t="n">
        <f aca="false">R140+S140-U140</f>
        <v>476.59</v>
      </c>
      <c r="W140" s="5" t="str">
        <f aca="false">IF(ROUND(V140-K140,2)=0,"OK","ERRO")</f>
        <v>OK</v>
      </c>
      <c r="X140" s="5" t="str">
        <f aca="false">VLOOKUP(F140,DIM_SERVICO!$A$2:$D$151,3,FALSE())</f>
        <v>Freios</v>
      </c>
    </row>
    <row r="141" customFormat="false" ht="15" hidden="false" customHeight="false" outlineLevel="0" collapsed="false">
      <c r="A141" s="6" t="n">
        <v>140</v>
      </c>
      <c r="B141" s="6" t="n">
        <v>1228</v>
      </c>
      <c r="C141" s="6" t="n">
        <v>765</v>
      </c>
      <c r="D141" s="6" t="n">
        <v>44</v>
      </c>
      <c r="E141" s="6" t="n">
        <v>33</v>
      </c>
      <c r="F141" s="6" t="n">
        <v>22</v>
      </c>
      <c r="G141" s="6" t="n">
        <v>758</v>
      </c>
      <c r="H141" s="6" t="n">
        <v>2</v>
      </c>
      <c r="I141" s="7" t="n">
        <v>1387.2</v>
      </c>
      <c r="J141" s="7" t="n">
        <v>1591.95</v>
      </c>
      <c r="K141" s="7" t="n">
        <v>3148.8</v>
      </c>
      <c r="L141" s="7" t="n">
        <v>1161.22</v>
      </c>
      <c r="M141" s="6" t="n">
        <v>9.1</v>
      </c>
      <c r="N141" s="6" t="s">
        <v>24</v>
      </c>
      <c r="O141" s="8" t="n">
        <f aca="false">VLOOKUP(F141,DIM_SERVICO!$A$2:$D$151,4,FALSE())</f>
        <v>1591.95</v>
      </c>
      <c r="P141" s="8" t="n">
        <f aca="false">VLOOKUP(E141,DIM_PECA!$A$2:$F$501,6,FALSE())</f>
        <v>953.36</v>
      </c>
      <c r="Q141" s="8" t="n">
        <f aca="false">VLOOKUP(E141,DIM_PECA!$A$2:$F$501,5,FALSE())</f>
        <v>693.6</v>
      </c>
      <c r="R141" s="8" t="n">
        <f aca="false">H141*P141</f>
        <v>1906.72</v>
      </c>
      <c r="S141" s="8" t="n">
        <f aca="false">O141*M141</f>
        <v>14486.745</v>
      </c>
      <c r="T141" s="8" t="n">
        <f aca="false">R141+S141</f>
        <v>16393.465</v>
      </c>
      <c r="U141" s="8" t="n">
        <f aca="false">T141-K141</f>
        <v>13244.665</v>
      </c>
      <c r="V141" s="8" t="n">
        <f aca="false">R141+S141-U141</f>
        <v>3148.8</v>
      </c>
      <c r="W141" s="9" t="str">
        <f aca="false">IF(ROUND(V141-K141,2)=0,"OK","ERRO")</f>
        <v>OK</v>
      </c>
      <c r="X141" s="9" t="str">
        <f aca="false">VLOOKUP(F141,DIM_SERVICO!$A$2:$D$151,3,FALSE())</f>
        <v>Motor</v>
      </c>
    </row>
    <row r="142" customFormat="false" ht="15" hidden="false" customHeight="false" outlineLevel="0" collapsed="false">
      <c r="A142" s="2" t="n">
        <v>141</v>
      </c>
      <c r="B142" s="2" t="n">
        <v>792</v>
      </c>
      <c r="C142" s="2" t="n">
        <v>441</v>
      </c>
      <c r="D142" s="2" t="n">
        <v>543</v>
      </c>
      <c r="E142" s="2" t="n">
        <v>393</v>
      </c>
      <c r="F142" s="2" t="n">
        <v>25</v>
      </c>
      <c r="G142" s="2" t="n">
        <v>1699</v>
      </c>
      <c r="H142" s="2" t="n">
        <v>3</v>
      </c>
      <c r="I142" s="3" t="n">
        <v>3401.25</v>
      </c>
      <c r="J142" s="3" t="n">
        <v>1419.73</v>
      </c>
      <c r="K142" s="3" t="n">
        <v>7493.89</v>
      </c>
      <c r="L142" s="3" t="n">
        <v>3460.35</v>
      </c>
      <c r="M142" s="2" t="n">
        <v>9.2</v>
      </c>
      <c r="N142" s="2" t="s">
        <v>24</v>
      </c>
      <c r="O142" s="4" t="n">
        <f aca="false">VLOOKUP(F142,DIM_SERVICO!$A$2:$D$151,4,FALSE())</f>
        <v>1419.73</v>
      </c>
      <c r="P142" s="4" t="n">
        <f aca="false">VLOOKUP(E142,DIM_PECA!$A$2:$F$501,6,FALSE())</f>
        <v>2075.7</v>
      </c>
      <c r="Q142" s="4" t="n">
        <f aca="false">VLOOKUP(E142,DIM_PECA!$A$2:$F$501,5,FALSE())</f>
        <v>1133.75</v>
      </c>
      <c r="R142" s="4" t="n">
        <f aca="false">H142*P142</f>
        <v>6227.1</v>
      </c>
      <c r="S142" s="4" t="n">
        <f aca="false">O142*M142</f>
        <v>13061.516</v>
      </c>
      <c r="T142" s="4" t="n">
        <f aca="false">R142+S142</f>
        <v>19288.616</v>
      </c>
      <c r="U142" s="4" t="n">
        <f aca="false">T142-K142</f>
        <v>11794.726</v>
      </c>
      <c r="V142" s="4" t="n">
        <f aca="false">R142+S142-U142</f>
        <v>7493.89</v>
      </c>
      <c r="W142" s="5" t="str">
        <f aca="false">IF(ROUND(V142-K142,2)=0,"OK","ERRO")</f>
        <v>OK</v>
      </c>
      <c r="X142" s="5" t="str">
        <f aca="false">VLOOKUP(F142,DIM_SERVICO!$A$2:$D$151,3,FALSE())</f>
        <v>Motor</v>
      </c>
    </row>
    <row r="143" customFormat="false" ht="15" hidden="false" customHeight="false" outlineLevel="0" collapsed="false">
      <c r="A143" s="6" t="n">
        <v>142</v>
      </c>
      <c r="B143" s="6" t="n">
        <v>631</v>
      </c>
      <c r="C143" s="6" t="n">
        <v>1430</v>
      </c>
      <c r="D143" s="6" t="n">
        <v>980</v>
      </c>
      <c r="E143" s="6" t="n">
        <v>261</v>
      </c>
      <c r="F143" s="6" t="n">
        <v>108</v>
      </c>
      <c r="G143" s="6" t="n">
        <v>434</v>
      </c>
      <c r="H143" s="6" t="n">
        <v>4</v>
      </c>
      <c r="I143" s="7" t="n">
        <v>1521.4</v>
      </c>
      <c r="J143" s="7" t="n">
        <v>1178.47</v>
      </c>
      <c r="K143" s="7" t="n">
        <v>4449.87</v>
      </c>
      <c r="L143" s="7" t="n">
        <v>2460.29</v>
      </c>
      <c r="M143" s="6" t="n">
        <v>11.9</v>
      </c>
      <c r="N143" s="6" t="s">
        <v>24</v>
      </c>
      <c r="O143" s="8" t="n">
        <f aca="false">VLOOKUP(F143,DIM_SERVICO!$A$2:$D$151,4,FALSE())</f>
        <v>1178.47</v>
      </c>
      <c r="P143" s="8" t="n">
        <f aca="false">VLOOKUP(E143,DIM_PECA!$A$2:$F$501,6,FALSE())</f>
        <v>817.85</v>
      </c>
      <c r="Q143" s="8" t="n">
        <f aca="false">VLOOKUP(E143,DIM_PECA!$A$2:$F$501,5,FALSE())</f>
        <v>380.35</v>
      </c>
      <c r="R143" s="8" t="n">
        <f aca="false">H143*P143</f>
        <v>3271.4</v>
      </c>
      <c r="S143" s="8" t="n">
        <f aca="false">O143*M143</f>
        <v>14023.793</v>
      </c>
      <c r="T143" s="8" t="n">
        <f aca="false">R143+S143</f>
        <v>17295.193</v>
      </c>
      <c r="U143" s="8" t="n">
        <f aca="false">T143-K143</f>
        <v>12845.323</v>
      </c>
      <c r="V143" s="8" t="n">
        <f aca="false">R143+S143-U143</f>
        <v>4449.87</v>
      </c>
      <c r="W143" s="9" t="str">
        <f aca="false">IF(ROUND(V143-K143,2)=0,"OK","ERRO")</f>
        <v>OK</v>
      </c>
      <c r="X143" s="9" t="str">
        <f aca="false">VLOOKUP(F143,DIM_SERVICO!$A$2:$D$151,3,FALSE())</f>
        <v>Funilaria</v>
      </c>
    </row>
    <row r="144" customFormat="false" ht="15" hidden="false" customHeight="false" outlineLevel="0" collapsed="false">
      <c r="A144" s="2" t="n">
        <v>143</v>
      </c>
      <c r="B144" s="2" t="n">
        <v>876</v>
      </c>
      <c r="C144" s="2" t="n">
        <v>1204</v>
      </c>
      <c r="D144" s="2" t="n">
        <v>969</v>
      </c>
      <c r="E144" s="2" t="n">
        <v>242</v>
      </c>
      <c r="F144" s="2" t="n">
        <v>3</v>
      </c>
      <c r="G144" s="2" t="n">
        <v>1076</v>
      </c>
      <c r="H144" s="2" t="n">
        <v>1</v>
      </c>
      <c r="I144" s="3" t="n">
        <v>113.54</v>
      </c>
      <c r="J144" s="3" t="n">
        <v>274.77</v>
      </c>
      <c r="K144" s="3" t="n">
        <v>401.96</v>
      </c>
      <c r="L144" s="3" t="n">
        <v>147.8</v>
      </c>
      <c r="M144" s="2" t="n">
        <v>4.3</v>
      </c>
      <c r="N144" s="2" t="s">
        <v>26</v>
      </c>
      <c r="O144" s="4" t="n">
        <f aca="false">VLOOKUP(F144,DIM_SERVICO!$A$2:$D$151,4,FALSE())</f>
        <v>274.77</v>
      </c>
      <c r="P144" s="4" t="n">
        <f aca="false">VLOOKUP(E144,DIM_PECA!$A$2:$F$501,6,FALSE())</f>
        <v>171.85</v>
      </c>
      <c r="Q144" s="4" t="n">
        <f aca="false">VLOOKUP(E144,DIM_PECA!$A$2:$F$501,5,FALSE())</f>
        <v>113.54</v>
      </c>
      <c r="R144" s="4" t="n">
        <f aca="false">H144*P144</f>
        <v>171.85</v>
      </c>
      <c r="S144" s="4" t="n">
        <f aca="false">O144*M144</f>
        <v>1181.511</v>
      </c>
      <c r="T144" s="4" t="n">
        <f aca="false">R144+S144</f>
        <v>1353.361</v>
      </c>
      <c r="U144" s="4" t="n">
        <f aca="false">T144-K144</f>
        <v>951.401</v>
      </c>
      <c r="V144" s="4" t="n">
        <f aca="false">R144+S144-U144</f>
        <v>401.96</v>
      </c>
      <c r="W144" s="5" t="str">
        <f aca="false">IF(ROUND(V144-K144,2)=0,"OK","ERRO")</f>
        <v>OK</v>
      </c>
      <c r="X144" s="5" t="str">
        <f aca="false">VLOOKUP(F144,DIM_SERVICO!$A$2:$D$151,3,FALSE())</f>
        <v>Pintura</v>
      </c>
    </row>
    <row r="145" customFormat="false" ht="15" hidden="false" customHeight="false" outlineLevel="0" collapsed="false">
      <c r="A145" s="6" t="n">
        <v>144</v>
      </c>
      <c r="B145" s="6" t="n">
        <v>289</v>
      </c>
      <c r="C145" s="6" t="n">
        <v>1037</v>
      </c>
      <c r="D145" s="6" t="n">
        <v>343</v>
      </c>
      <c r="E145" s="6" t="n">
        <v>277</v>
      </c>
      <c r="F145" s="6" t="n">
        <v>150</v>
      </c>
      <c r="G145" s="6" t="n">
        <v>1128</v>
      </c>
      <c r="H145" s="6" t="n">
        <v>1</v>
      </c>
      <c r="I145" s="7" t="n">
        <v>966.33</v>
      </c>
      <c r="J145" s="7" t="n">
        <v>1370.46</v>
      </c>
      <c r="K145" s="7" t="n">
        <v>3038.6</v>
      </c>
      <c r="L145" s="7" t="n">
        <v>1544.41</v>
      </c>
      <c r="M145" s="6" t="n">
        <v>8</v>
      </c>
      <c r="N145" s="6" t="s">
        <v>24</v>
      </c>
      <c r="O145" s="8" t="n">
        <f aca="false">VLOOKUP(F145,DIM_SERVICO!$A$2:$D$151,4,FALSE())</f>
        <v>1370.46</v>
      </c>
      <c r="P145" s="8" t="n">
        <f aca="false">VLOOKUP(E145,DIM_PECA!$A$2:$F$501,6,FALSE())</f>
        <v>2005.76</v>
      </c>
      <c r="Q145" s="8" t="n">
        <f aca="false">VLOOKUP(E145,DIM_PECA!$A$2:$F$501,5,FALSE())</f>
        <v>966.33</v>
      </c>
      <c r="R145" s="8" t="n">
        <f aca="false">H145*P145</f>
        <v>2005.76</v>
      </c>
      <c r="S145" s="8" t="n">
        <f aca="false">O145*M145</f>
        <v>10963.68</v>
      </c>
      <c r="T145" s="8" t="n">
        <f aca="false">R145+S145</f>
        <v>12969.44</v>
      </c>
      <c r="U145" s="8" t="n">
        <f aca="false">T145-K145</f>
        <v>9930.84</v>
      </c>
      <c r="V145" s="8" t="n">
        <f aca="false">R145+S145-U145</f>
        <v>3038.6</v>
      </c>
      <c r="W145" s="9" t="str">
        <f aca="false">IF(ROUND(V145-K145,2)=0,"OK","ERRO")</f>
        <v>OK</v>
      </c>
      <c r="X145" s="9" t="str">
        <f aca="false">VLOOKUP(F145,DIM_SERVICO!$A$2:$D$151,3,FALSE())</f>
        <v>Revisão</v>
      </c>
    </row>
    <row r="146" customFormat="false" ht="15" hidden="false" customHeight="false" outlineLevel="0" collapsed="false">
      <c r="A146" s="2" t="n">
        <v>145</v>
      </c>
      <c r="B146" s="2" t="n">
        <v>121</v>
      </c>
      <c r="C146" s="2" t="n">
        <v>457</v>
      </c>
      <c r="D146" s="2" t="n">
        <v>1177</v>
      </c>
      <c r="E146" s="2" t="n">
        <v>445</v>
      </c>
      <c r="F146" s="2" t="n">
        <v>100</v>
      </c>
      <c r="G146" s="2" t="n">
        <v>1641</v>
      </c>
      <c r="H146" s="2" t="n">
        <v>3</v>
      </c>
      <c r="I146" s="3" t="n">
        <v>1727.4</v>
      </c>
      <c r="J146" s="3" t="n">
        <v>2148.55</v>
      </c>
      <c r="K146" s="3" t="n">
        <v>4751.26</v>
      </c>
      <c r="L146" s="3" t="n">
        <v>1976.26</v>
      </c>
      <c r="M146" s="2" t="n">
        <v>10.2</v>
      </c>
      <c r="N146" s="2" t="s">
        <v>24</v>
      </c>
      <c r="O146" s="4" t="n">
        <f aca="false">VLOOKUP(F146,DIM_SERVICO!$A$2:$D$151,4,FALSE())</f>
        <v>2148.55</v>
      </c>
      <c r="P146" s="4" t="n">
        <f aca="false">VLOOKUP(E146,DIM_PECA!$A$2:$F$501,6,FALSE())</f>
        <v>899.89</v>
      </c>
      <c r="Q146" s="4" t="n">
        <f aca="false">VLOOKUP(E146,DIM_PECA!$A$2:$F$501,5,FALSE())</f>
        <v>575.8</v>
      </c>
      <c r="R146" s="4" t="n">
        <f aca="false">H146*P146</f>
        <v>2699.67</v>
      </c>
      <c r="S146" s="4" t="n">
        <f aca="false">O146*M146</f>
        <v>21915.21</v>
      </c>
      <c r="T146" s="4" t="n">
        <f aca="false">R146+S146</f>
        <v>24614.88</v>
      </c>
      <c r="U146" s="4" t="n">
        <f aca="false">T146-K146</f>
        <v>19863.62</v>
      </c>
      <c r="V146" s="4" t="n">
        <f aca="false">R146+S146-U146</f>
        <v>4751.26</v>
      </c>
      <c r="W146" s="5" t="str">
        <f aca="false">IF(ROUND(V146-K146,2)=0,"OK","ERRO")</f>
        <v>OK</v>
      </c>
      <c r="X146" s="5" t="str">
        <f aca="false">VLOOKUP(F146,DIM_SERVICO!$A$2:$D$151,3,FALSE())</f>
        <v>Motor</v>
      </c>
    </row>
    <row r="147" customFormat="false" ht="15" hidden="false" customHeight="false" outlineLevel="0" collapsed="false">
      <c r="A147" s="6" t="n">
        <v>146</v>
      </c>
      <c r="B147" s="6" t="n">
        <v>1084</v>
      </c>
      <c r="C147" s="6" t="n">
        <v>1322</v>
      </c>
      <c r="D147" s="6" t="n">
        <v>874</v>
      </c>
      <c r="E147" s="6" t="n">
        <v>406</v>
      </c>
      <c r="F147" s="6" t="n">
        <v>100</v>
      </c>
      <c r="G147" s="6" t="n">
        <v>553</v>
      </c>
      <c r="H147" s="6" t="n">
        <v>3</v>
      </c>
      <c r="I147" s="7" t="n">
        <v>251.61</v>
      </c>
      <c r="J147" s="7" t="n">
        <v>2148.55</v>
      </c>
      <c r="K147" s="7" t="n">
        <v>2694.43</v>
      </c>
      <c r="L147" s="7" t="n">
        <v>1641.94</v>
      </c>
      <c r="M147" s="6" t="n">
        <v>4.3</v>
      </c>
      <c r="N147" s="6" t="s">
        <v>27</v>
      </c>
      <c r="O147" s="8" t="n">
        <f aca="false">VLOOKUP(F147,DIM_SERVICO!$A$2:$D$151,4,FALSE())</f>
        <v>2148.55</v>
      </c>
      <c r="P147" s="8" t="n">
        <f aca="false">VLOOKUP(E147,DIM_PECA!$A$2:$F$501,6,FALSE())</f>
        <v>181.96</v>
      </c>
      <c r="Q147" s="8" t="n">
        <f aca="false">VLOOKUP(E147,DIM_PECA!$A$2:$F$501,5,FALSE())</f>
        <v>83.87</v>
      </c>
      <c r="R147" s="8" t="n">
        <f aca="false">H147*P147</f>
        <v>545.88</v>
      </c>
      <c r="S147" s="8" t="n">
        <f aca="false">O147*M147</f>
        <v>9238.765</v>
      </c>
      <c r="T147" s="8" t="n">
        <f aca="false">R147+S147</f>
        <v>9784.645</v>
      </c>
      <c r="U147" s="8" t="n">
        <f aca="false">T147-K147</f>
        <v>7090.215</v>
      </c>
      <c r="V147" s="8" t="n">
        <f aca="false">R147+S147-U147</f>
        <v>2694.43</v>
      </c>
      <c r="W147" s="9" t="str">
        <f aca="false">IF(ROUND(V147-K147,2)=0,"OK","ERRO")</f>
        <v>OK</v>
      </c>
      <c r="X147" s="9" t="str">
        <f aca="false">VLOOKUP(F147,DIM_SERVICO!$A$2:$D$151,3,FALSE())</f>
        <v>Motor</v>
      </c>
    </row>
    <row r="148" customFormat="false" ht="15" hidden="false" customHeight="false" outlineLevel="0" collapsed="false">
      <c r="A148" s="2" t="n">
        <v>147</v>
      </c>
      <c r="B148" s="2" t="n">
        <v>1175</v>
      </c>
      <c r="C148" s="2" t="n">
        <v>786</v>
      </c>
      <c r="D148" s="2" t="n">
        <v>282</v>
      </c>
      <c r="E148" s="2" t="n">
        <v>481</v>
      </c>
      <c r="F148" s="2" t="n">
        <v>44</v>
      </c>
      <c r="G148" s="2" t="n">
        <v>314</v>
      </c>
      <c r="H148" s="2" t="n">
        <v>1</v>
      </c>
      <c r="I148" s="3" t="n">
        <v>1150.95</v>
      </c>
      <c r="J148" s="3" t="n">
        <v>1855.21</v>
      </c>
      <c r="K148" s="3" t="n">
        <v>3842.13</v>
      </c>
      <c r="L148" s="3" t="n">
        <v>1683.91</v>
      </c>
      <c r="M148" s="2" t="n">
        <v>2.9</v>
      </c>
      <c r="N148" s="2" t="s">
        <v>27</v>
      </c>
      <c r="O148" s="4" t="n">
        <f aca="false">VLOOKUP(F148,DIM_SERVICO!$A$2:$D$151,4,FALSE())</f>
        <v>1855.21</v>
      </c>
      <c r="P148" s="4" t="n">
        <f aca="false">VLOOKUP(E148,DIM_PECA!$A$2:$F$501,6,FALSE())</f>
        <v>2189.14</v>
      </c>
      <c r="Q148" s="4" t="n">
        <f aca="false">VLOOKUP(E148,DIM_PECA!$A$2:$F$501,5,FALSE())</f>
        <v>1150.95</v>
      </c>
      <c r="R148" s="4" t="n">
        <f aca="false">H148*P148</f>
        <v>2189.14</v>
      </c>
      <c r="S148" s="4" t="n">
        <f aca="false">O148*M148</f>
        <v>5380.109</v>
      </c>
      <c r="T148" s="4" t="n">
        <f aca="false">R148+S148</f>
        <v>7569.249</v>
      </c>
      <c r="U148" s="4" t="n">
        <f aca="false">T148-K148</f>
        <v>3727.119</v>
      </c>
      <c r="V148" s="4" t="n">
        <f aca="false">R148+S148-U148</f>
        <v>3842.13</v>
      </c>
      <c r="W148" s="5" t="str">
        <f aca="false">IF(ROUND(V148-K148,2)=0,"OK","ERRO")</f>
        <v>OK</v>
      </c>
      <c r="X148" s="5" t="str">
        <f aca="false">VLOOKUP(F148,DIM_SERVICO!$A$2:$D$151,3,FALSE())</f>
        <v>Funilaria</v>
      </c>
    </row>
    <row r="149" customFormat="false" ht="15" hidden="false" customHeight="false" outlineLevel="0" collapsed="false">
      <c r="A149" s="6" t="n">
        <v>148</v>
      </c>
      <c r="B149" s="6" t="n">
        <v>963</v>
      </c>
      <c r="C149" s="6" t="n">
        <v>575</v>
      </c>
      <c r="D149" s="6" t="n">
        <v>751</v>
      </c>
      <c r="E149" s="6" t="n">
        <v>426</v>
      </c>
      <c r="F149" s="6" t="n">
        <v>66</v>
      </c>
      <c r="G149" s="6" t="n">
        <v>1386</v>
      </c>
      <c r="H149" s="6" t="n">
        <v>3</v>
      </c>
      <c r="I149" s="7" t="n">
        <v>560.31</v>
      </c>
      <c r="J149" s="7" t="n">
        <v>1805.9</v>
      </c>
      <c r="K149" s="7" t="n">
        <v>2479.43</v>
      </c>
      <c r="L149" s="7" t="n">
        <v>932.17</v>
      </c>
      <c r="M149" s="6" t="n">
        <v>7</v>
      </c>
      <c r="N149" s="6" t="s">
        <v>25</v>
      </c>
      <c r="O149" s="8" t="n">
        <f aca="false">VLOOKUP(F149,DIM_SERVICO!$A$2:$D$151,4,FALSE())</f>
        <v>1805.9</v>
      </c>
      <c r="P149" s="8" t="n">
        <f aca="false">VLOOKUP(E149,DIM_PECA!$A$2:$F$501,6,FALSE())</f>
        <v>316.34</v>
      </c>
      <c r="Q149" s="8" t="n">
        <f aca="false">VLOOKUP(E149,DIM_PECA!$A$2:$F$501,5,FALSE())</f>
        <v>186.77</v>
      </c>
      <c r="R149" s="8" t="n">
        <f aca="false">H149*P149</f>
        <v>949.02</v>
      </c>
      <c r="S149" s="8" t="n">
        <f aca="false">O149*M149</f>
        <v>12641.3</v>
      </c>
      <c r="T149" s="8" t="n">
        <f aca="false">R149+S149</f>
        <v>13590.32</v>
      </c>
      <c r="U149" s="8" t="n">
        <f aca="false">T149-K149</f>
        <v>11110.89</v>
      </c>
      <c r="V149" s="8" t="n">
        <f aca="false">R149+S149-U149</f>
        <v>2479.43</v>
      </c>
      <c r="W149" s="9" t="str">
        <f aca="false">IF(ROUND(V149-K149,2)=0,"OK","ERRO")</f>
        <v>OK</v>
      </c>
      <c r="X149" s="9" t="str">
        <f aca="false">VLOOKUP(F149,DIM_SERVICO!$A$2:$D$151,3,FALSE())</f>
        <v>Pintura</v>
      </c>
    </row>
    <row r="150" customFormat="false" ht="15" hidden="false" customHeight="false" outlineLevel="0" collapsed="false">
      <c r="A150" s="2" t="n">
        <v>149</v>
      </c>
      <c r="B150" s="2" t="n">
        <v>275</v>
      </c>
      <c r="C150" s="2" t="n">
        <v>792</v>
      </c>
      <c r="D150" s="2" t="n">
        <v>213</v>
      </c>
      <c r="E150" s="2" t="n">
        <v>108</v>
      </c>
      <c r="F150" s="2" t="n">
        <v>133</v>
      </c>
      <c r="G150" s="2" t="n">
        <v>117</v>
      </c>
      <c r="H150" s="2" t="n">
        <v>4</v>
      </c>
      <c r="I150" s="3" t="n">
        <v>4568.52</v>
      </c>
      <c r="J150" s="3" t="n">
        <v>1635.43</v>
      </c>
      <c r="K150" s="3" t="n">
        <v>11051.99</v>
      </c>
      <c r="L150" s="3" t="n">
        <v>5728.23</v>
      </c>
      <c r="M150" s="2" t="n">
        <v>1</v>
      </c>
      <c r="N150" s="2" t="s">
        <v>24</v>
      </c>
      <c r="O150" s="4" t="n">
        <f aca="false">VLOOKUP(F150,DIM_SERVICO!$A$2:$D$151,4,FALSE())</f>
        <v>1635.43</v>
      </c>
      <c r="P150" s="4" t="n">
        <f aca="false">VLOOKUP(E150,DIM_PECA!$A$2:$F$501,6,FALSE())</f>
        <v>2354.14</v>
      </c>
      <c r="Q150" s="4" t="n">
        <f aca="false">VLOOKUP(E150,DIM_PECA!$A$2:$F$501,5,FALSE())</f>
        <v>1142.13</v>
      </c>
      <c r="R150" s="4" t="n">
        <f aca="false">H150*P150</f>
        <v>9416.56</v>
      </c>
      <c r="S150" s="4" t="n">
        <f aca="false">O150*M150</f>
        <v>1635.43</v>
      </c>
      <c r="T150" s="4" t="n">
        <f aca="false">R150+S150</f>
        <v>11051.99</v>
      </c>
      <c r="U150" s="4" t="n">
        <f aca="false">T150-K150</f>
        <v>0</v>
      </c>
      <c r="V150" s="4" t="n">
        <f aca="false">R150+S150-U150</f>
        <v>11051.99</v>
      </c>
      <c r="W150" s="5" t="str">
        <f aca="false">IF(ROUND(V150-K150,2)=0,"OK","ERRO")</f>
        <v>OK</v>
      </c>
      <c r="X150" s="5" t="str">
        <f aca="false">VLOOKUP(F150,DIM_SERVICO!$A$2:$D$151,3,FALSE())</f>
        <v>Suspensão</v>
      </c>
    </row>
    <row r="151" customFormat="false" ht="15" hidden="false" customHeight="false" outlineLevel="0" collapsed="false">
      <c r="A151" s="6" t="n">
        <v>150</v>
      </c>
      <c r="B151" s="6" t="n">
        <v>1045</v>
      </c>
      <c r="C151" s="6" t="n">
        <v>1493</v>
      </c>
      <c r="D151" s="6" t="n">
        <v>789</v>
      </c>
      <c r="E151" s="6" t="n">
        <v>292</v>
      </c>
      <c r="F151" s="6" t="n">
        <v>52</v>
      </c>
      <c r="G151" s="6" t="n">
        <v>1240</v>
      </c>
      <c r="H151" s="6" t="n">
        <v>3</v>
      </c>
      <c r="I151" s="7" t="n">
        <v>3212.67</v>
      </c>
      <c r="J151" s="7" t="n">
        <v>188.62</v>
      </c>
      <c r="K151" s="7" t="n">
        <v>6140.2</v>
      </c>
      <c r="L151" s="7" t="n">
        <v>2858.71</v>
      </c>
      <c r="M151" s="6" t="n">
        <v>8.1</v>
      </c>
      <c r="N151" s="6" t="s">
        <v>24</v>
      </c>
      <c r="O151" s="8" t="n">
        <f aca="false">VLOOKUP(F151,DIM_SERVICO!$A$2:$D$151,4,FALSE())</f>
        <v>188.62</v>
      </c>
      <c r="P151" s="8" t="n">
        <f aca="false">VLOOKUP(E151,DIM_PECA!$A$2:$F$501,6,FALSE())</f>
        <v>1983.86</v>
      </c>
      <c r="Q151" s="8" t="n">
        <f aca="false">VLOOKUP(E151,DIM_PECA!$A$2:$F$501,5,FALSE())</f>
        <v>1070.89</v>
      </c>
      <c r="R151" s="8" t="n">
        <f aca="false">H151*P151</f>
        <v>5951.58</v>
      </c>
      <c r="S151" s="8" t="n">
        <f aca="false">O151*M151</f>
        <v>1527.822</v>
      </c>
      <c r="T151" s="8" t="n">
        <f aca="false">R151+S151</f>
        <v>7479.402</v>
      </c>
      <c r="U151" s="8" t="n">
        <f aca="false">T151-K151</f>
        <v>1339.202</v>
      </c>
      <c r="V151" s="8" t="n">
        <f aca="false">R151+S151-U151</f>
        <v>6140.2</v>
      </c>
      <c r="W151" s="9" t="str">
        <f aca="false">IF(ROUND(V151-K151,2)=0,"OK","ERRO")</f>
        <v>OK</v>
      </c>
      <c r="X151" s="9" t="str">
        <f aca="false">VLOOKUP(F151,DIM_SERVICO!$A$2:$D$151,3,FALSE())</f>
        <v>Funilaria</v>
      </c>
    </row>
    <row r="152" customFormat="false" ht="15" hidden="false" customHeight="false" outlineLevel="0" collapsed="false">
      <c r="A152" s="2" t="n">
        <v>151</v>
      </c>
      <c r="B152" s="2" t="n">
        <v>47</v>
      </c>
      <c r="C152" s="2" t="n">
        <v>1084</v>
      </c>
      <c r="D152" s="2" t="n">
        <v>371</v>
      </c>
      <c r="E152" s="2" t="n">
        <v>266</v>
      </c>
      <c r="F152" s="2" t="n">
        <v>39</v>
      </c>
      <c r="G152" s="2" t="n">
        <v>1263</v>
      </c>
      <c r="H152" s="2" t="n">
        <v>2</v>
      </c>
      <c r="I152" s="3" t="n">
        <v>1966.34</v>
      </c>
      <c r="J152" s="3" t="n">
        <v>1270.92</v>
      </c>
      <c r="K152" s="3" t="n">
        <v>4188.08</v>
      </c>
      <c r="L152" s="3" t="n">
        <v>1680.04</v>
      </c>
      <c r="M152" s="2" t="n">
        <v>6.4</v>
      </c>
      <c r="N152" s="2" t="s">
        <v>25</v>
      </c>
      <c r="O152" s="4" t="n">
        <f aca="false">VLOOKUP(F152,DIM_SERVICO!$A$2:$D$151,4,FALSE())</f>
        <v>1270.92</v>
      </c>
      <c r="P152" s="4" t="n">
        <f aca="false">VLOOKUP(E152,DIM_PECA!$A$2:$F$501,6,FALSE())</f>
        <v>1458.58</v>
      </c>
      <c r="Q152" s="4" t="n">
        <f aca="false">VLOOKUP(E152,DIM_PECA!$A$2:$F$501,5,FALSE())</f>
        <v>983.17</v>
      </c>
      <c r="R152" s="4" t="n">
        <f aca="false">H152*P152</f>
        <v>2917.16</v>
      </c>
      <c r="S152" s="4" t="n">
        <f aca="false">O152*M152</f>
        <v>8133.888</v>
      </c>
      <c r="T152" s="4" t="n">
        <f aca="false">R152+S152</f>
        <v>11051.048</v>
      </c>
      <c r="U152" s="4" t="n">
        <f aca="false">T152-K152</f>
        <v>6862.968</v>
      </c>
      <c r="V152" s="4" t="n">
        <f aca="false">R152+S152-U152</f>
        <v>4188.08</v>
      </c>
      <c r="W152" s="5" t="str">
        <f aca="false">IF(ROUND(V152-K152,2)=0,"OK","ERRO")</f>
        <v>OK</v>
      </c>
      <c r="X152" s="5" t="str">
        <f aca="false">VLOOKUP(F152,DIM_SERVICO!$A$2:$D$151,3,FALSE())</f>
        <v>Suspensão</v>
      </c>
    </row>
    <row r="153" customFormat="false" ht="15" hidden="false" customHeight="false" outlineLevel="0" collapsed="false">
      <c r="A153" s="6" t="n">
        <v>152</v>
      </c>
      <c r="B153" s="6" t="n">
        <v>25</v>
      </c>
      <c r="C153" s="6" t="n">
        <v>1497</v>
      </c>
      <c r="D153" s="6" t="n">
        <v>698</v>
      </c>
      <c r="E153" s="6" t="n">
        <v>8</v>
      </c>
      <c r="F153" s="6" t="n">
        <v>79</v>
      </c>
      <c r="G153" s="6" t="n">
        <v>1422</v>
      </c>
      <c r="H153" s="6" t="n">
        <v>2</v>
      </c>
      <c r="I153" s="7" t="n">
        <v>1157.06</v>
      </c>
      <c r="J153" s="7" t="n">
        <v>748.05</v>
      </c>
      <c r="K153" s="7" t="n">
        <v>2870.29</v>
      </c>
      <c r="L153" s="7" t="n">
        <v>1375.58</v>
      </c>
      <c r="M153" s="6" t="n">
        <v>6.2</v>
      </c>
      <c r="N153" s="6" t="s">
        <v>27</v>
      </c>
      <c r="O153" s="8" t="n">
        <f aca="false">VLOOKUP(F153,DIM_SERVICO!$A$2:$D$151,4,FALSE())</f>
        <v>748.05</v>
      </c>
      <c r="P153" s="8" t="n">
        <f aca="false">VLOOKUP(E153,DIM_PECA!$A$2:$F$501,6,FALSE())</f>
        <v>1090.41</v>
      </c>
      <c r="Q153" s="8" t="n">
        <f aca="false">VLOOKUP(E153,DIM_PECA!$A$2:$F$501,5,FALSE())</f>
        <v>578.53</v>
      </c>
      <c r="R153" s="8" t="n">
        <f aca="false">H153*P153</f>
        <v>2180.82</v>
      </c>
      <c r="S153" s="8" t="n">
        <f aca="false">O153*M153</f>
        <v>4637.91</v>
      </c>
      <c r="T153" s="8" t="n">
        <f aca="false">R153+S153</f>
        <v>6818.73</v>
      </c>
      <c r="U153" s="8" t="n">
        <f aca="false">T153-K153</f>
        <v>3948.44</v>
      </c>
      <c r="V153" s="8" t="n">
        <f aca="false">R153+S153-U153</f>
        <v>2870.29</v>
      </c>
      <c r="W153" s="9" t="str">
        <f aca="false">IF(ROUND(V153-K153,2)=0,"OK","ERRO")</f>
        <v>OK</v>
      </c>
      <c r="X153" s="9" t="str">
        <f aca="false">VLOOKUP(F153,DIM_SERVICO!$A$2:$D$151,3,FALSE())</f>
        <v>Freios</v>
      </c>
    </row>
    <row r="154" customFormat="false" ht="15" hidden="false" customHeight="false" outlineLevel="0" collapsed="false">
      <c r="A154" s="2" t="n">
        <v>153</v>
      </c>
      <c r="B154" s="2" t="n">
        <v>753</v>
      </c>
      <c r="C154" s="2" t="n">
        <v>217</v>
      </c>
      <c r="D154" s="2" t="n">
        <v>107</v>
      </c>
      <c r="E154" s="2" t="n">
        <v>126</v>
      </c>
      <c r="F154" s="2" t="n">
        <v>108</v>
      </c>
      <c r="G154" s="2" t="n">
        <v>1334</v>
      </c>
      <c r="H154" s="2" t="n">
        <v>2</v>
      </c>
      <c r="I154" s="3" t="n">
        <v>1585.02</v>
      </c>
      <c r="J154" s="3" t="n">
        <v>1178.47</v>
      </c>
      <c r="K154" s="3" t="n">
        <v>3540.83</v>
      </c>
      <c r="L154" s="3" t="n">
        <v>1540.41</v>
      </c>
      <c r="M154" s="2" t="n">
        <v>7.4</v>
      </c>
      <c r="N154" s="2" t="s">
        <v>24</v>
      </c>
      <c r="O154" s="4" t="n">
        <f aca="false">VLOOKUP(F154,DIM_SERVICO!$A$2:$D$151,4,FALSE())</f>
        <v>1178.47</v>
      </c>
      <c r="P154" s="4" t="n">
        <f aca="false">VLOOKUP(E154,DIM_PECA!$A$2:$F$501,6,FALSE())</f>
        <v>1335.13</v>
      </c>
      <c r="Q154" s="4" t="n">
        <f aca="false">VLOOKUP(E154,DIM_PECA!$A$2:$F$501,5,FALSE())</f>
        <v>792.51</v>
      </c>
      <c r="R154" s="4" t="n">
        <f aca="false">H154*P154</f>
        <v>2670.26</v>
      </c>
      <c r="S154" s="4" t="n">
        <f aca="false">O154*M154</f>
        <v>8720.678</v>
      </c>
      <c r="T154" s="4" t="n">
        <f aca="false">R154+S154</f>
        <v>11390.938</v>
      </c>
      <c r="U154" s="4" t="n">
        <f aca="false">T154-K154</f>
        <v>7850.108</v>
      </c>
      <c r="V154" s="4" t="n">
        <f aca="false">R154+S154-U154</f>
        <v>3540.83</v>
      </c>
      <c r="W154" s="5" t="str">
        <f aca="false">IF(ROUND(V154-K154,2)=0,"OK","ERRO")</f>
        <v>OK</v>
      </c>
      <c r="X154" s="5" t="str">
        <f aca="false">VLOOKUP(F154,DIM_SERVICO!$A$2:$D$151,3,FALSE())</f>
        <v>Funilaria</v>
      </c>
    </row>
    <row r="155" customFormat="false" ht="15" hidden="false" customHeight="false" outlineLevel="0" collapsed="false">
      <c r="A155" s="6" t="n">
        <v>154</v>
      </c>
      <c r="B155" s="6" t="n">
        <v>1052</v>
      </c>
      <c r="C155" s="6" t="n">
        <v>1334</v>
      </c>
      <c r="D155" s="6" t="n">
        <v>1165</v>
      </c>
      <c r="E155" s="6" t="n">
        <v>387</v>
      </c>
      <c r="F155" s="6" t="n">
        <v>107</v>
      </c>
      <c r="G155" s="6" t="n">
        <v>361</v>
      </c>
      <c r="H155" s="6" t="n">
        <v>3</v>
      </c>
      <c r="I155" s="7" t="n">
        <v>3426.12</v>
      </c>
      <c r="J155" s="7" t="n">
        <v>550.68</v>
      </c>
      <c r="K155" s="7" t="n">
        <v>5724.93</v>
      </c>
      <c r="L155" s="7" t="n">
        <v>2102.27</v>
      </c>
      <c r="M155" s="6" t="n">
        <v>4.9</v>
      </c>
      <c r="N155" s="6" t="s">
        <v>25</v>
      </c>
      <c r="O155" s="8" t="n">
        <f aca="false">VLOOKUP(F155,DIM_SERVICO!$A$2:$D$151,4,FALSE())</f>
        <v>550.68</v>
      </c>
      <c r="P155" s="8" t="n">
        <f aca="false">VLOOKUP(E155,DIM_PECA!$A$2:$F$501,6,FALSE())</f>
        <v>1890.69</v>
      </c>
      <c r="Q155" s="8" t="n">
        <f aca="false">VLOOKUP(E155,DIM_PECA!$A$2:$F$501,5,FALSE())</f>
        <v>1142.04</v>
      </c>
      <c r="R155" s="8" t="n">
        <f aca="false">H155*P155</f>
        <v>5672.07</v>
      </c>
      <c r="S155" s="8" t="n">
        <f aca="false">O155*M155</f>
        <v>2698.332</v>
      </c>
      <c r="T155" s="8" t="n">
        <f aca="false">R155+S155</f>
        <v>8370.402</v>
      </c>
      <c r="U155" s="8" t="n">
        <f aca="false">T155-K155</f>
        <v>2645.472</v>
      </c>
      <c r="V155" s="8" t="n">
        <f aca="false">R155+S155-U155</f>
        <v>5724.93</v>
      </c>
      <c r="W155" s="9" t="str">
        <f aca="false">IF(ROUND(V155-K155,2)=0,"OK","ERRO")</f>
        <v>OK</v>
      </c>
      <c r="X155" s="9" t="str">
        <f aca="false">VLOOKUP(F155,DIM_SERVICO!$A$2:$D$151,3,FALSE())</f>
        <v>Diagnóstico</v>
      </c>
    </row>
    <row r="156" customFormat="false" ht="15" hidden="false" customHeight="false" outlineLevel="0" collapsed="false">
      <c r="A156" s="2" t="n">
        <v>155</v>
      </c>
      <c r="B156" s="2" t="n">
        <v>680</v>
      </c>
      <c r="C156" s="2" t="n">
        <v>615</v>
      </c>
      <c r="D156" s="2" t="n">
        <v>132</v>
      </c>
      <c r="E156" s="2" t="n">
        <v>72</v>
      </c>
      <c r="F156" s="2" t="n">
        <v>55</v>
      </c>
      <c r="G156" s="2" t="n">
        <v>654</v>
      </c>
      <c r="H156" s="2" t="n">
        <v>2</v>
      </c>
      <c r="I156" s="3" t="n">
        <v>1865.78</v>
      </c>
      <c r="J156" s="3" t="n">
        <v>176.18</v>
      </c>
      <c r="K156" s="3" t="n">
        <v>3539.47</v>
      </c>
      <c r="L156" s="3" t="n">
        <v>1593.4</v>
      </c>
      <c r="M156" s="2" t="n">
        <v>7.2</v>
      </c>
      <c r="N156" s="2" t="s">
        <v>25</v>
      </c>
      <c r="O156" s="4" t="n">
        <f aca="false">VLOOKUP(F156,DIM_SERVICO!$A$2:$D$151,4,FALSE())</f>
        <v>176.18</v>
      </c>
      <c r="P156" s="4" t="n">
        <f aca="false">VLOOKUP(E156,DIM_PECA!$A$2:$F$501,6,FALSE())</f>
        <v>1774.79</v>
      </c>
      <c r="Q156" s="4" t="n">
        <f aca="false">VLOOKUP(E156,DIM_PECA!$A$2:$F$501,5,FALSE())</f>
        <v>932.89</v>
      </c>
      <c r="R156" s="4" t="n">
        <f aca="false">H156*P156</f>
        <v>3549.58</v>
      </c>
      <c r="S156" s="4" t="n">
        <f aca="false">O156*M156</f>
        <v>1268.496</v>
      </c>
      <c r="T156" s="4" t="n">
        <f aca="false">R156+S156</f>
        <v>4818.076</v>
      </c>
      <c r="U156" s="4" t="n">
        <f aca="false">T156-K156</f>
        <v>1278.606</v>
      </c>
      <c r="V156" s="4" t="n">
        <f aca="false">R156+S156-U156</f>
        <v>3539.47</v>
      </c>
      <c r="W156" s="5" t="str">
        <f aca="false">IF(ROUND(V156-K156,2)=0,"OK","ERRO")</f>
        <v>OK</v>
      </c>
      <c r="X156" s="5" t="str">
        <f aca="false">VLOOKUP(F156,DIM_SERVICO!$A$2:$D$151,3,FALSE())</f>
        <v>Motor</v>
      </c>
    </row>
    <row r="157" customFormat="false" ht="15" hidden="false" customHeight="false" outlineLevel="0" collapsed="false">
      <c r="A157" s="6" t="n">
        <v>156</v>
      </c>
      <c r="B157" s="6" t="n">
        <v>1484</v>
      </c>
      <c r="C157" s="6" t="n">
        <v>4</v>
      </c>
      <c r="D157" s="6" t="n">
        <v>985</v>
      </c>
      <c r="E157" s="6" t="n">
        <v>456</v>
      </c>
      <c r="F157" s="6" t="n">
        <v>132</v>
      </c>
      <c r="G157" s="6" t="n">
        <v>1556</v>
      </c>
      <c r="H157" s="6" t="n">
        <v>4</v>
      </c>
      <c r="I157" s="7" t="n">
        <v>3321.68</v>
      </c>
      <c r="J157" s="7" t="n">
        <v>746.69</v>
      </c>
      <c r="K157" s="7" t="n">
        <v>6982.93</v>
      </c>
      <c r="L157" s="7" t="n">
        <v>3395.27</v>
      </c>
      <c r="M157" s="6" t="n">
        <v>1.6</v>
      </c>
      <c r="N157" s="6" t="s">
        <v>24</v>
      </c>
      <c r="O157" s="8" t="n">
        <f aca="false">VLOOKUP(F157,DIM_SERVICO!$A$2:$D$151,4,FALSE())</f>
        <v>746.69</v>
      </c>
      <c r="P157" s="8" t="n">
        <f aca="false">VLOOKUP(E157,DIM_PECA!$A$2:$F$501,6,FALSE())</f>
        <v>1753.03</v>
      </c>
      <c r="Q157" s="8" t="n">
        <f aca="false">VLOOKUP(E157,DIM_PECA!$A$2:$F$501,5,FALSE())</f>
        <v>830.42</v>
      </c>
      <c r="R157" s="8" t="n">
        <f aca="false">H157*P157</f>
        <v>7012.12</v>
      </c>
      <c r="S157" s="8" t="n">
        <f aca="false">O157*M157</f>
        <v>1194.704</v>
      </c>
      <c r="T157" s="8" t="n">
        <f aca="false">R157+S157</f>
        <v>8206.824</v>
      </c>
      <c r="U157" s="8" t="n">
        <f aca="false">T157-K157</f>
        <v>1223.894</v>
      </c>
      <c r="V157" s="8" t="n">
        <f aca="false">R157+S157-U157</f>
        <v>6982.93</v>
      </c>
      <c r="W157" s="9" t="str">
        <f aca="false">IF(ROUND(V157-K157,2)=0,"OK","ERRO")</f>
        <v>OK</v>
      </c>
      <c r="X157" s="9" t="str">
        <f aca="false">VLOOKUP(F157,DIM_SERVICO!$A$2:$D$151,3,FALSE())</f>
        <v>Motor</v>
      </c>
    </row>
    <row r="158" customFormat="false" ht="15" hidden="false" customHeight="false" outlineLevel="0" collapsed="false">
      <c r="A158" s="2" t="n">
        <v>157</v>
      </c>
      <c r="B158" s="2" t="n">
        <v>472</v>
      </c>
      <c r="C158" s="2" t="n">
        <v>8</v>
      </c>
      <c r="D158" s="2" t="n">
        <v>835</v>
      </c>
      <c r="E158" s="2" t="n">
        <v>51</v>
      </c>
      <c r="F158" s="2" t="n">
        <v>73</v>
      </c>
      <c r="G158" s="2" t="n">
        <v>1221</v>
      </c>
      <c r="H158" s="2" t="n">
        <v>2</v>
      </c>
      <c r="I158" s="3" t="n">
        <v>1943.1</v>
      </c>
      <c r="J158" s="3" t="n">
        <v>2131.99</v>
      </c>
      <c r="K158" s="3" t="n">
        <v>4945.69</v>
      </c>
      <c r="L158" s="3" t="n">
        <v>1956.21</v>
      </c>
      <c r="M158" s="2" t="n">
        <v>3.3</v>
      </c>
      <c r="N158" s="2" t="s">
        <v>24</v>
      </c>
      <c r="O158" s="4" t="n">
        <f aca="false">VLOOKUP(F158,DIM_SERVICO!$A$2:$D$151,4,FALSE())</f>
        <v>2131.99</v>
      </c>
      <c r="P158" s="4" t="n">
        <f aca="false">VLOOKUP(E158,DIM_PECA!$A$2:$F$501,6,FALSE())</f>
        <v>1406.85</v>
      </c>
      <c r="Q158" s="4" t="n">
        <f aca="false">VLOOKUP(E158,DIM_PECA!$A$2:$F$501,5,FALSE())</f>
        <v>971.55</v>
      </c>
      <c r="R158" s="4" t="n">
        <f aca="false">H158*P158</f>
        <v>2813.7</v>
      </c>
      <c r="S158" s="4" t="n">
        <f aca="false">O158*M158</f>
        <v>7035.567</v>
      </c>
      <c r="T158" s="4" t="n">
        <f aca="false">R158+S158</f>
        <v>9849.267</v>
      </c>
      <c r="U158" s="4" t="n">
        <f aca="false">T158-K158</f>
        <v>4903.577</v>
      </c>
      <c r="V158" s="4" t="n">
        <f aca="false">R158+S158-U158</f>
        <v>4945.69</v>
      </c>
      <c r="W158" s="5" t="str">
        <f aca="false">IF(ROUND(V158-K158,2)=0,"OK","ERRO")</f>
        <v>OK</v>
      </c>
      <c r="X158" s="5" t="str">
        <f aca="false">VLOOKUP(F158,DIM_SERVICO!$A$2:$D$151,3,FALSE())</f>
        <v>Suspensão</v>
      </c>
    </row>
    <row r="159" customFormat="false" ht="15" hidden="false" customHeight="false" outlineLevel="0" collapsed="false">
      <c r="A159" s="6" t="n">
        <v>158</v>
      </c>
      <c r="B159" s="6" t="n">
        <v>717</v>
      </c>
      <c r="C159" s="6" t="n">
        <v>848</v>
      </c>
      <c r="D159" s="6" t="n">
        <v>918</v>
      </c>
      <c r="E159" s="6" t="n">
        <v>16</v>
      </c>
      <c r="F159" s="6" t="n">
        <v>130</v>
      </c>
      <c r="G159" s="6" t="n">
        <v>1332</v>
      </c>
      <c r="H159" s="6" t="n">
        <v>3</v>
      </c>
      <c r="I159" s="7" t="n">
        <v>1622.7</v>
      </c>
      <c r="J159" s="7" t="n">
        <v>170.79</v>
      </c>
      <c r="K159" s="7" t="n">
        <v>2433.1</v>
      </c>
      <c r="L159" s="7" t="n">
        <v>728</v>
      </c>
      <c r="M159" s="6" t="n">
        <v>3.5</v>
      </c>
      <c r="N159" s="6" t="s">
        <v>24</v>
      </c>
      <c r="O159" s="8" t="n">
        <f aca="false">VLOOKUP(F159,DIM_SERVICO!$A$2:$D$151,4,FALSE())</f>
        <v>170.79</v>
      </c>
      <c r="P159" s="8" t="n">
        <f aca="false">VLOOKUP(E159,DIM_PECA!$A$2:$F$501,6,FALSE())</f>
        <v>796.79</v>
      </c>
      <c r="Q159" s="8" t="n">
        <f aca="false">VLOOKUP(E159,DIM_PECA!$A$2:$F$501,5,FALSE())</f>
        <v>540.9</v>
      </c>
      <c r="R159" s="8" t="n">
        <f aca="false">H159*P159</f>
        <v>2390.37</v>
      </c>
      <c r="S159" s="8" t="n">
        <f aca="false">O159*M159</f>
        <v>597.765</v>
      </c>
      <c r="T159" s="8" t="n">
        <f aca="false">R159+S159</f>
        <v>2988.135</v>
      </c>
      <c r="U159" s="8" t="n">
        <f aca="false">T159-K159</f>
        <v>555.035</v>
      </c>
      <c r="V159" s="8" t="n">
        <f aca="false">R159+S159-U159</f>
        <v>2433.1</v>
      </c>
      <c r="W159" s="9" t="str">
        <f aca="false">IF(ROUND(V159-K159,2)=0,"OK","ERRO")</f>
        <v>OK</v>
      </c>
      <c r="X159" s="9" t="str">
        <f aca="false">VLOOKUP(F159,DIM_SERVICO!$A$2:$D$151,3,FALSE())</f>
        <v>Pintura</v>
      </c>
    </row>
    <row r="160" customFormat="false" ht="15" hidden="false" customHeight="false" outlineLevel="0" collapsed="false">
      <c r="A160" s="2" t="n">
        <v>159</v>
      </c>
      <c r="B160" s="2" t="n">
        <v>1484</v>
      </c>
      <c r="C160" s="2" t="n">
        <v>558</v>
      </c>
      <c r="D160" s="2" t="n">
        <v>390</v>
      </c>
      <c r="E160" s="2" t="n">
        <v>411</v>
      </c>
      <c r="F160" s="2" t="n">
        <v>125</v>
      </c>
      <c r="G160" s="2" t="n">
        <v>276</v>
      </c>
      <c r="H160" s="2" t="n">
        <v>1</v>
      </c>
      <c r="I160" s="3" t="n">
        <v>192.36</v>
      </c>
      <c r="J160" s="3" t="n">
        <v>988.93</v>
      </c>
      <c r="K160" s="3" t="n">
        <v>1193.24</v>
      </c>
      <c r="L160" s="3" t="n">
        <v>615.51</v>
      </c>
      <c r="M160" s="2" t="n">
        <v>10.4</v>
      </c>
      <c r="N160" s="2" t="s">
        <v>24</v>
      </c>
      <c r="O160" s="4" t="n">
        <f aca="false">VLOOKUP(F160,DIM_SERVICO!$A$2:$D$151,4,FALSE())</f>
        <v>988.93</v>
      </c>
      <c r="P160" s="4" t="n">
        <f aca="false">VLOOKUP(E160,DIM_PECA!$A$2:$F$501,6,FALSE())</f>
        <v>336.89</v>
      </c>
      <c r="Q160" s="4" t="n">
        <f aca="false">VLOOKUP(E160,DIM_PECA!$A$2:$F$501,5,FALSE())</f>
        <v>192.36</v>
      </c>
      <c r="R160" s="4" t="n">
        <f aca="false">H160*P160</f>
        <v>336.89</v>
      </c>
      <c r="S160" s="4" t="n">
        <f aca="false">O160*M160</f>
        <v>10284.872</v>
      </c>
      <c r="T160" s="4" t="n">
        <f aca="false">R160+S160</f>
        <v>10621.762</v>
      </c>
      <c r="U160" s="4" t="n">
        <f aca="false">T160-K160</f>
        <v>9428.522</v>
      </c>
      <c r="V160" s="4" t="n">
        <f aca="false">R160+S160-U160</f>
        <v>1193.24</v>
      </c>
      <c r="W160" s="5" t="str">
        <f aca="false">IF(ROUND(V160-K160,2)=0,"OK","ERRO")</f>
        <v>OK</v>
      </c>
      <c r="X160" s="5" t="str">
        <f aca="false">VLOOKUP(F160,DIM_SERVICO!$A$2:$D$151,3,FALSE())</f>
        <v>Suspensão</v>
      </c>
    </row>
    <row r="161" customFormat="false" ht="15" hidden="false" customHeight="false" outlineLevel="0" collapsed="false">
      <c r="A161" s="6" t="n">
        <v>160</v>
      </c>
      <c r="B161" s="6" t="n">
        <v>397</v>
      </c>
      <c r="C161" s="6" t="n">
        <v>1463</v>
      </c>
      <c r="D161" s="6" t="n">
        <v>889</v>
      </c>
      <c r="E161" s="6" t="n">
        <v>254</v>
      </c>
      <c r="F161" s="6" t="n">
        <v>107</v>
      </c>
      <c r="G161" s="6" t="n">
        <v>436</v>
      </c>
      <c r="H161" s="6" t="n">
        <v>2</v>
      </c>
      <c r="I161" s="7" t="n">
        <v>124.5</v>
      </c>
      <c r="J161" s="7" t="n">
        <v>550.68</v>
      </c>
      <c r="K161" s="7" t="n">
        <v>738.54</v>
      </c>
      <c r="L161" s="7" t="n">
        <v>317.47</v>
      </c>
      <c r="M161" s="6" t="n">
        <v>7.3</v>
      </c>
      <c r="N161" s="6" t="s">
        <v>27</v>
      </c>
      <c r="O161" s="8" t="n">
        <f aca="false">VLOOKUP(F161,DIM_SERVICO!$A$2:$D$151,4,FALSE())</f>
        <v>550.68</v>
      </c>
      <c r="P161" s="8" t="n">
        <f aca="false">VLOOKUP(E161,DIM_PECA!$A$2:$F$501,6,FALSE())</f>
        <v>134.96</v>
      </c>
      <c r="Q161" s="8" t="n">
        <f aca="false">VLOOKUP(E161,DIM_PECA!$A$2:$F$501,5,FALSE())</f>
        <v>62.25</v>
      </c>
      <c r="R161" s="8" t="n">
        <f aca="false">H161*P161</f>
        <v>269.92</v>
      </c>
      <c r="S161" s="8" t="n">
        <f aca="false">O161*M161</f>
        <v>4019.964</v>
      </c>
      <c r="T161" s="8" t="n">
        <f aca="false">R161+S161</f>
        <v>4289.884</v>
      </c>
      <c r="U161" s="8" t="n">
        <f aca="false">T161-K161</f>
        <v>3551.344</v>
      </c>
      <c r="V161" s="8" t="n">
        <f aca="false">R161+S161-U161</f>
        <v>738.54</v>
      </c>
      <c r="W161" s="9" t="str">
        <f aca="false">IF(ROUND(V161-K161,2)=0,"OK","ERRO")</f>
        <v>OK</v>
      </c>
      <c r="X161" s="9" t="str">
        <f aca="false">VLOOKUP(F161,DIM_SERVICO!$A$2:$D$151,3,FALSE())</f>
        <v>Diagnóstico</v>
      </c>
    </row>
    <row r="162" customFormat="false" ht="15" hidden="false" customHeight="false" outlineLevel="0" collapsed="false">
      <c r="A162" s="2" t="n">
        <v>161</v>
      </c>
      <c r="B162" s="2" t="n">
        <v>212</v>
      </c>
      <c r="C162" s="2" t="n">
        <v>1401</v>
      </c>
      <c r="D162" s="2" t="n">
        <v>905</v>
      </c>
      <c r="E162" s="2" t="n">
        <v>29</v>
      </c>
      <c r="F162" s="2" t="n">
        <v>78</v>
      </c>
      <c r="G162" s="2" t="n">
        <v>478</v>
      </c>
      <c r="H162" s="2" t="n">
        <v>3</v>
      </c>
      <c r="I162" s="3" t="n">
        <v>419.7</v>
      </c>
      <c r="J162" s="3" t="n">
        <v>1647.18</v>
      </c>
      <c r="K162" s="3" t="n">
        <v>2057.61</v>
      </c>
      <c r="L162" s="3" t="n">
        <v>982.1</v>
      </c>
      <c r="M162" s="2" t="n">
        <v>7.3</v>
      </c>
      <c r="N162" s="2" t="s">
        <v>26</v>
      </c>
      <c r="O162" s="4" t="n">
        <f aca="false">VLOOKUP(F162,DIM_SERVICO!$A$2:$D$151,4,FALSE())</f>
        <v>1647.18</v>
      </c>
      <c r="P162" s="4" t="n">
        <f aca="false">VLOOKUP(E162,DIM_PECA!$A$2:$F$501,6,FALSE())</f>
        <v>196.45</v>
      </c>
      <c r="Q162" s="4" t="n">
        <f aca="false">VLOOKUP(E162,DIM_PECA!$A$2:$F$501,5,FALSE())</f>
        <v>139.9</v>
      </c>
      <c r="R162" s="4" t="n">
        <f aca="false">H162*P162</f>
        <v>589.35</v>
      </c>
      <c r="S162" s="4" t="n">
        <f aca="false">O162*M162</f>
        <v>12024.414</v>
      </c>
      <c r="T162" s="4" t="n">
        <f aca="false">R162+S162</f>
        <v>12613.764</v>
      </c>
      <c r="U162" s="4" t="n">
        <f aca="false">T162-K162</f>
        <v>10556.154</v>
      </c>
      <c r="V162" s="4" t="n">
        <f aca="false">R162+S162-U162</f>
        <v>2057.61</v>
      </c>
      <c r="W162" s="5" t="str">
        <f aca="false">IF(ROUND(V162-K162,2)=0,"OK","ERRO")</f>
        <v>OK</v>
      </c>
      <c r="X162" s="5" t="str">
        <f aca="false">VLOOKUP(F162,DIM_SERVICO!$A$2:$D$151,3,FALSE())</f>
        <v>Suspensão</v>
      </c>
    </row>
    <row r="163" customFormat="false" ht="15" hidden="false" customHeight="false" outlineLevel="0" collapsed="false">
      <c r="A163" s="6" t="n">
        <v>162</v>
      </c>
      <c r="B163" s="6" t="n">
        <v>1362</v>
      </c>
      <c r="C163" s="6" t="n">
        <v>961</v>
      </c>
      <c r="D163" s="6" t="n">
        <v>1024</v>
      </c>
      <c r="E163" s="6" t="n">
        <v>496</v>
      </c>
      <c r="F163" s="6" t="n">
        <v>125</v>
      </c>
      <c r="G163" s="6" t="n">
        <v>675</v>
      </c>
      <c r="H163" s="6" t="n">
        <v>4</v>
      </c>
      <c r="I163" s="7" t="n">
        <v>2688.08</v>
      </c>
      <c r="J163" s="7" t="n">
        <v>988.93</v>
      </c>
      <c r="K163" s="7" t="n">
        <v>4913.49</v>
      </c>
      <c r="L163" s="7" t="n">
        <v>1737.68</v>
      </c>
      <c r="M163" s="6" t="n">
        <v>2.5</v>
      </c>
      <c r="N163" s="6" t="s">
        <v>24</v>
      </c>
      <c r="O163" s="8" t="n">
        <f aca="false">VLOOKUP(F163,DIM_SERVICO!$A$2:$D$151,4,FALSE())</f>
        <v>988.93</v>
      </c>
      <c r="P163" s="8" t="n">
        <f aca="false">VLOOKUP(E163,DIM_PECA!$A$2:$F$501,6,FALSE())</f>
        <v>1045.79</v>
      </c>
      <c r="Q163" s="8" t="n">
        <f aca="false">VLOOKUP(E163,DIM_PECA!$A$2:$F$501,5,FALSE())</f>
        <v>672.02</v>
      </c>
      <c r="R163" s="8" t="n">
        <f aca="false">H163*P163</f>
        <v>4183.16</v>
      </c>
      <c r="S163" s="8" t="n">
        <f aca="false">O163*M163</f>
        <v>2472.325</v>
      </c>
      <c r="T163" s="8" t="n">
        <f aca="false">R163+S163</f>
        <v>6655.485</v>
      </c>
      <c r="U163" s="8" t="n">
        <f aca="false">T163-K163</f>
        <v>1741.995</v>
      </c>
      <c r="V163" s="8" t="n">
        <f aca="false">R163+S163-U163</f>
        <v>4913.49</v>
      </c>
      <c r="W163" s="9" t="str">
        <f aca="false">IF(ROUND(V163-K163,2)=0,"OK","ERRO")</f>
        <v>OK</v>
      </c>
      <c r="X163" s="9" t="str">
        <f aca="false">VLOOKUP(F163,DIM_SERVICO!$A$2:$D$151,3,FALSE())</f>
        <v>Suspensão</v>
      </c>
    </row>
    <row r="164" customFormat="false" ht="15" hidden="false" customHeight="false" outlineLevel="0" collapsed="false">
      <c r="A164" s="2" t="n">
        <v>163</v>
      </c>
      <c r="B164" s="2" t="n">
        <v>168</v>
      </c>
      <c r="C164" s="2" t="n">
        <v>1138</v>
      </c>
      <c r="D164" s="2" t="n">
        <v>213</v>
      </c>
      <c r="E164" s="2" t="n">
        <v>285</v>
      </c>
      <c r="F164" s="2" t="n">
        <v>9</v>
      </c>
      <c r="G164" s="2" t="n">
        <v>135</v>
      </c>
      <c r="H164" s="2" t="n">
        <v>4</v>
      </c>
      <c r="I164" s="3" t="n">
        <v>4298.16</v>
      </c>
      <c r="J164" s="3" t="n">
        <v>1605.45</v>
      </c>
      <c r="K164" s="3" t="n">
        <v>8005.97</v>
      </c>
      <c r="L164" s="3" t="n">
        <v>2997.35</v>
      </c>
      <c r="M164" s="2" t="n">
        <v>1.6</v>
      </c>
      <c r="N164" s="2" t="s">
        <v>25</v>
      </c>
      <c r="O164" s="4" t="n">
        <f aca="false">VLOOKUP(F164,DIM_SERVICO!$A$2:$D$151,4,FALSE())</f>
        <v>1605.45</v>
      </c>
      <c r="P164" s="4" t="n">
        <f aca="false">VLOOKUP(E164,DIM_PECA!$A$2:$F$501,6,FALSE())</f>
        <v>1600.13</v>
      </c>
      <c r="Q164" s="4" t="n">
        <f aca="false">VLOOKUP(E164,DIM_PECA!$A$2:$F$501,5,FALSE())</f>
        <v>1074.54</v>
      </c>
      <c r="R164" s="4" t="n">
        <f aca="false">H164*P164</f>
        <v>6400.52</v>
      </c>
      <c r="S164" s="4" t="n">
        <f aca="false">O164*M164</f>
        <v>2568.72</v>
      </c>
      <c r="T164" s="4" t="n">
        <f aca="false">R164+S164</f>
        <v>8969.24</v>
      </c>
      <c r="U164" s="4" t="n">
        <f aca="false">T164-K164</f>
        <v>963.270000000001</v>
      </c>
      <c r="V164" s="4" t="n">
        <f aca="false">R164+S164-U164</f>
        <v>8005.97</v>
      </c>
      <c r="W164" s="5" t="str">
        <f aca="false">IF(ROUND(V164-K164,2)=0,"OK","ERRO")</f>
        <v>OK</v>
      </c>
      <c r="X164" s="5" t="str">
        <f aca="false">VLOOKUP(F164,DIM_SERVICO!$A$2:$D$151,3,FALSE())</f>
        <v>Revisão</v>
      </c>
    </row>
    <row r="165" customFormat="false" ht="15" hidden="false" customHeight="false" outlineLevel="0" collapsed="false">
      <c r="A165" s="6" t="n">
        <v>164</v>
      </c>
      <c r="B165" s="6" t="n">
        <v>1285</v>
      </c>
      <c r="C165" s="6" t="n">
        <v>1419</v>
      </c>
      <c r="D165" s="6" t="n">
        <v>418</v>
      </c>
      <c r="E165" s="6" t="n">
        <v>54</v>
      </c>
      <c r="F165" s="6" t="n">
        <v>32</v>
      </c>
      <c r="G165" s="6" t="n">
        <v>327</v>
      </c>
      <c r="H165" s="6" t="n">
        <v>4</v>
      </c>
      <c r="I165" s="7" t="n">
        <v>830.16</v>
      </c>
      <c r="J165" s="7" t="n">
        <v>1856.26</v>
      </c>
      <c r="K165" s="7" t="n">
        <v>3162.62</v>
      </c>
      <c r="L165" s="7" t="n">
        <v>1452.92</v>
      </c>
      <c r="M165" s="6" t="n">
        <v>4.1</v>
      </c>
      <c r="N165" s="6" t="s">
        <v>24</v>
      </c>
      <c r="O165" s="8" t="n">
        <f aca="false">VLOOKUP(F165,DIM_SERVICO!$A$2:$D$151,4,FALSE())</f>
        <v>1856.26</v>
      </c>
      <c r="P165" s="8" t="n">
        <f aca="false">VLOOKUP(E165,DIM_PECA!$A$2:$F$501,6,FALSE())</f>
        <v>326.59</v>
      </c>
      <c r="Q165" s="8" t="n">
        <f aca="false">VLOOKUP(E165,DIM_PECA!$A$2:$F$501,5,FALSE())</f>
        <v>207.54</v>
      </c>
      <c r="R165" s="8" t="n">
        <f aca="false">H165*P165</f>
        <v>1306.36</v>
      </c>
      <c r="S165" s="8" t="n">
        <f aca="false">O165*M165</f>
        <v>7610.666</v>
      </c>
      <c r="T165" s="8" t="n">
        <f aca="false">R165+S165</f>
        <v>8917.026</v>
      </c>
      <c r="U165" s="8" t="n">
        <f aca="false">T165-K165</f>
        <v>5754.406</v>
      </c>
      <c r="V165" s="8" t="n">
        <f aca="false">R165+S165-U165</f>
        <v>3162.62</v>
      </c>
      <c r="W165" s="9" t="str">
        <f aca="false">IF(ROUND(V165-K165,2)=0,"OK","ERRO")</f>
        <v>OK</v>
      </c>
      <c r="X165" s="9" t="str">
        <f aca="false">VLOOKUP(F165,DIM_SERVICO!$A$2:$D$151,3,FALSE())</f>
        <v>Freios</v>
      </c>
    </row>
    <row r="166" customFormat="false" ht="15" hidden="false" customHeight="false" outlineLevel="0" collapsed="false">
      <c r="A166" s="2" t="n">
        <v>165</v>
      </c>
      <c r="B166" s="2" t="n">
        <v>173</v>
      </c>
      <c r="C166" s="2" t="n">
        <v>16</v>
      </c>
      <c r="D166" s="2" t="n">
        <v>404</v>
      </c>
      <c r="E166" s="2" t="n">
        <v>30</v>
      </c>
      <c r="F166" s="2" t="n">
        <v>34</v>
      </c>
      <c r="G166" s="2" t="n">
        <v>1406</v>
      </c>
      <c r="H166" s="2" t="n">
        <v>2</v>
      </c>
      <c r="I166" s="3" t="n">
        <v>1093.84</v>
      </c>
      <c r="J166" s="3" t="n">
        <v>1715.98</v>
      </c>
      <c r="K166" s="3" t="n">
        <v>3752.44</v>
      </c>
      <c r="L166" s="3" t="n">
        <v>2012.39</v>
      </c>
      <c r="M166" s="2" t="n">
        <v>6.6</v>
      </c>
      <c r="N166" s="2" t="s">
        <v>24</v>
      </c>
      <c r="O166" s="4" t="n">
        <f aca="false">VLOOKUP(F166,DIM_SERVICO!$A$2:$D$151,4,FALSE())</f>
        <v>1715.98</v>
      </c>
      <c r="P166" s="4" t="n">
        <f aca="false">VLOOKUP(E166,DIM_PECA!$A$2:$F$501,6,FALSE())</f>
        <v>1018.23</v>
      </c>
      <c r="Q166" s="4" t="n">
        <f aca="false">VLOOKUP(E166,DIM_PECA!$A$2:$F$501,5,FALSE())</f>
        <v>546.92</v>
      </c>
      <c r="R166" s="4" t="n">
        <f aca="false">H166*P166</f>
        <v>2036.46</v>
      </c>
      <c r="S166" s="4" t="n">
        <f aca="false">O166*M166</f>
        <v>11325.468</v>
      </c>
      <c r="T166" s="4" t="n">
        <f aca="false">R166+S166</f>
        <v>13361.928</v>
      </c>
      <c r="U166" s="4" t="n">
        <f aca="false">T166-K166</f>
        <v>9609.488</v>
      </c>
      <c r="V166" s="4" t="n">
        <f aca="false">R166+S166-U166</f>
        <v>3752.44</v>
      </c>
      <c r="W166" s="5" t="str">
        <f aca="false">IF(ROUND(V166-K166,2)=0,"OK","ERRO")</f>
        <v>OK</v>
      </c>
      <c r="X166" s="5" t="str">
        <f aca="false">VLOOKUP(F166,DIM_SERVICO!$A$2:$D$151,3,FALSE())</f>
        <v>Revisão</v>
      </c>
    </row>
    <row r="167" customFormat="false" ht="15" hidden="false" customHeight="false" outlineLevel="0" collapsed="false">
      <c r="A167" s="6" t="n">
        <v>166</v>
      </c>
      <c r="B167" s="6" t="n">
        <v>126</v>
      </c>
      <c r="C167" s="6" t="n">
        <v>918</v>
      </c>
      <c r="D167" s="6" t="n">
        <v>40</v>
      </c>
      <c r="E167" s="6" t="n">
        <v>158</v>
      </c>
      <c r="F167" s="6" t="n">
        <v>46</v>
      </c>
      <c r="G167" s="6" t="n">
        <v>1441</v>
      </c>
      <c r="H167" s="6" t="n">
        <v>2</v>
      </c>
      <c r="I167" s="7" t="n">
        <v>2088.24</v>
      </c>
      <c r="J167" s="7" t="n">
        <v>1282.78</v>
      </c>
      <c r="K167" s="7" t="n">
        <v>4338.72</v>
      </c>
      <c r="L167" s="7" t="n">
        <v>1765.45</v>
      </c>
      <c r="M167" s="6" t="n">
        <v>4.1</v>
      </c>
      <c r="N167" s="6" t="s">
        <v>26</v>
      </c>
      <c r="O167" s="8" t="n">
        <f aca="false">VLOOKUP(F167,DIM_SERVICO!$A$2:$D$151,4,FALSE())</f>
        <v>1282.78</v>
      </c>
      <c r="P167" s="8" t="n">
        <f aca="false">VLOOKUP(E167,DIM_PECA!$A$2:$F$501,6,FALSE())</f>
        <v>1769.01</v>
      </c>
      <c r="Q167" s="8" t="n">
        <f aca="false">VLOOKUP(E167,DIM_PECA!$A$2:$F$501,5,FALSE())</f>
        <v>1044.12</v>
      </c>
      <c r="R167" s="8" t="n">
        <f aca="false">H167*P167</f>
        <v>3538.02</v>
      </c>
      <c r="S167" s="8" t="n">
        <f aca="false">O167*M167</f>
        <v>5259.398</v>
      </c>
      <c r="T167" s="8" t="n">
        <f aca="false">R167+S167</f>
        <v>8797.418</v>
      </c>
      <c r="U167" s="8" t="n">
        <f aca="false">T167-K167</f>
        <v>4458.698</v>
      </c>
      <c r="V167" s="8" t="n">
        <f aca="false">R167+S167-U167</f>
        <v>4338.72</v>
      </c>
      <c r="W167" s="9" t="str">
        <f aca="false">IF(ROUND(V167-K167,2)=0,"OK","ERRO")</f>
        <v>OK</v>
      </c>
      <c r="X167" s="9" t="str">
        <f aca="false">VLOOKUP(F167,DIM_SERVICO!$A$2:$D$151,3,FALSE())</f>
        <v>Revisão</v>
      </c>
    </row>
    <row r="168" customFormat="false" ht="15" hidden="false" customHeight="false" outlineLevel="0" collapsed="false">
      <c r="A168" s="2" t="n">
        <v>167</v>
      </c>
      <c r="B168" s="2" t="n">
        <v>518</v>
      </c>
      <c r="C168" s="2" t="n">
        <v>1116</v>
      </c>
      <c r="D168" s="2" t="n">
        <v>988</v>
      </c>
      <c r="E168" s="2" t="n">
        <v>48</v>
      </c>
      <c r="F168" s="2" t="n">
        <v>21</v>
      </c>
      <c r="G168" s="2" t="n">
        <v>1092</v>
      </c>
      <c r="H168" s="2" t="n">
        <v>3</v>
      </c>
      <c r="I168" s="3" t="n">
        <v>2861.91</v>
      </c>
      <c r="J168" s="3" t="n">
        <v>126.78</v>
      </c>
      <c r="K168" s="3" t="n">
        <v>5566.68</v>
      </c>
      <c r="L168" s="3" t="n">
        <v>2639.81</v>
      </c>
      <c r="M168" s="2" t="n">
        <v>5.3</v>
      </c>
      <c r="N168" s="2" t="s">
        <v>24</v>
      </c>
      <c r="O168" s="4" t="n">
        <f aca="false">VLOOKUP(F168,DIM_SERVICO!$A$2:$D$151,4,FALSE())</f>
        <v>126.78</v>
      </c>
      <c r="P168" s="4" t="n">
        <f aca="false">VLOOKUP(E168,DIM_PECA!$A$2:$F$501,6,FALSE())</f>
        <v>1910.96</v>
      </c>
      <c r="Q168" s="4" t="n">
        <f aca="false">VLOOKUP(E168,DIM_PECA!$A$2:$F$501,5,FALSE())</f>
        <v>953.97</v>
      </c>
      <c r="R168" s="4" t="n">
        <f aca="false">H168*P168</f>
        <v>5732.88</v>
      </c>
      <c r="S168" s="4" t="n">
        <f aca="false">O168*M168</f>
        <v>671.934</v>
      </c>
      <c r="T168" s="4" t="n">
        <f aca="false">R168+S168</f>
        <v>6404.814</v>
      </c>
      <c r="U168" s="4" t="n">
        <f aca="false">T168-K168</f>
        <v>838.134</v>
      </c>
      <c r="V168" s="4" t="n">
        <f aca="false">R168+S168-U168</f>
        <v>5566.68</v>
      </c>
      <c r="W168" s="5" t="str">
        <f aca="false">IF(ROUND(V168-K168,2)=0,"OK","ERRO")</f>
        <v>OK</v>
      </c>
      <c r="X168" s="5" t="str">
        <f aca="false">VLOOKUP(F168,DIM_SERVICO!$A$2:$D$151,3,FALSE())</f>
        <v>Suspensão</v>
      </c>
    </row>
    <row r="169" customFormat="false" ht="15" hidden="false" customHeight="false" outlineLevel="0" collapsed="false">
      <c r="A169" s="6" t="n">
        <v>168</v>
      </c>
      <c r="B169" s="6" t="n">
        <v>229</v>
      </c>
      <c r="C169" s="6" t="n">
        <v>50</v>
      </c>
      <c r="D169" s="6" t="n">
        <v>470</v>
      </c>
      <c r="E169" s="6" t="n">
        <v>60</v>
      </c>
      <c r="F169" s="6" t="n">
        <v>98</v>
      </c>
      <c r="G169" s="6" t="n">
        <v>705</v>
      </c>
      <c r="H169" s="6" t="n">
        <v>2</v>
      </c>
      <c r="I169" s="7" t="n">
        <v>1001.38</v>
      </c>
      <c r="J169" s="7" t="n">
        <v>951.01</v>
      </c>
      <c r="K169" s="7" t="n">
        <v>2530</v>
      </c>
      <c r="L169" s="7" t="n">
        <v>1109.5</v>
      </c>
      <c r="M169" s="6" t="n">
        <v>1.5</v>
      </c>
      <c r="N169" s="6" t="s">
        <v>24</v>
      </c>
      <c r="O169" s="8" t="n">
        <f aca="false">VLOOKUP(F169,DIM_SERVICO!$A$2:$D$151,4,FALSE())</f>
        <v>951.01</v>
      </c>
      <c r="P169" s="8" t="n">
        <f aca="false">VLOOKUP(E169,DIM_PECA!$A$2:$F$501,6,FALSE())</f>
        <v>930.05</v>
      </c>
      <c r="Q169" s="8" t="n">
        <f aca="false">VLOOKUP(E169,DIM_PECA!$A$2:$F$501,5,FALSE())</f>
        <v>500.69</v>
      </c>
      <c r="R169" s="8" t="n">
        <f aca="false">H169*P169</f>
        <v>1860.1</v>
      </c>
      <c r="S169" s="8" t="n">
        <f aca="false">O169*M169</f>
        <v>1426.515</v>
      </c>
      <c r="T169" s="8" t="n">
        <f aca="false">R169+S169</f>
        <v>3286.615</v>
      </c>
      <c r="U169" s="8" t="n">
        <f aca="false">T169-K169</f>
        <v>756.615</v>
      </c>
      <c r="V169" s="8" t="n">
        <f aca="false">R169+S169-U169</f>
        <v>2530</v>
      </c>
      <c r="W169" s="9" t="str">
        <f aca="false">IF(ROUND(V169-K169,2)=0,"OK","ERRO")</f>
        <v>OK</v>
      </c>
      <c r="X169" s="9" t="str">
        <f aca="false">VLOOKUP(F169,DIM_SERVICO!$A$2:$D$151,3,FALSE())</f>
        <v>Revisão</v>
      </c>
    </row>
    <row r="170" customFormat="false" ht="15" hidden="false" customHeight="false" outlineLevel="0" collapsed="false">
      <c r="A170" s="2" t="n">
        <v>169</v>
      </c>
      <c r="B170" s="2" t="n">
        <v>582</v>
      </c>
      <c r="C170" s="2" t="n">
        <v>1161</v>
      </c>
      <c r="D170" s="2" t="n">
        <v>188</v>
      </c>
      <c r="E170" s="2" t="n">
        <v>5</v>
      </c>
      <c r="F170" s="2" t="n">
        <v>148</v>
      </c>
      <c r="G170" s="2" t="n">
        <v>705</v>
      </c>
      <c r="H170" s="2" t="n">
        <v>2</v>
      </c>
      <c r="I170" s="3" t="n">
        <v>1856.92</v>
      </c>
      <c r="J170" s="3" t="n">
        <v>1276.19</v>
      </c>
      <c r="K170" s="3" t="n">
        <v>4363.61</v>
      </c>
      <c r="L170" s="3" t="n">
        <v>1821.58</v>
      </c>
      <c r="M170" s="2" t="n">
        <v>11.7</v>
      </c>
      <c r="N170" s="2" t="s">
        <v>24</v>
      </c>
      <c r="O170" s="4" t="n">
        <f aca="false">VLOOKUP(F170,DIM_SERVICO!$A$2:$D$151,4,FALSE())</f>
        <v>1276.19</v>
      </c>
      <c r="P170" s="4" t="n">
        <f aca="false">VLOOKUP(E170,DIM_PECA!$A$2:$F$501,6,FALSE())</f>
        <v>1543.71</v>
      </c>
      <c r="Q170" s="4" t="n">
        <f aca="false">VLOOKUP(E170,DIM_PECA!$A$2:$F$501,5,FALSE())</f>
        <v>928.46</v>
      </c>
      <c r="R170" s="4" t="n">
        <f aca="false">H170*P170</f>
        <v>3087.42</v>
      </c>
      <c r="S170" s="4" t="n">
        <f aca="false">O170*M170</f>
        <v>14931.423</v>
      </c>
      <c r="T170" s="4" t="n">
        <f aca="false">R170+S170</f>
        <v>18018.843</v>
      </c>
      <c r="U170" s="4" t="n">
        <f aca="false">T170-K170</f>
        <v>13655.233</v>
      </c>
      <c r="V170" s="4" t="n">
        <f aca="false">R170+S170-U170</f>
        <v>4363.61</v>
      </c>
      <c r="W170" s="5" t="str">
        <f aca="false">IF(ROUND(V170-K170,2)=0,"OK","ERRO")</f>
        <v>OK</v>
      </c>
      <c r="X170" s="5" t="str">
        <f aca="false">VLOOKUP(F170,DIM_SERVICO!$A$2:$D$151,3,FALSE())</f>
        <v>Revisão</v>
      </c>
    </row>
    <row r="171" customFormat="false" ht="15" hidden="false" customHeight="false" outlineLevel="0" collapsed="false">
      <c r="A171" s="6" t="n">
        <v>170</v>
      </c>
      <c r="B171" s="6" t="n">
        <v>343</v>
      </c>
      <c r="C171" s="6" t="n">
        <v>143</v>
      </c>
      <c r="D171" s="6" t="n">
        <v>834</v>
      </c>
      <c r="E171" s="6" t="n">
        <v>309</v>
      </c>
      <c r="F171" s="6" t="n">
        <v>47</v>
      </c>
      <c r="G171" s="6" t="n">
        <v>1552</v>
      </c>
      <c r="H171" s="6" t="n">
        <v>3</v>
      </c>
      <c r="I171" s="7" t="n">
        <v>80.07</v>
      </c>
      <c r="J171" s="7" t="n">
        <v>399.81</v>
      </c>
      <c r="K171" s="7" t="n">
        <v>538.47</v>
      </c>
      <c r="L171" s="7" t="n">
        <v>300.43</v>
      </c>
      <c r="M171" s="6" t="n">
        <v>7.8</v>
      </c>
      <c r="N171" s="6" t="s">
        <v>26</v>
      </c>
      <c r="O171" s="8" t="n">
        <f aca="false">VLOOKUP(F171,DIM_SERVICO!$A$2:$D$151,4,FALSE())</f>
        <v>399.81</v>
      </c>
      <c r="P171" s="8" t="n">
        <f aca="false">VLOOKUP(E171,DIM_PECA!$A$2:$F$501,6,FALSE())</f>
        <v>46.22</v>
      </c>
      <c r="Q171" s="8" t="n">
        <f aca="false">VLOOKUP(E171,DIM_PECA!$A$2:$F$501,5,FALSE())</f>
        <v>26.69</v>
      </c>
      <c r="R171" s="8" t="n">
        <f aca="false">H171*P171</f>
        <v>138.66</v>
      </c>
      <c r="S171" s="8" t="n">
        <f aca="false">O171*M171</f>
        <v>3118.518</v>
      </c>
      <c r="T171" s="8" t="n">
        <f aca="false">R171+S171</f>
        <v>3257.178</v>
      </c>
      <c r="U171" s="8" t="n">
        <f aca="false">T171-K171</f>
        <v>2718.708</v>
      </c>
      <c r="V171" s="8" t="n">
        <f aca="false">R171+S171-U171</f>
        <v>538.47</v>
      </c>
      <c r="W171" s="9" t="str">
        <f aca="false">IF(ROUND(V171-K171,2)=0,"OK","ERRO")</f>
        <v>OK</v>
      </c>
      <c r="X171" s="9" t="str">
        <f aca="false">VLOOKUP(F171,DIM_SERVICO!$A$2:$D$151,3,FALSE())</f>
        <v>Funilaria</v>
      </c>
    </row>
    <row r="172" customFormat="false" ht="15" hidden="false" customHeight="false" outlineLevel="0" collapsed="false">
      <c r="A172" s="2" t="n">
        <v>171</v>
      </c>
      <c r="B172" s="2" t="n">
        <v>239</v>
      </c>
      <c r="C172" s="2" t="n">
        <v>320</v>
      </c>
      <c r="D172" s="2" t="n">
        <v>362</v>
      </c>
      <c r="E172" s="2" t="n">
        <v>279</v>
      </c>
      <c r="F172" s="2" t="n">
        <v>5</v>
      </c>
      <c r="G172" s="2" t="n">
        <v>154</v>
      </c>
      <c r="H172" s="2" t="n">
        <v>2</v>
      </c>
      <c r="I172" s="3" t="n">
        <v>679.82</v>
      </c>
      <c r="J172" s="3" t="n">
        <v>1161.51</v>
      </c>
      <c r="K172" s="3" t="n">
        <v>1991.61</v>
      </c>
      <c r="L172" s="3" t="n">
        <v>801.01</v>
      </c>
      <c r="M172" s="2" t="n">
        <v>2.5</v>
      </c>
      <c r="N172" s="2" t="s">
        <v>24</v>
      </c>
      <c r="O172" s="4" t="n">
        <f aca="false">VLOOKUP(F172,DIM_SERVICO!$A$2:$D$151,4,FALSE())</f>
        <v>1161.51</v>
      </c>
      <c r="P172" s="4" t="n">
        <f aca="false">VLOOKUP(E172,DIM_PECA!$A$2:$F$501,6,FALSE())</f>
        <v>501.64</v>
      </c>
      <c r="Q172" s="4" t="n">
        <f aca="false">VLOOKUP(E172,DIM_PECA!$A$2:$F$501,5,FALSE())</f>
        <v>339.91</v>
      </c>
      <c r="R172" s="4" t="n">
        <f aca="false">H172*P172</f>
        <v>1003.28</v>
      </c>
      <c r="S172" s="4" t="n">
        <f aca="false">O172*M172</f>
        <v>2903.775</v>
      </c>
      <c r="T172" s="4" t="n">
        <f aca="false">R172+S172</f>
        <v>3907.055</v>
      </c>
      <c r="U172" s="4" t="n">
        <f aca="false">T172-K172</f>
        <v>1915.445</v>
      </c>
      <c r="V172" s="4" t="n">
        <f aca="false">R172+S172-U172</f>
        <v>1991.61</v>
      </c>
      <c r="W172" s="5" t="str">
        <f aca="false">IF(ROUND(V172-K172,2)=0,"OK","ERRO")</f>
        <v>OK</v>
      </c>
      <c r="X172" s="5" t="str">
        <f aca="false">VLOOKUP(F172,DIM_SERVICO!$A$2:$D$151,3,FALSE())</f>
        <v>Funilaria</v>
      </c>
    </row>
    <row r="173" customFormat="false" ht="15" hidden="false" customHeight="false" outlineLevel="0" collapsed="false">
      <c r="A173" s="6" t="n">
        <v>172</v>
      </c>
      <c r="B173" s="6" t="n">
        <v>976</v>
      </c>
      <c r="C173" s="6" t="n">
        <v>1159</v>
      </c>
      <c r="D173" s="6" t="n">
        <v>1167</v>
      </c>
      <c r="E173" s="6" t="n">
        <v>455</v>
      </c>
      <c r="F173" s="6" t="n">
        <v>144</v>
      </c>
      <c r="G173" s="6" t="n">
        <v>1818</v>
      </c>
      <c r="H173" s="6" t="n">
        <v>1</v>
      </c>
      <c r="I173" s="7" t="n">
        <v>516.05</v>
      </c>
      <c r="J173" s="7" t="n">
        <v>2149.33</v>
      </c>
      <c r="K173" s="7" t="n">
        <v>2888.57</v>
      </c>
      <c r="L173" s="7" t="n">
        <v>1363.73</v>
      </c>
      <c r="M173" s="6" t="n">
        <v>1.4</v>
      </c>
      <c r="N173" s="6" t="s">
        <v>24</v>
      </c>
      <c r="O173" s="8" t="n">
        <f aca="false">VLOOKUP(F173,DIM_SERVICO!$A$2:$D$151,4,FALSE())</f>
        <v>2149.33</v>
      </c>
      <c r="P173" s="8" t="n">
        <f aca="false">VLOOKUP(E173,DIM_PECA!$A$2:$F$501,6,FALSE())</f>
        <v>1060.19</v>
      </c>
      <c r="Q173" s="8" t="n">
        <f aca="false">VLOOKUP(E173,DIM_PECA!$A$2:$F$501,5,FALSE())</f>
        <v>516.05</v>
      </c>
      <c r="R173" s="8" t="n">
        <f aca="false">H173*P173</f>
        <v>1060.19</v>
      </c>
      <c r="S173" s="8" t="n">
        <f aca="false">O173*M173</f>
        <v>3009.062</v>
      </c>
      <c r="T173" s="8" t="n">
        <f aca="false">R173+S173</f>
        <v>4069.252</v>
      </c>
      <c r="U173" s="8" t="n">
        <f aca="false">T173-K173</f>
        <v>1180.682</v>
      </c>
      <c r="V173" s="8" t="n">
        <f aca="false">R173+S173-U173</f>
        <v>2888.57</v>
      </c>
      <c r="W173" s="9" t="str">
        <f aca="false">IF(ROUND(V173-K173,2)=0,"OK","ERRO")</f>
        <v>OK</v>
      </c>
      <c r="X173" s="9" t="str">
        <f aca="false">VLOOKUP(F173,DIM_SERVICO!$A$2:$D$151,3,FALSE())</f>
        <v>Pintura</v>
      </c>
    </row>
    <row r="174" customFormat="false" ht="15" hidden="false" customHeight="false" outlineLevel="0" collapsed="false">
      <c r="A174" s="2" t="n">
        <v>173</v>
      </c>
      <c r="B174" s="2" t="n">
        <v>383</v>
      </c>
      <c r="C174" s="2" t="n">
        <v>568</v>
      </c>
      <c r="D174" s="2" t="n">
        <v>715</v>
      </c>
      <c r="E174" s="2" t="n">
        <v>316</v>
      </c>
      <c r="F174" s="2" t="n">
        <v>100</v>
      </c>
      <c r="G174" s="2" t="n">
        <v>169</v>
      </c>
      <c r="H174" s="2" t="n">
        <v>2</v>
      </c>
      <c r="I174" s="3" t="n">
        <v>586.36</v>
      </c>
      <c r="J174" s="3" t="n">
        <v>2148.55</v>
      </c>
      <c r="K174" s="3" t="n">
        <v>3061.11</v>
      </c>
      <c r="L174" s="3" t="n">
        <v>1549.59</v>
      </c>
      <c r="M174" s="2" t="n">
        <v>6.2</v>
      </c>
      <c r="N174" s="2" t="s">
        <v>24</v>
      </c>
      <c r="O174" s="4" t="n">
        <f aca="false">VLOOKUP(F174,DIM_SERVICO!$A$2:$D$151,4,FALSE())</f>
        <v>2148.55</v>
      </c>
      <c r="P174" s="4" t="n">
        <f aca="false">VLOOKUP(E174,DIM_PECA!$A$2:$F$501,6,FALSE())</f>
        <v>626.34</v>
      </c>
      <c r="Q174" s="4" t="n">
        <f aca="false">VLOOKUP(E174,DIM_PECA!$A$2:$F$501,5,FALSE())</f>
        <v>293.18</v>
      </c>
      <c r="R174" s="4" t="n">
        <f aca="false">H174*P174</f>
        <v>1252.68</v>
      </c>
      <c r="S174" s="4" t="n">
        <f aca="false">O174*M174</f>
        <v>13321.01</v>
      </c>
      <c r="T174" s="4" t="n">
        <f aca="false">R174+S174</f>
        <v>14573.69</v>
      </c>
      <c r="U174" s="4" t="n">
        <f aca="false">T174-K174</f>
        <v>11512.58</v>
      </c>
      <c r="V174" s="4" t="n">
        <f aca="false">R174+S174-U174</f>
        <v>3061.11</v>
      </c>
      <c r="W174" s="5" t="str">
        <f aca="false">IF(ROUND(V174-K174,2)=0,"OK","ERRO")</f>
        <v>OK</v>
      </c>
      <c r="X174" s="5" t="str">
        <f aca="false">VLOOKUP(F174,DIM_SERVICO!$A$2:$D$151,3,FALSE())</f>
        <v>Motor</v>
      </c>
    </row>
    <row r="175" customFormat="false" ht="15" hidden="false" customHeight="false" outlineLevel="0" collapsed="false">
      <c r="A175" s="6" t="n">
        <v>174</v>
      </c>
      <c r="B175" s="6" t="n">
        <v>1107</v>
      </c>
      <c r="C175" s="6" t="n">
        <v>1006</v>
      </c>
      <c r="D175" s="6" t="n">
        <v>289</v>
      </c>
      <c r="E175" s="6" t="n">
        <v>19</v>
      </c>
      <c r="F175" s="6" t="n">
        <v>73</v>
      </c>
      <c r="G175" s="6" t="n">
        <v>747</v>
      </c>
      <c r="H175" s="6" t="n">
        <v>1</v>
      </c>
      <c r="I175" s="7" t="n">
        <v>295.22</v>
      </c>
      <c r="J175" s="7" t="n">
        <v>2131.99</v>
      </c>
      <c r="K175" s="7" t="n">
        <v>2514.21</v>
      </c>
      <c r="L175" s="7" t="n">
        <v>1168.77</v>
      </c>
      <c r="M175" s="6" t="n">
        <v>0.6</v>
      </c>
      <c r="N175" s="6" t="s">
        <v>25</v>
      </c>
      <c r="O175" s="8" t="n">
        <f aca="false">VLOOKUP(F175,DIM_SERVICO!$A$2:$D$151,4,FALSE())</f>
        <v>2131.99</v>
      </c>
      <c r="P175" s="8" t="n">
        <f aca="false">VLOOKUP(E175,DIM_PECA!$A$2:$F$501,6,FALSE())</f>
        <v>600.85</v>
      </c>
      <c r="Q175" s="8" t="n">
        <f aca="false">VLOOKUP(E175,DIM_PECA!$A$2:$F$501,5,FALSE())</f>
        <v>295.22</v>
      </c>
      <c r="R175" s="8" t="n">
        <f aca="false">H175*P175</f>
        <v>600.85</v>
      </c>
      <c r="S175" s="8" t="n">
        <f aca="false">O175*M175</f>
        <v>1279.194</v>
      </c>
      <c r="T175" s="8" t="n">
        <f aca="false">R175+S175</f>
        <v>1880.044</v>
      </c>
      <c r="U175" s="8" t="n">
        <f aca="false">T175-K175</f>
        <v>-634.166</v>
      </c>
      <c r="V175" s="8" t="n">
        <f aca="false">R175+S175-U175</f>
        <v>2514.21</v>
      </c>
      <c r="W175" s="9" t="str">
        <f aca="false">IF(ROUND(V175-K175,2)=0,"OK","ERRO")</f>
        <v>OK</v>
      </c>
      <c r="X175" s="9" t="str">
        <f aca="false">VLOOKUP(F175,DIM_SERVICO!$A$2:$D$151,3,FALSE())</f>
        <v>Suspensão</v>
      </c>
    </row>
    <row r="176" customFormat="false" ht="15" hidden="false" customHeight="false" outlineLevel="0" collapsed="false">
      <c r="A176" s="2" t="n">
        <v>175</v>
      </c>
      <c r="B176" s="2" t="n">
        <v>383</v>
      </c>
      <c r="C176" s="2" t="n">
        <v>420</v>
      </c>
      <c r="D176" s="2" t="n">
        <v>647</v>
      </c>
      <c r="E176" s="2" t="n">
        <v>118</v>
      </c>
      <c r="F176" s="2" t="n">
        <v>62</v>
      </c>
      <c r="G176" s="2" t="n">
        <v>424</v>
      </c>
      <c r="H176" s="2" t="n">
        <v>3</v>
      </c>
      <c r="I176" s="3" t="n">
        <v>590.04</v>
      </c>
      <c r="J176" s="3" t="n">
        <v>709.8</v>
      </c>
      <c r="K176" s="3" t="n">
        <v>1706.07</v>
      </c>
      <c r="L176" s="3" t="n">
        <v>851.7</v>
      </c>
      <c r="M176" s="2" t="n">
        <v>8.7</v>
      </c>
      <c r="N176" s="2" t="s">
        <v>24</v>
      </c>
      <c r="O176" s="4" t="n">
        <f aca="false">VLOOKUP(F176,DIM_SERVICO!$A$2:$D$151,4,FALSE())</f>
        <v>709.8</v>
      </c>
      <c r="P176" s="4" t="n">
        <f aca="false">VLOOKUP(E176,DIM_PECA!$A$2:$F$501,6,FALSE())</f>
        <v>332.09</v>
      </c>
      <c r="Q176" s="4" t="n">
        <f aca="false">VLOOKUP(E176,DIM_PECA!$A$2:$F$501,5,FALSE())</f>
        <v>196.68</v>
      </c>
      <c r="R176" s="4" t="n">
        <f aca="false">H176*P176</f>
        <v>996.27</v>
      </c>
      <c r="S176" s="4" t="n">
        <f aca="false">O176*M176</f>
        <v>6175.26</v>
      </c>
      <c r="T176" s="4" t="n">
        <f aca="false">R176+S176</f>
        <v>7171.53</v>
      </c>
      <c r="U176" s="4" t="n">
        <f aca="false">T176-K176</f>
        <v>5465.46</v>
      </c>
      <c r="V176" s="4" t="n">
        <f aca="false">R176+S176-U176</f>
        <v>1706.07</v>
      </c>
      <c r="W176" s="5" t="str">
        <f aca="false">IF(ROUND(V176-K176,2)=0,"OK","ERRO")</f>
        <v>OK</v>
      </c>
      <c r="X176" s="5" t="str">
        <f aca="false">VLOOKUP(F176,DIM_SERVICO!$A$2:$D$151,3,FALSE())</f>
        <v>Pintura</v>
      </c>
    </row>
    <row r="177" customFormat="false" ht="15" hidden="false" customHeight="false" outlineLevel="0" collapsed="false">
      <c r="A177" s="6" t="n">
        <v>176</v>
      </c>
      <c r="B177" s="6" t="n">
        <v>105</v>
      </c>
      <c r="C177" s="6" t="n">
        <v>863</v>
      </c>
      <c r="D177" s="6" t="n">
        <v>234</v>
      </c>
      <c r="E177" s="6" t="n">
        <v>167</v>
      </c>
      <c r="F177" s="6" t="n">
        <v>18</v>
      </c>
      <c r="G177" s="6" t="n">
        <v>74</v>
      </c>
      <c r="H177" s="6" t="n">
        <v>3</v>
      </c>
      <c r="I177" s="7" t="n">
        <v>3166.2</v>
      </c>
      <c r="J177" s="7" t="n">
        <v>1667.15</v>
      </c>
      <c r="K177" s="7" t="n">
        <v>7669.69</v>
      </c>
      <c r="L177" s="7" t="n">
        <v>3642.06</v>
      </c>
      <c r="M177" s="6" t="n">
        <v>4.8</v>
      </c>
      <c r="N177" s="6" t="s">
        <v>24</v>
      </c>
      <c r="O177" s="8" t="n">
        <f aca="false">VLOOKUP(F177,DIM_SERVICO!$A$2:$D$151,4,FALSE())</f>
        <v>1667.15</v>
      </c>
      <c r="P177" s="8" t="n">
        <f aca="false">VLOOKUP(E177,DIM_PECA!$A$2:$F$501,6,FALSE())</f>
        <v>2284.91</v>
      </c>
      <c r="Q177" s="8" t="n">
        <f aca="false">VLOOKUP(E177,DIM_PECA!$A$2:$F$501,5,FALSE())</f>
        <v>1055.4</v>
      </c>
      <c r="R177" s="8" t="n">
        <f aca="false">H177*P177</f>
        <v>6854.73</v>
      </c>
      <c r="S177" s="8" t="n">
        <f aca="false">O177*M177</f>
        <v>8002.32</v>
      </c>
      <c r="T177" s="8" t="n">
        <f aca="false">R177+S177</f>
        <v>14857.05</v>
      </c>
      <c r="U177" s="8" t="n">
        <f aca="false">T177-K177</f>
        <v>7187.36</v>
      </c>
      <c r="V177" s="8" t="n">
        <f aca="false">R177+S177-U177</f>
        <v>7669.69</v>
      </c>
      <c r="W177" s="9" t="str">
        <f aca="false">IF(ROUND(V177-K177,2)=0,"OK","ERRO")</f>
        <v>OK</v>
      </c>
      <c r="X177" s="9" t="str">
        <f aca="false">VLOOKUP(F177,DIM_SERVICO!$A$2:$D$151,3,FALSE())</f>
        <v>Elétrica</v>
      </c>
    </row>
    <row r="178" customFormat="false" ht="15" hidden="false" customHeight="false" outlineLevel="0" collapsed="false">
      <c r="A178" s="2" t="n">
        <v>177</v>
      </c>
      <c r="B178" s="2" t="n">
        <v>174</v>
      </c>
      <c r="C178" s="2" t="n">
        <v>245</v>
      </c>
      <c r="D178" s="2" t="n">
        <v>872</v>
      </c>
      <c r="E178" s="2" t="n">
        <v>126</v>
      </c>
      <c r="F178" s="2" t="n">
        <v>10</v>
      </c>
      <c r="G178" s="2" t="n">
        <v>1800</v>
      </c>
      <c r="H178" s="2" t="n">
        <v>3</v>
      </c>
      <c r="I178" s="3" t="n">
        <v>2377.53</v>
      </c>
      <c r="J178" s="3" t="n">
        <v>338.82</v>
      </c>
      <c r="K178" s="3" t="n">
        <v>3996.67</v>
      </c>
      <c r="L178" s="3" t="n">
        <v>1495.5</v>
      </c>
      <c r="M178" s="2" t="n">
        <v>11.4</v>
      </c>
      <c r="N178" s="2" t="s">
        <v>27</v>
      </c>
      <c r="O178" s="4" t="n">
        <f aca="false">VLOOKUP(F178,DIM_SERVICO!$A$2:$D$151,4,FALSE())</f>
        <v>338.82</v>
      </c>
      <c r="P178" s="4" t="n">
        <f aca="false">VLOOKUP(E178,DIM_PECA!$A$2:$F$501,6,FALSE())</f>
        <v>1335.13</v>
      </c>
      <c r="Q178" s="4" t="n">
        <f aca="false">VLOOKUP(E178,DIM_PECA!$A$2:$F$501,5,FALSE())</f>
        <v>792.51</v>
      </c>
      <c r="R178" s="4" t="n">
        <f aca="false">H178*P178</f>
        <v>4005.39</v>
      </c>
      <c r="S178" s="4" t="n">
        <f aca="false">O178*M178</f>
        <v>3862.548</v>
      </c>
      <c r="T178" s="4" t="n">
        <f aca="false">R178+S178</f>
        <v>7867.938</v>
      </c>
      <c r="U178" s="4" t="n">
        <f aca="false">T178-K178</f>
        <v>3871.268</v>
      </c>
      <c r="V178" s="4" t="n">
        <f aca="false">R178+S178-U178</f>
        <v>3996.67</v>
      </c>
      <c r="W178" s="5" t="str">
        <f aca="false">IF(ROUND(V178-K178,2)=0,"OK","ERRO")</f>
        <v>OK</v>
      </c>
      <c r="X178" s="5" t="str">
        <f aca="false">VLOOKUP(F178,DIM_SERVICO!$A$2:$D$151,3,FALSE())</f>
        <v>Diagnóstico</v>
      </c>
    </row>
    <row r="179" customFormat="false" ht="15" hidden="false" customHeight="false" outlineLevel="0" collapsed="false">
      <c r="A179" s="6" t="n">
        <v>178</v>
      </c>
      <c r="B179" s="6" t="n">
        <v>379</v>
      </c>
      <c r="C179" s="6" t="n">
        <v>206</v>
      </c>
      <c r="D179" s="6" t="n">
        <v>381</v>
      </c>
      <c r="E179" s="6" t="n">
        <v>114</v>
      </c>
      <c r="F179" s="6" t="n">
        <v>33</v>
      </c>
      <c r="G179" s="6" t="n">
        <v>61</v>
      </c>
      <c r="H179" s="6" t="n">
        <v>4</v>
      </c>
      <c r="I179" s="7" t="n">
        <v>2999.52</v>
      </c>
      <c r="J179" s="7" t="n">
        <v>538.49</v>
      </c>
      <c r="K179" s="7" t="n">
        <v>4918.75</v>
      </c>
      <c r="L179" s="7" t="n">
        <v>1708.89</v>
      </c>
      <c r="M179" s="6" t="n">
        <v>10.4</v>
      </c>
      <c r="N179" s="6" t="s">
        <v>26</v>
      </c>
      <c r="O179" s="8" t="n">
        <f aca="false">VLOOKUP(F179,DIM_SERVICO!$A$2:$D$151,4,FALSE())</f>
        <v>538.49</v>
      </c>
      <c r="P179" s="8" t="n">
        <f aca="false">VLOOKUP(E179,DIM_PECA!$A$2:$F$501,6,FALSE())</f>
        <v>1120.16</v>
      </c>
      <c r="Q179" s="8" t="n">
        <f aca="false">VLOOKUP(E179,DIM_PECA!$A$2:$F$501,5,FALSE())</f>
        <v>749.88</v>
      </c>
      <c r="R179" s="8" t="n">
        <f aca="false">H179*P179</f>
        <v>4480.64</v>
      </c>
      <c r="S179" s="8" t="n">
        <f aca="false">O179*M179</f>
        <v>5600.296</v>
      </c>
      <c r="T179" s="8" t="n">
        <f aca="false">R179+S179</f>
        <v>10080.936</v>
      </c>
      <c r="U179" s="8" t="n">
        <f aca="false">T179-K179</f>
        <v>5162.186</v>
      </c>
      <c r="V179" s="8" t="n">
        <f aca="false">R179+S179-U179</f>
        <v>4918.75</v>
      </c>
      <c r="W179" s="9" t="str">
        <f aca="false">IF(ROUND(V179-K179,2)=0,"OK","ERRO")</f>
        <v>OK</v>
      </c>
      <c r="X179" s="9" t="str">
        <f aca="false">VLOOKUP(F179,DIM_SERVICO!$A$2:$D$151,3,FALSE())</f>
        <v>Suspensão</v>
      </c>
    </row>
    <row r="180" customFormat="false" ht="15" hidden="false" customHeight="false" outlineLevel="0" collapsed="false">
      <c r="A180" s="2" t="n">
        <v>179</v>
      </c>
      <c r="B180" s="2" t="n">
        <v>1179</v>
      </c>
      <c r="C180" s="2" t="n">
        <v>1202</v>
      </c>
      <c r="D180" s="2" t="n">
        <v>272</v>
      </c>
      <c r="E180" s="2" t="n">
        <v>151</v>
      </c>
      <c r="F180" s="2" t="n">
        <v>1</v>
      </c>
      <c r="G180" s="2" t="n">
        <v>979</v>
      </c>
      <c r="H180" s="2" t="n">
        <v>3</v>
      </c>
      <c r="I180" s="3" t="n">
        <v>1681.47</v>
      </c>
      <c r="J180" s="3" t="n">
        <v>412.84</v>
      </c>
      <c r="K180" s="3" t="n">
        <v>3180.55</v>
      </c>
      <c r="L180" s="3" t="n">
        <v>1301.93</v>
      </c>
      <c r="M180" s="2" t="n">
        <v>4.4</v>
      </c>
      <c r="N180" s="2" t="s">
        <v>24</v>
      </c>
      <c r="O180" s="4" t="n">
        <f aca="false">VLOOKUP(F180,DIM_SERVICO!$A$2:$D$151,4,FALSE())</f>
        <v>412.84</v>
      </c>
      <c r="P180" s="4" t="n">
        <f aca="false">VLOOKUP(E180,DIM_PECA!$A$2:$F$501,6,FALSE())</f>
        <v>922.57</v>
      </c>
      <c r="Q180" s="4" t="n">
        <f aca="false">VLOOKUP(E180,DIM_PECA!$A$2:$F$501,5,FALSE())</f>
        <v>560.49</v>
      </c>
      <c r="R180" s="4" t="n">
        <f aca="false">H180*P180</f>
        <v>2767.71</v>
      </c>
      <c r="S180" s="4" t="n">
        <f aca="false">O180*M180</f>
        <v>1816.496</v>
      </c>
      <c r="T180" s="4" t="n">
        <f aca="false">R180+S180</f>
        <v>4584.206</v>
      </c>
      <c r="U180" s="4" t="n">
        <f aca="false">T180-K180</f>
        <v>1403.656</v>
      </c>
      <c r="V180" s="4" t="n">
        <f aca="false">R180+S180-U180</f>
        <v>3180.55</v>
      </c>
      <c r="W180" s="5" t="str">
        <f aca="false">IF(ROUND(V180-K180,2)=0,"OK","ERRO")</f>
        <v>OK</v>
      </c>
      <c r="X180" s="5" t="str">
        <f aca="false">VLOOKUP(F180,DIM_SERVICO!$A$2:$D$151,3,FALSE())</f>
        <v>Elétrica</v>
      </c>
    </row>
    <row r="181" customFormat="false" ht="15" hidden="false" customHeight="false" outlineLevel="0" collapsed="false">
      <c r="A181" s="6" t="n">
        <v>180</v>
      </c>
      <c r="B181" s="6" t="n">
        <v>1387</v>
      </c>
      <c r="C181" s="6" t="n">
        <v>1294</v>
      </c>
      <c r="D181" s="6" t="n">
        <v>769</v>
      </c>
      <c r="E181" s="6" t="n">
        <v>213</v>
      </c>
      <c r="F181" s="6" t="n">
        <v>87</v>
      </c>
      <c r="G181" s="6" t="n">
        <v>490</v>
      </c>
      <c r="H181" s="6" t="n">
        <v>2</v>
      </c>
      <c r="I181" s="7" t="n">
        <v>2178.46</v>
      </c>
      <c r="J181" s="7" t="n">
        <v>1231.26</v>
      </c>
      <c r="K181" s="7" t="n">
        <v>5279.45</v>
      </c>
      <c r="L181" s="7" t="n">
        <v>2657.76</v>
      </c>
      <c r="M181" s="6" t="n">
        <v>4.9</v>
      </c>
      <c r="N181" s="6" t="s">
        <v>26</v>
      </c>
      <c r="O181" s="8" t="n">
        <f aca="false">VLOOKUP(F181,DIM_SERVICO!$A$2:$D$151,4,FALSE())</f>
        <v>1231.26</v>
      </c>
      <c r="P181" s="8" t="n">
        <f aca="false">VLOOKUP(E181,DIM_PECA!$A$2:$F$501,6,FALSE())</f>
        <v>2163.03</v>
      </c>
      <c r="Q181" s="8" t="n">
        <f aca="false">VLOOKUP(E181,DIM_PECA!$A$2:$F$501,5,FALSE())</f>
        <v>1089.23</v>
      </c>
      <c r="R181" s="8" t="n">
        <f aca="false">H181*P181</f>
        <v>4326.06</v>
      </c>
      <c r="S181" s="8" t="n">
        <f aca="false">O181*M181</f>
        <v>6033.174</v>
      </c>
      <c r="T181" s="8" t="n">
        <f aca="false">R181+S181</f>
        <v>10359.234</v>
      </c>
      <c r="U181" s="8" t="n">
        <f aca="false">T181-K181</f>
        <v>5079.784</v>
      </c>
      <c r="V181" s="8" t="n">
        <f aca="false">R181+S181-U181</f>
        <v>5279.45</v>
      </c>
      <c r="W181" s="9" t="str">
        <f aca="false">IF(ROUND(V181-K181,2)=0,"OK","ERRO")</f>
        <v>OK</v>
      </c>
      <c r="X181" s="9" t="str">
        <f aca="false">VLOOKUP(F181,DIM_SERVICO!$A$2:$D$151,3,FALSE())</f>
        <v>Elétrica</v>
      </c>
    </row>
    <row r="182" customFormat="false" ht="15" hidden="false" customHeight="false" outlineLevel="0" collapsed="false">
      <c r="A182" s="2" t="n">
        <v>181</v>
      </c>
      <c r="B182" s="2" t="n">
        <v>481</v>
      </c>
      <c r="C182" s="2" t="n">
        <v>1354</v>
      </c>
      <c r="D182" s="2" t="n">
        <v>928</v>
      </c>
      <c r="E182" s="2" t="n">
        <v>490</v>
      </c>
      <c r="F182" s="2" t="n">
        <v>93</v>
      </c>
      <c r="G182" s="2" t="n">
        <v>985</v>
      </c>
      <c r="H182" s="2" t="n">
        <v>3</v>
      </c>
      <c r="I182" s="3" t="n">
        <v>2356.14</v>
      </c>
      <c r="J182" s="3" t="n">
        <v>2049.66</v>
      </c>
      <c r="K182" s="3" t="n">
        <v>6059.76</v>
      </c>
      <c r="L182" s="3" t="n">
        <v>2895.53</v>
      </c>
      <c r="M182" s="2" t="n">
        <v>7.3</v>
      </c>
      <c r="N182" s="2" t="s">
        <v>24</v>
      </c>
      <c r="O182" s="4" t="n">
        <f aca="false">VLOOKUP(F182,DIM_SERVICO!$A$2:$D$151,4,FALSE())</f>
        <v>2049.66</v>
      </c>
      <c r="P182" s="4" t="n">
        <f aca="false">VLOOKUP(E182,DIM_PECA!$A$2:$F$501,6,FALSE())</f>
        <v>1336.7</v>
      </c>
      <c r="Q182" s="4" t="n">
        <f aca="false">VLOOKUP(E182,DIM_PECA!$A$2:$F$501,5,FALSE())</f>
        <v>785.38</v>
      </c>
      <c r="R182" s="4" t="n">
        <f aca="false">H182*P182</f>
        <v>4010.1</v>
      </c>
      <c r="S182" s="4" t="n">
        <f aca="false">O182*M182</f>
        <v>14962.518</v>
      </c>
      <c r="T182" s="4" t="n">
        <f aca="false">R182+S182</f>
        <v>18972.618</v>
      </c>
      <c r="U182" s="4" t="n">
        <f aca="false">T182-K182</f>
        <v>12912.858</v>
      </c>
      <c r="V182" s="4" t="n">
        <f aca="false">R182+S182-U182</f>
        <v>6059.76</v>
      </c>
      <c r="W182" s="5" t="str">
        <f aca="false">IF(ROUND(V182-K182,2)=0,"OK","ERRO")</f>
        <v>OK</v>
      </c>
      <c r="X182" s="5" t="str">
        <f aca="false">VLOOKUP(F182,DIM_SERVICO!$A$2:$D$151,3,FALSE())</f>
        <v>Revisão</v>
      </c>
    </row>
    <row r="183" customFormat="false" ht="15" hidden="false" customHeight="false" outlineLevel="0" collapsed="false">
      <c r="A183" s="6" t="n">
        <v>182</v>
      </c>
      <c r="B183" s="6" t="n">
        <v>1498</v>
      </c>
      <c r="C183" s="6" t="n">
        <v>1033</v>
      </c>
      <c r="D183" s="6" t="n">
        <v>43</v>
      </c>
      <c r="E183" s="6" t="n">
        <v>360</v>
      </c>
      <c r="F183" s="6" t="n">
        <v>3</v>
      </c>
      <c r="G183" s="6" t="n">
        <v>57</v>
      </c>
      <c r="H183" s="6" t="n">
        <v>3</v>
      </c>
      <c r="I183" s="7" t="n">
        <v>3109.11</v>
      </c>
      <c r="J183" s="7" t="n">
        <v>274.77</v>
      </c>
      <c r="K183" s="7" t="n">
        <v>6202.11</v>
      </c>
      <c r="L183" s="7" t="n">
        <v>2975.3</v>
      </c>
      <c r="M183" s="6" t="n">
        <v>4.8</v>
      </c>
      <c r="N183" s="6" t="s">
        <v>27</v>
      </c>
      <c r="O183" s="8" t="n">
        <f aca="false">VLOOKUP(F183,DIM_SERVICO!$A$2:$D$151,4,FALSE())</f>
        <v>274.77</v>
      </c>
      <c r="P183" s="8" t="n">
        <f aca="false">VLOOKUP(E183,DIM_PECA!$A$2:$F$501,6,FALSE())</f>
        <v>1975.78</v>
      </c>
      <c r="Q183" s="8" t="n">
        <f aca="false">VLOOKUP(E183,DIM_PECA!$A$2:$F$501,5,FALSE())</f>
        <v>1036.37</v>
      </c>
      <c r="R183" s="8" t="n">
        <f aca="false">H183*P183</f>
        <v>5927.34</v>
      </c>
      <c r="S183" s="8" t="n">
        <f aca="false">O183*M183</f>
        <v>1318.896</v>
      </c>
      <c r="T183" s="8" t="n">
        <f aca="false">R183+S183</f>
        <v>7246.236</v>
      </c>
      <c r="U183" s="8" t="n">
        <f aca="false">T183-K183</f>
        <v>1044.126</v>
      </c>
      <c r="V183" s="8" t="n">
        <f aca="false">R183+S183-U183</f>
        <v>6202.11</v>
      </c>
      <c r="W183" s="9" t="str">
        <f aca="false">IF(ROUND(V183-K183,2)=0,"OK","ERRO")</f>
        <v>OK</v>
      </c>
      <c r="X183" s="9" t="str">
        <f aca="false">VLOOKUP(F183,DIM_SERVICO!$A$2:$D$151,3,FALSE())</f>
        <v>Pintura</v>
      </c>
    </row>
    <row r="184" customFormat="false" ht="15" hidden="false" customHeight="false" outlineLevel="0" collapsed="false">
      <c r="A184" s="2" t="n">
        <v>183</v>
      </c>
      <c r="B184" s="2" t="n">
        <v>154</v>
      </c>
      <c r="C184" s="2" t="n">
        <v>739</v>
      </c>
      <c r="D184" s="2" t="n">
        <v>80</v>
      </c>
      <c r="E184" s="2" t="n">
        <v>48</v>
      </c>
      <c r="F184" s="2" t="n">
        <v>80</v>
      </c>
      <c r="G184" s="2" t="n">
        <v>882</v>
      </c>
      <c r="H184" s="2" t="n">
        <v>2</v>
      </c>
      <c r="I184" s="3" t="n">
        <v>1907.94</v>
      </c>
      <c r="J184" s="3" t="n">
        <v>2134.39</v>
      </c>
      <c r="K184" s="3" t="n">
        <v>5479.81</v>
      </c>
      <c r="L184" s="3" t="n">
        <v>2773.06</v>
      </c>
      <c r="M184" s="2" t="n">
        <v>4.7</v>
      </c>
      <c r="N184" s="2" t="s">
        <v>24</v>
      </c>
      <c r="O184" s="4" t="n">
        <f aca="false">VLOOKUP(F184,DIM_SERVICO!$A$2:$D$151,4,FALSE())</f>
        <v>2134.39</v>
      </c>
      <c r="P184" s="4" t="n">
        <f aca="false">VLOOKUP(E184,DIM_PECA!$A$2:$F$501,6,FALSE())</f>
        <v>1910.96</v>
      </c>
      <c r="Q184" s="4" t="n">
        <f aca="false">VLOOKUP(E184,DIM_PECA!$A$2:$F$501,5,FALSE())</f>
        <v>953.97</v>
      </c>
      <c r="R184" s="4" t="n">
        <f aca="false">H184*P184</f>
        <v>3821.92</v>
      </c>
      <c r="S184" s="4" t="n">
        <f aca="false">O184*M184</f>
        <v>10031.633</v>
      </c>
      <c r="T184" s="4" t="n">
        <f aca="false">R184+S184</f>
        <v>13853.553</v>
      </c>
      <c r="U184" s="4" t="n">
        <f aca="false">T184-K184</f>
        <v>8373.743</v>
      </c>
      <c r="V184" s="4" t="n">
        <f aca="false">R184+S184-U184</f>
        <v>5479.81</v>
      </c>
      <c r="W184" s="5" t="str">
        <f aca="false">IF(ROUND(V184-K184,2)=0,"OK","ERRO")</f>
        <v>OK</v>
      </c>
      <c r="X184" s="5" t="str">
        <f aca="false">VLOOKUP(F184,DIM_SERVICO!$A$2:$D$151,3,FALSE())</f>
        <v>Suspensão</v>
      </c>
    </row>
    <row r="185" customFormat="false" ht="15" hidden="false" customHeight="false" outlineLevel="0" collapsed="false">
      <c r="A185" s="6" t="n">
        <v>184</v>
      </c>
      <c r="B185" s="6" t="n">
        <v>1188</v>
      </c>
      <c r="C185" s="6" t="n">
        <v>37</v>
      </c>
      <c r="D185" s="6" t="n">
        <v>413</v>
      </c>
      <c r="E185" s="6" t="n">
        <v>296</v>
      </c>
      <c r="F185" s="6" t="n">
        <v>66</v>
      </c>
      <c r="G185" s="6" t="n">
        <v>1574</v>
      </c>
      <c r="H185" s="6" t="n">
        <v>3</v>
      </c>
      <c r="I185" s="7" t="n">
        <v>1308.57</v>
      </c>
      <c r="J185" s="7" t="n">
        <v>1805.9</v>
      </c>
      <c r="K185" s="7" t="n">
        <v>3665.97</v>
      </c>
      <c r="L185" s="7" t="n">
        <v>1421.17</v>
      </c>
      <c r="M185" s="6" t="n">
        <v>8.7</v>
      </c>
      <c r="N185" s="6" t="s">
        <v>25</v>
      </c>
      <c r="O185" s="8" t="n">
        <f aca="false">VLOOKUP(F185,DIM_SERVICO!$A$2:$D$151,4,FALSE())</f>
        <v>1805.9</v>
      </c>
      <c r="P185" s="8" t="n">
        <f aca="false">VLOOKUP(E185,DIM_PECA!$A$2:$F$501,6,FALSE())</f>
        <v>755.8</v>
      </c>
      <c r="Q185" s="8" t="n">
        <f aca="false">VLOOKUP(E185,DIM_PECA!$A$2:$F$501,5,FALSE())</f>
        <v>436.19</v>
      </c>
      <c r="R185" s="8" t="n">
        <f aca="false">H185*P185</f>
        <v>2267.4</v>
      </c>
      <c r="S185" s="8" t="n">
        <f aca="false">O185*M185</f>
        <v>15711.33</v>
      </c>
      <c r="T185" s="8" t="n">
        <f aca="false">R185+S185</f>
        <v>17978.73</v>
      </c>
      <c r="U185" s="8" t="n">
        <f aca="false">T185-K185</f>
        <v>14312.76</v>
      </c>
      <c r="V185" s="8" t="n">
        <f aca="false">R185+S185-U185</f>
        <v>3665.97</v>
      </c>
      <c r="W185" s="9" t="str">
        <f aca="false">IF(ROUND(V185-K185,2)=0,"OK","ERRO")</f>
        <v>OK</v>
      </c>
      <c r="X185" s="9" t="str">
        <f aca="false">VLOOKUP(F185,DIM_SERVICO!$A$2:$D$151,3,FALSE())</f>
        <v>Pintura</v>
      </c>
    </row>
    <row r="186" customFormat="false" ht="15" hidden="false" customHeight="false" outlineLevel="0" collapsed="false">
      <c r="A186" s="2" t="n">
        <v>185</v>
      </c>
      <c r="B186" s="2" t="n">
        <v>612</v>
      </c>
      <c r="C186" s="2" t="n">
        <v>1488</v>
      </c>
      <c r="D186" s="2" t="n">
        <v>525</v>
      </c>
      <c r="E186" s="2" t="n">
        <v>199</v>
      </c>
      <c r="F186" s="2" t="n">
        <v>74</v>
      </c>
      <c r="G186" s="2" t="n">
        <v>1317</v>
      </c>
      <c r="H186" s="2" t="n">
        <v>2</v>
      </c>
      <c r="I186" s="3" t="n">
        <v>1191.48</v>
      </c>
      <c r="J186" s="3" t="n">
        <v>821.88</v>
      </c>
      <c r="K186" s="3" t="n">
        <v>3166.04</v>
      </c>
      <c r="L186" s="3" t="n">
        <v>1670.85</v>
      </c>
      <c r="M186" s="2" t="n">
        <v>9.3</v>
      </c>
      <c r="N186" s="2" t="s">
        <v>24</v>
      </c>
      <c r="O186" s="4" t="n">
        <f aca="false">VLOOKUP(F186,DIM_SERVICO!$A$2:$D$151,4,FALSE())</f>
        <v>821.88</v>
      </c>
      <c r="P186" s="4" t="n">
        <f aca="false">VLOOKUP(E186,DIM_PECA!$A$2:$F$501,6,FALSE())</f>
        <v>1172.08</v>
      </c>
      <c r="Q186" s="4" t="n">
        <f aca="false">VLOOKUP(E186,DIM_PECA!$A$2:$F$501,5,FALSE())</f>
        <v>595.74</v>
      </c>
      <c r="R186" s="4" t="n">
        <f aca="false">H186*P186</f>
        <v>2344.16</v>
      </c>
      <c r="S186" s="4" t="n">
        <f aca="false">O186*M186</f>
        <v>7643.484</v>
      </c>
      <c r="T186" s="4" t="n">
        <f aca="false">R186+S186</f>
        <v>9987.644</v>
      </c>
      <c r="U186" s="4" t="n">
        <f aca="false">T186-K186</f>
        <v>6821.604</v>
      </c>
      <c r="V186" s="4" t="n">
        <f aca="false">R186+S186-U186</f>
        <v>3166.04</v>
      </c>
      <c r="W186" s="5" t="str">
        <f aca="false">IF(ROUND(V186-K186,2)=0,"OK","ERRO")</f>
        <v>OK</v>
      </c>
      <c r="X186" s="5" t="str">
        <f aca="false">VLOOKUP(F186,DIM_SERVICO!$A$2:$D$151,3,FALSE())</f>
        <v>Revisão</v>
      </c>
    </row>
    <row r="187" customFormat="false" ht="15" hidden="false" customHeight="false" outlineLevel="0" collapsed="false">
      <c r="A187" s="6" t="n">
        <v>186</v>
      </c>
      <c r="B187" s="6" t="n">
        <v>1274</v>
      </c>
      <c r="C187" s="6" t="n">
        <v>1225</v>
      </c>
      <c r="D187" s="6" t="n">
        <v>45</v>
      </c>
      <c r="E187" s="6" t="n">
        <v>72</v>
      </c>
      <c r="F187" s="6" t="n">
        <v>55</v>
      </c>
      <c r="G187" s="6" t="n">
        <v>347</v>
      </c>
      <c r="H187" s="6" t="n">
        <v>1</v>
      </c>
      <c r="I187" s="7" t="n">
        <v>932.89</v>
      </c>
      <c r="J187" s="7" t="n">
        <v>176.18</v>
      </c>
      <c r="K187" s="7" t="n">
        <v>1950.97</v>
      </c>
      <c r="L187" s="7" t="n">
        <v>943.19</v>
      </c>
      <c r="M187" s="6" t="n">
        <v>1.7</v>
      </c>
      <c r="N187" s="6" t="s">
        <v>24</v>
      </c>
      <c r="O187" s="8" t="n">
        <f aca="false">VLOOKUP(F187,DIM_SERVICO!$A$2:$D$151,4,FALSE())</f>
        <v>176.18</v>
      </c>
      <c r="P187" s="8" t="n">
        <f aca="false">VLOOKUP(E187,DIM_PECA!$A$2:$F$501,6,FALSE())</f>
        <v>1774.79</v>
      </c>
      <c r="Q187" s="8" t="n">
        <f aca="false">VLOOKUP(E187,DIM_PECA!$A$2:$F$501,5,FALSE())</f>
        <v>932.89</v>
      </c>
      <c r="R187" s="8" t="n">
        <f aca="false">H187*P187</f>
        <v>1774.79</v>
      </c>
      <c r="S187" s="8" t="n">
        <f aca="false">O187*M187</f>
        <v>299.506</v>
      </c>
      <c r="T187" s="8" t="n">
        <f aca="false">R187+S187</f>
        <v>2074.296</v>
      </c>
      <c r="U187" s="8" t="n">
        <f aca="false">T187-K187</f>
        <v>123.326</v>
      </c>
      <c r="V187" s="8" t="n">
        <f aca="false">R187+S187-U187</f>
        <v>1950.97</v>
      </c>
      <c r="W187" s="9" t="str">
        <f aca="false">IF(ROUND(V187-K187,2)=0,"OK","ERRO")</f>
        <v>OK</v>
      </c>
      <c r="X187" s="9" t="str">
        <f aca="false">VLOOKUP(F187,DIM_SERVICO!$A$2:$D$151,3,FALSE())</f>
        <v>Motor</v>
      </c>
    </row>
    <row r="188" customFormat="false" ht="15" hidden="false" customHeight="false" outlineLevel="0" collapsed="false">
      <c r="A188" s="2" t="n">
        <v>187</v>
      </c>
      <c r="B188" s="2" t="n">
        <v>346</v>
      </c>
      <c r="C188" s="2" t="n">
        <v>1070</v>
      </c>
      <c r="D188" s="2" t="n">
        <v>984</v>
      </c>
      <c r="E188" s="2" t="n">
        <v>477</v>
      </c>
      <c r="F188" s="2" t="n">
        <v>2</v>
      </c>
      <c r="G188" s="2" t="n">
        <v>832</v>
      </c>
      <c r="H188" s="2" t="n">
        <v>1</v>
      </c>
      <c r="I188" s="3" t="n">
        <v>190.58</v>
      </c>
      <c r="J188" s="3" t="n">
        <v>1072.4</v>
      </c>
      <c r="K188" s="3" t="n">
        <v>1244.28</v>
      </c>
      <c r="L188" s="3" t="n">
        <v>550.99</v>
      </c>
      <c r="M188" s="2" t="n">
        <v>6.1</v>
      </c>
      <c r="N188" s="2" t="s">
        <v>26</v>
      </c>
      <c r="O188" s="4" t="n">
        <f aca="false">VLOOKUP(F188,DIM_SERVICO!$A$2:$D$151,4,FALSE())</f>
        <v>1072.4</v>
      </c>
      <c r="P188" s="4" t="n">
        <f aca="false">VLOOKUP(E188,DIM_PECA!$A$2:$F$501,6,FALSE())</f>
        <v>310.13</v>
      </c>
      <c r="Q188" s="4" t="n">
        <f aca="false">VLOOKUP(E188,DIM_PECA!$A$2:$F$501,5,FALSE())</f>
        <v>190.58</v>
      </c>
      <c r="R188" s="4" t="n">
        <f aca="false">H188*P188</f>
        <v>310.13</v>
      </c>
      <c r="S188" s="4" t="n">
        <f aca="false">O188*M188</f>
        <v>6541.64</v>
      </c>
      <c r="T188" s="4" t="n">
        <f aca="false">R188+S188</f>
        <v>6851.77</v>
      </c>
      <c r="U188" s="4" t="n">
        <f aca="false">T188-K188</f>
        <v>5607.49</v>
      </c>
      <c r="V188" s="4" t="n">
        <f aca="false">R188+S188-U188</f>
        <v>1244.28</v>
      </c>
      <c r="W188" s="5" t="str">
        <f aca="false">IF(ROUND(V188-K188,2)=0,"OK","ERRO")</f>
        <v>OK</v>
      </c>
      <c r="X188" s="5" t="str">
        <f aca="false">VLOOKUP(F188,DIM_SERVICO!$A$2:$D$151,3,FALSE())</f>
        <v>Suspensão</v>
      </c>
    </row>
    <row r="189" customFormat="false" ht="15" hidden="false" customHeight="false" outlineLevel="0" collapsed="false">
      <c r="A189" s="6" t="n">
        <v>188</v>
      </c>
      <c r="B189" s="6" t="n">
        <v>1225</v>
      </c>
      <c r="C189" s="6" t="n">
        <v>715</v>
      </c>
      <c r="D189" s="6" t="n">
        <v>61</v>
      </c>
      <c r="E189" s="6" t="n">
        <v>234</v>
      </c>
      <c r="F189" s="6" t="n">
        <v>88</v>
      </c>
      <c r="G189" s="6" t="n">
        <v>246</v>
      </c>
      <c r="H189" s="6" t="n">
        <v>2</v>
      </c>
      <c r="I189" s="7" t="n">
        <v>881.66</v>
      </c>
      <c r="J189" s="7" t="n">
        <v>757.58</v>
      </c>
      <c r="K189" s="7" t="n">
        <v>2290.14</v>
      </c>
      <c r="L189" s="7" t="n">
        <v>1019.88</v>
      </c>
      <c r="M189" s="6" t="n">
        <v>5.9</v>
      </c>
      <c r="N189" s="6" t="s">
        <v>24</v>
      </c>
      <c r="O189" s="8" t="n">
        <f aca="false">VLOOKUP(F189,DIM_SERVICO!$A$2:$D$151,4,FALSE())</f>
        <v>757.58</v>
      </c>
      <c r="P189" s="8" t="n">
        <f aca="false">VLOOKUP(E189,DIM_PECA!$A$2:$F$501,6,FALSE())</f>
        <v>789.65</v>
      </c>
      <c r="Q189" s="8" t="n">
        <f aca="false">VLOOKUP(E189,DIM_PECA!$A$2:$F$501,5,FALSE())</f>
        <v>440.83</v>
      </c>
      <c r="R189" s="8" t="n">
        <f aca="false">H189*P189</f>
        <v>1579.3</v>
      </c>
      <c r="S189" s="8" t="n">
        <f aca="false">O189*M189</f>
        <v>4469.722</v>
      </c>
      <c r="T189" s="8" t="n">
        <f aca="false">R189+S189</f>
        <v>6049.022</v>
      </c>
      <c r="U189" s="8" t="n">
        <f aca="false">T189-K189</f>
        <v>3758.882</v>
      </c>
      <c r="V189" s="8" t="n">
        <f aca="false">R189+S189-U189</f>
        <v>2290.14</v>
      </c>
      <c r="W189" s="9" t="str">
        <f aca="false">IF(ROUND(V189-K189,2)=0,"OK","ERRO")</f>
        <v>OK</v>
      </c>
      <c r="X189" s="9" t="str">
        <f aca="false">VLOOKUP(F189,DIM_SERVICO!$A$2:$D$151,3,FALSE())</f>
        <v>Motor</v>
      </c>
    </row>
    <row r="190" customFormat="false" ht="15" hidden="false" customHeight="false" outlineLevel="0" collapsed="false">
      <c r="A190" s="2" t="n">
        <v>189</v>
      </c>
      <c r="B190" s="2" t="n">
        <v>1251</v>
      </c>
      <c r="C190" s="2" t="n">
        <v>726</v>
      </c>
      <c r="D190" s="2" t="n">
        <v>45</v>
      </c>
      <c r="E190" s="2" t="n">
        <v>144</v>
      </c>
      <c r="F190" s="2" t="n">
        <v>103</v>
      </c>
      <c r="G190" s="2" t="n">
        <v>193</v>
      </c>
      <c r="H190" s="2" t="n">
        <v>4</v>
      </c>
      <c r="I190" s="3" t="n">
        <v>298.96</v>
      </c>
      <c r="J190" s="3" t="n">
        <v>96.61</v>
      </c>
      <c r="K190" s="3" t="n">
        <v>661.12</v>
      </c>
      <c r="L190" s="3" t="n">
        <v>325.26</v>
      </c>
      <c r="M190" s="2" t="n">
        <v>8.2</v>
      </c>
      <c r="N190" s="2" t="s">
        <v>24</v>
      </c>
      <c r="O190" s="4" t="n">
        <f aca="false">VLOOKUP(F190,DIM_SERVICO!$A$2:$D$151,4,FALSE())</f>
        <v>96.61</v>
      </c>
      <c r="P190" s="4" t="n">
        <f aca="false">VLOOKUP(E190,DIM_PECA!$A$2:$F$501,6,FALSE())</f>
        <v>155.5</v>
      </c>
      <c r="Q190" s="4" t="n">
        <f aca="false">VLOOKUP(E190,DIM_PECA!$A$2:$F$501,5,FALSE())</f>
        <v>74.74</v>
      </c>
      <c r="R190" s="4" t="n">
        <f aca="false">H190*P190</f>
        <v>622</v>
      </c>
      <c r="S190" s="4" t="n">
        <f aca="false">O190*M190</f>
        <v>792.202</v>
      </c>
      <c r="T190" s="4" t="n">
        <f aca="false">R190+S190</f>
        <v>1414.202</v>
      </c>
      <c r="U190" s="4" t="n">
        <f aca="false">T190-K190</f>
        <v>753.082</v>
      </c>
      <c r="V190" s="4" t="n">
        <f aca="false">R190+S190-U190</f>
        <v>661.12</v>
      </c>
      <c r="W190" s="5" t="str">
        <f aca="false">IF(ROUND(V190-K190,2)=0,"OK","ERRO")</f>
        <v>OK</v>
      </c>
      <c r="X190" s="5" t="str">
        <f aca="false">VLOOKUP(F190,DIM_SERVICO!$A$2:$D$151,3,FALSE())</f>
        <v>Revisão</v>
      </c>
    </row>
    <row r="191" customFormat="false" ht="15" hidden="false" customHeight="false" outlineLevel="0" collapsed="false">
      <c r="A191" s="6" t="n">
        <v>190</v>
      </c>
      <c r="B191" s="6" t="n">
        <v>958</v>
      </c>
      <c r="C191" s="6" t="n">
        <v>1056</v>
      </c>
      <c r="D191" s="6" t="n">
        <v>1118</v>
      </c>
      <c r="E191" s="6" t="n">
        <v>485</v>
      </c>
      <c r="F191" s="6" t="n">
        <v>73</v>
      </c>
      <c r="G191" s="6" t="n">
        <v>402</v>
      </c>
      <c r="H191" s="6" t="n">
        <v>4</v>
      </c>
      <c r="I191" s="7" t="n">
        <v>1906.28</v>
      </c>
      <c r="J191" s="7" t="n">
        <v>2131.99</v>
      </c>
      <c r="K191" s="7" t="n">
        <v>5580.31</v>
      </c>
      <c r="L191" s="7" t="n">
        <v>2746.62</v>
      </c>
      <c r="M191" s="6" t="n">
        <v>10.5</v>
      </c>
      <c r="N191" s="6" t="s">
        <v>27</v>
      </c>
      <c r="O191" s="8" t="n">
        <f aca="false">VLOOKUP(F191,DIM_SERVICO!$A$2:$D$151,4,FALSE())</f>
        <v>2131.99</v>
      </c>
      <c r="P191" s="8" t="n">
        <f aca="false">VLOOKUP(E191,DIM_PECA!$A$2:$F$501,6,FALSE())</f>
        <v>862.08</v>
      </c>
      <c r="Q191" s="8" t="n">
        <f aca="false">VLOOKUP(E191,DIM_PECA!$A$2:$F$501,5,FALSE())</f>
        <v>476.57</v>
      </c>
      <c r="R191" s="8" t="n">
        <f aca="false">H191*P191</f>
        <v>3448.32</v>
      </c>
      <c r="S191" s="8" t="n">
        <f aca="false">O191*M191</f>
        <v>22385.895</v>
      </c>
      <c r="T191" s="8" t="n">
        <f aca="false">R191+S191</f>
        <v>25834.215</v>
      </c>
      <c r="U191" s="8" t="n">
        <f aca="false">T191-K191</f>
        <v>20253.905</v>
      </c>
      <c r="V191" s="8" t="n">
        <f aca="false">R191+S191-U191</f>
        <v>5580.31</v>
      </c>
      <c r="W191" s="9" t="str">
        <f aca="false">IF(ROUND(V191-K191,2)=0,"OK","ERRO")</f>
        <v>OK</v>
      </c>
      <c r="X191" s="9" t="str">
        <f aca="false">VLOOKUP(F191,DIM_SERVICO!$A$2:$D$151,3,FALSE())</f>
        <v>Suspensão</v>
      </c>
    </row>
    <row r="192" customFormat="false" ht="15" hidden="false" customHeight="false" outlineLevel="0" collapsed="false">
      <c r="A192" s="2" t="n">
        <v>191</v>
      </c>
      <c r="B192" s="2" t="n">
        <v>868</v>
      </c>
      <c r="C192" s="2" t="n">
        <v>1143</v>
      </c>
      <c r="D192" s="2" t="n">
        <v>1147</v>
      </c>
      <c r="E192" s="2" t="n">
        <v>256</v>
      </c>
      <c r="F192" s="2" t="n">
        <v>43</v>
      </c>
      <c r="G192" s="2" t="n">
        <v>21</v>
      </c>
      <c r="H192" s="2" t="n">
        <v>2</v>
      </c>
      <c r="I192" s="3" t="n">
        <v>1116.8</v>
      </c>
      <c r="J192" s="3" t="n">
        <v>1163.17</v>
      </c>
      <c r="K192" s="3" t="n">
        <v>3118.73</v>
      </c>
      <c r="L192" s="3" t="n">
        <v>1535.01</v>
      </c>
      <c r="M192" s="2" t="n">
        <v>11.8</v>
      </c>
      <c r="N192" s="2" t="s">
        <v>25</v>
      </c>
      <c r="O192" s="4" t="n">
        <f aca="false">VLOOKUP(F192,DIM_SERVICO!$A$2:$D$151,4,FALSE())</f>
        <v>1163.17</v>
      </c>
      <c r="P192" s="4" t="n">
        <f aca="false">VLOOKUP(E192,DIM_PECA!$A$2:$F$501,6,FALSE())</f>
        <v>977.78</v>
      </c>
      <c r="Q192" s="4" t="n">
        <f aca="false">VLOOKUP(E192,DIM_PECA!$A$2:$F$501,5,FALSE())</f>
        <v>558.4</v>
      </c>
      <c r="R192" s="4" t="n">
        <f aca="false">H192*P192</f>
        <v>1955.56</v>
      </c>
      <c r="S192" s="4" t="n">
        <f aca="false">O192*M192</f>
        <v>13725.406</v>
      </c>
      <c r="T192" s="4" t="n">
        <f aca="false">R192+S192</f>
        <v>15680.966</v>
      </c>
      <c r="U192" s="4" t="n">
        <f aca="false">T192-K192</f>
        <v>12562.236</v>
      </c>
      <c r="V192" s="4" t="n">
        <f aca="false">R192+S192-U192</f>
        <v>3118.73</v>
      </c>
      <c r="W192" s="5" t="str">
        <f aca="false">IF(ROUND(V192-K192,2)=0,"OK","ERRO")</f>
        <v>OK</v>
      </c>
      <c r="X192" s="5" t="str">
        <f aca="false">VLOOKUP(F192,DIM_SERVICO!$A$2:$D$151,3,FALSE())</f>
        <v>Diagnóstico</v>
      </c>
    </row>
    <row r="193" customFormat="false" ht="15" hidden="false" customHeight="false" outlineLevel="0" collapsed="false">
      <c r="A193" s="6" t="n">
        <v>192</v>
      </c>
      <c r="B193" s="6" t="n">
        <v>1279</v>
      </c>
      <c r="C193" s="6" t="n">
        <v>165</v>
      </c>
      <c r="D193" s="6" t="n">
        <v>58</v>
      </c>
      <c r="E193" s="6" t="n">
        <v>425</v>
      </c>
      <c r="F193" s="6" t="n">
        <v>59</v>
      </c>
      <c r="G193" s="6" t="n">
        <v>786</v>
      </c>
      <c r="H193" s="6" t="n">
        <v>3</v>
      </c>
      <c r="I193" s="7" t="n">
        <v>533.46</v>
      </c>
      <c r="J193" s="7" t="n">
        <v>340.97</v>
      </c>
      <c r="K193" s="7" t="n">
        <v>1502.3</v>
      </c>
      <c r="L193" s="7" t="n">
        <v>830.11</v>
      </c>
      <c r="M193" s="6" t="n">
        <v>9.1</v>
      </c>
      <c r="N193" s="6" t="s">
        <v>24</v>
      </c>
      <c r="O193" s="8" t="n">
        <f aca="false">VLOOKUP(F193,DIM_SERVICO!$A$2:$D$151,4,FALSE())</f>
        <v>340.97</v>
      </c>
      <c r="P193" s="8" t="n">
        <f aca="false">VLOOKUP(E193,DIM_PECA!$A$2:$F$501,6,FALSE())</f>
        <v>387.11</v>
      </c>
      <c r="Q193" s="8" t="n">
        <f aca="false">VLOOKUP(E193,DIM_PECA!$A$2:$F$501,5,FALSE())</f>
        <v>177.82</v>
      </c>
      <c r="R193" s="8" t="n">
        <f aca="false">H193*P193</f>
        <v>1161.33</v>
      </c>
      <c r="S193" s="8" t="n">
        <f aca="false">O193*M193</f>
        <v>3102.827</v>
      </c>
      <c r="T193" s="8" t="n">
        <f aca="false">R193+S193</f>
        <v>4264.157</v>
      </c>
      <c r="U193" s="8" t="n">
        <f aca="false">T193-K193</f>
        <v>2761.857</v>
      </c>
      <c r="V193" s="8" t="n">
        <f aca="false">R193+S193-U193</f>
        <v>1502.3</v>
      </c>
      <c r="W193" s="9" t="str">
        <f aca="false">IF(ROUND(V193-K193,2)=0,"OK","ERRO")</f>
        <v>OK</v>
      </c>
      <c r="X193" s="9" t="str">
        <f aca="false">VLOOKUP(F193,DIM_SERVICO!$A$2:$D$151,3,FALSE())</f>
        <v>Revisão</v>
      </c>
    </row>
    <row r="194" customFormat="false" ht="15" hidden="false" customHeight="false" outlineLevel="0" collapsed="false">
      <c r="A194" s="2" t="n">
        <v>193</v>
      </c>
      <c r="B194" s="2" t="n">
        <v>291</v>
      </c>
      <c r="C194" s="2" t="n">
        <v>182</v>
      </c>
      <c r="D194" s="2" t="n">
        <v>454</v>
      </c>
      <c r="E194" s="2" t="n">
        <v>150</v>
      </c>
      <c r="F194" s="2" t="n">
        <v>37</v>
      </c>
      <c r="G194" s="2" t="n">
        <v>1480</v>
      </c>
      <c r="H194" s="2" t="n">
        <v>4</v>
      </c>
      <c r="I194" s="3" t="n">
        <v>1460.12</v>
      </c>
      <c r="J194" s="3" t="n">
        <v>388.25</v>
      </c>
      <c r="K194" s="3" t="n">
        <v>3332.05</v>
      </c>
      <c r="L194" s="3" t="n">
        <v>1682.76</v>
      </c>
      <c r="M194" s="2" t="n">
        <v>11.3</v>
      </c>
      <c r="N194" s="2" t="s">
        <v>25</v>
      </c>
      <c r="O194" s="4" t="n">
        <f aca="false">VLOOKUP(F194,DIM_SERVICO!$A$2:$D$151,4,FALSE())</f>
        <v>388.25</v>
      </c>
      <c r="P194" s="4" t="n">
        <f aca="false">VLOOKUP(E194,DIM_PECA!$A$2:$F$501,6,FALSE())</f>
        <v>735.95</v>
      </c>
      <c r="Q194" s="4" t="n">
        <f aca="false">VLOOKUP(E194,DIM_PECA!$A$2:$F$501,5,FALSE())</f>
        <v>365.03</v>
      </c>
      <c r="R194" s="4" t="n">
        <f aca="false">H194*P194</f>
        <v>2943.8</v>
      </c>
      <c r="S194" s="4" t="n">
        <f aca="false">O194*M194</f>
        <v>4387.225</v>
      </c>
      <c r="T194" s="4" t="n">
        <f aca="false">R194+S194</f>
        <v>7331.025</v>
      </c>
      <c r="U194" s="4" t="n">
        <f aca="false">T194-K194</f>
        <v>3998.975</v>
      </c>
      <c r="V194" s="4" t="n">
        <f aca="false">R194+S194-U194</f>
        <v>3332.05</v>
      </c>
      <c r="W194" s="5" t="str">
        <f aca="false">IF(ROUND(V194-K194,2)=0,"OK","ERRO")</f>
        <v>OK</v>
      </c>
      <c r="X194" s="5" t="str">
        <f aca="false">VLOOKUP(F194,DIM_SERVICO!$A$2:$D$151,3,FALSE())</f>
        <v>Freios</v>
      </c>
    </row>
    <row r="195" customFormat="false" ht="15" hidden="false" customHeight="false" outlineLevel="0" collapsed="false">
      <c r="A195" s="6" t="n">
        <v>194</v>
      </c>
      <c r="B195" s="6" t="n">
        <v>311</v>
      </c>
      <c r="C195" s="6" t="n">
        <v>606</v>
      </c>
      <c r="D195" s="6" t="n">
        <v>608</v>
      </c>
      <c r="E195" s="6" t="n">
        <v>112</v>
      </c>
      <c r="F195" s="6" t="n">
        <v>17</v>
      </c>
      <c r="G195" s="6" t="n">
        <v>1769</v>
      </c>
      <c r="H195" s="6" t="n">
        <v>3</v>
      </c>
      <c r="I195" s="7" t="n">
        <v>1887.69</v>
      </c>
      <c r="J195" s="7" t="n">
        <v>131.97</v>
      </c>
      <c r="K195" s="7" t="n">
        <v>3677.37</v>
      </c>
      <c r="L195" s="7" t="n">
        <v>1728.17</v>
      </c>
      <c r="M195" s="6" t="n">
        <v>0.7</v>
      </c>
      <c r="N195" s="6" t="s">
        <v>24</v>
      </c>
      <c r="O195" s="8" t="n">
        <f aca="false">VLOOKUP(F195,DIM_SERVICO!$A$2:$D$151,4,FALSE())</f>
        <v>131.97</v>
      </c>
      <c r="P195" s="8" t="n">
        <f aca="false">VLOOKUP(E195,DIM_PECA!$A$2:$F$501,6,FALSE())</f>
        <v>1181.8</v>
      </c>
      <c r="Q195" s="8" t="n">
        <f aca="false">VLOOKUP(E195,DIM_PECA!$A$2:$F$501,5,FALSE())</f>
        <v>629.23</v>
      </c>
      <c r="R195" s="8" t="n">
        <f aca="false">H195*P195</f>
        <v>3545.4</v>
      </c>
      <c r="S195" s="8" t="n">
        <f aca="false">O195*M195</f>
        <v>92.379</v>
      </c>
      <c r="T195" s="8" t="n">
        <f aca="false">R195+S195</f>
        <v>3637.779</v>
      </c>
      <c r="U195" s="8" t="n">
        <f aca="false">T195-K195</f>
        <v>-39.5910000000004</v>
      </c>
      <c r="V195" s="8" t="n">
        <f aca="false">R195+S195-U195</f>
        <v>3677.37</v>
      </c>
      <c r="W195" s="9" t="str">
        <f aca="false">IF(ROUND(V195-K195,2)=0,"OK","ERRO")</f>
        <v>OK</v>
      </c>
      <c r="X195" s="9" t="str">
        <f aca="false">VLOOKUP(F195,DIM_SERVICO!$A$2:$D$151,3,FALSE())</f>
        <v>Pintura</v>
      </c>
    </row>
    <row r="196" customFormat="false" ht="15" hidden="false" customHeight="false" outlineLevel="0" collapsed="false">
      <c r="A196" s="2" t="n">
        <v>195</v>
      </c>
      <c r="B196" s="2" t="n">
        <v>599</v>
      </c>
      <c r="C196" s="2" t="n">
        <v>1147</v>
      </c>
      <c r="D196" s="2" t="n">
        <v>91</v>
      </c>
      <c r="E196" s="2" t="n">
        <v>26</v>
      </c>
      <c r="F196" s="2" t="n">
        <v>38</v>
      </c>
      <c r="G196" s="2" t="n">
        <v>1287</v>
      </c>
      <c r="H196" s="2" t="n">
        <v>1</v>
      </c>
      <c r="I196" s="3" t="n">
        <v>342.45</v>
      </c>
      <c r="J196" s="3" t="n">
        <v>1721.52</v>
      </c>
      <c r="K196" s="3" t="n">
        <v>2357.11</v>
      </c>
      <c r="L196" s="3" t="n">
        <v>1164.61</v>
      </c>
      <c r="M196" s="2" t="n">
        <v>4</v>
      </c>
      <c r="N196" s="2" t="s">
        <v>24</v>
      </c>
      <c r="O196" s="4" t="n">
        <f aca="false">VLOOKUP(F196,DIM_SERVICO!$A$2:$D$151,4,FALSE())</f>
        <v>1721.52</v>
      </c>
      <c r="P196" s="4" t="n">
        <f aca="false">VLOOKUP(E196,DIM_PECA!$A$2:$F$501,6,FALSE())</f>
        <v>683.69</v>
      </c>
      <c r="Q196" s="4" t="n">
        <f aca="false">VLOOKUP(E196,DIM_PECA!$A$2:$F$501,5,FALSE())</f>
        <v>342.45</v>
      </c>
      <c r="R196" s="4" t="n">
        <f aca="false">H196*P196</f>
        <v>683.69</v>
      </c>
      <c r="S196" s="4" t="n">
        <f aca="false">O196*M196</f>
        <v>6886.08</v>
      </c>
      <c r="T196" s="4" t="n">
        <f aca="false">R196+S196</f>
        <v>7569.77</v>
      </c>
      <c r="U196" s="4" t="n">
        <f aca="false">T196-K196</f>
        <v>5212.66</v>
      </c>
      <c r="V196" s="4" t="n">
        <f aca="false">R196+S196-U196</f>
        <v>2357.11</v>
      </c>
      <c r="W196" s="5" t="str">
        <f aca="false">IF(ROUND(V196-K196,2)=0,"OK","ERRO")</f>
        <v>OK</v>
      </c>
      <c r="X196" s="5" t="str">
        <f aca="false">VLOOKUP(F196,DIM_SERVICO!$A$2:$D$151,3,FALSE())</f>
        <v>Motor</v>
      </c>
    </row>
    <row r="197" customFormat="false" ht="15" hidden="false" customHeight="false" outlineLevel="0" collapsed="false">
      <c r="A197" s="6" t="n">
        <v>196</v>
      </c>
      <c r="B197" s="6" t="n">
        <v>318</v>
      </c>
      <c r="C197" s="6" t="n">
        <v>401</v>
      </c>
      <c r="D197" s="6" t="n">
        <v>568</v>
      </c>
      <c r="E197" s="6" t="n">
        <v>218</v>
      </c>
      <c r="F197" s="6" t="n">
        <v>66</v>
      </c>
      <c r="G197" s="6" t="n">
        <v>277</v>
      </c>
      <c r="H197" s="6" t="n">
        <v>4</v>
      </c>
      <c r="I197" s="7" t="n">
        <v>4134.96</v>
      </c>
      <c r="J197" s="7" t="n">
        <v>1805.9</v>
      </c>
      <c r="K197" s="7" t="n">
        <v>9828.6</v>
      </c>
      <c r="L197" s="7" t="n">
        <v>5011.37</v>
      </c>
      <c r="M197" s="6" t="n">
        <v>2.8</v>
      </c>
      <c r="N197" s="6" t="s">
        <v>24</v>
      </c>
      <c r="O197" s="8" t="n">
        <f aca="false">VLOOKUP(F197,DIM_SERVICO!$A$2:$D$151,4,FALSE())</f>
        <v>1805.9</v>
      </c>
      <c r="P197" s="8" t="n">
        <f aca="false">VLOOKUP(E197,DIM_PECA!$A$2:$F$501,6,FALSE())</f>
        <v>2219.34</v>
      </c>
      <c r="Q197" s="8" t="n">
        <f aca="false">VLOOKUP(E197,DIM_PECA!$A$2:$F$501,5,FALSE())</f>
        <v>1033.74</v>
      </c>
      <c r="R197" s="8" t="n">
        <f aca="false">H197*P197</f>
        <v>8877.36</v>
      </c>
      <c r="S197" s="8" t="n">
        <f aca="false">O197*M197</f>
        <v>5056.52</v>
      </c>
      <c r="T197" s="8" t="n">
        <f aca="false">R197+S197</f>
        <v>13933.88</v>
      </c>
      <c r="U197" s="8" t="n">
        <f aca="false">T197-K197</f>
        <v>4105.28</v>
      </c>
      <c r="V197" s="8" t="n">
        <f aca="false">R197+S197-U197</f>
        <v>9828.6</v>
      </c>
      <c r="W197" s="9" t="str">
        <f aca="false">IF(ROUND(V197-K197,2)=0,"OK","ERRO")</f>
        <v>OK</v>
      </c>
      <c r="X197" s="9" t="str">
        <f aca="false">VLOOKUP(F197,DIM_SERVICO!$A$2:$D$151,3,FALSE())</f>
        <v>Pintura</v>
      </c>
    </row>
    <row r="198" customFormat="false" ht="15" hidden="false" customHeight="false" outlineLevel="0" collapsed="false">
      <c r="A198" s="2" t="n">
        <v>197</v>
      </c>
      <c r="B198" s="2" t="n">
        <v>1152</v>
      </c>
      <c r="C198" s="2" t="n">
        <v>1289</v>
      </c>
      <c r="D198" s="2" t="n">
        <v>168</v>
      </c>
      <c r="E198" s="2" t="n">
        <v>20</v>
      </c>
      <c r="F198" s="2" t="n">
        <v>7</v>
      </c>
      <c r="G198" s="2" t="n">
        <v>1159</v>
      </c>
      <c r="H198" s="2" t="n">
        <v>2</v>
      </c>
      <c r="I198" s="3" t="n">
        <v>1026.86</v>
      </c>
      <c r="J198" s="3" t="n">
        <v>2158.23</v>
      </c>
      <c r="K198" s="3" t="n">
        <v>3911.53</v>
      </c>
      <c r="L198" s="3" t="n">
        <v>1989.69</v>
      </c>
      <c r="M198" s="2" t="n">
        <v>6.5</v>
      </c>
      <c r="N198" s="2" t="s">
        <v>27</v>
      </c>
      <c r="O198" s="4" t="n">
        <f aca="false">VLOOKUP(F198,DIM_SERVICO!$A$2:$D$151,4,FALSE())</f>
        <v>2158.23</v>
      </c>
      <c r="P198" s="4" t="n">
        <f aca="false">VLOOKUP(E198,DIM_PECA!$A$2:$F$501,6,FALSE())</f>
        <v>876.65</v>
      </c>
      <c r="Q198" s="4" t="n">
        <f aca="false">VLOOKUP(E198,DIM_PECA!$A$2:$F$501,5,FALSE())</f>
        <v>513.43</v>
      </c>
      <c r="R198" s="4" t="n">
        <f aca="false">H198*P198</f>
        <v>1753.3</v>
      </c>
      <c r="S198" s="4" t="n">
        <f aca="false">O198*M198</f>
        <v>14028.495</v>
      </c>
      <c r="T198" s="4" t="n">
        <f aca="false">R198+S198</f>
        <v>15781.795</v>
      </c>
      <c r="U198" s="4" t="n">
        <f aca="false">T198-K198</f>
        <v>11870.265</v>
      </c>
      <c r="V198" s="4" t="n">
        <f aca="false">R198+S198-U198</f>
        <v>3911.53</v>
      </c>
      <c r="W198" s="5" t="str">
        <f aca="false">IF(ROUND(V198-K198,2)=0,"OK","ERRO")</f>
        <v>OK</v>
      </c>
      <c r="X198" s="5" t="str">
        <f aca="false">VLOOKUP(F198,DIM_SERVICO!$A$2:$D$151,3,FALSE())</f>
        <v>Revisão</v>
      </c>
    </row>
    <row r="199" customFormat="false" ht="15" hidden="false" customHeight="false" outlineLevel="0" collapsed="false">
      <c r="A199" s="6" t="n">
        <v>198</v>
      </c>
      <c r="B199" s="6" t="n">
        <v>253</v>
      </c>
      <c r="C199" s="6" t="n">
        <v>541</v>
      </c>
      <c r="D199" s="6" t="n">
        <v>787</v>
      </c>
      <c r="E199" s="6" t="n">
        <v>341</v>
      </c>
      <c r="F199" s="6" t="n">
        <v>77</v>
      </c>
      <c r="G199" s="6" t="n">
        <v>906</v>
      </c>
      <c r="H199" s="6" t="n">
        <v>1</v>
      </c>
      <c r="I199" s="7" t="n">
        <v>199.49</v>
      </c>
      <c r="J199" s="7" t="n">
        <v>729.21</v>
      </c>
      <c r="K199" s="7" t="n">
        <v>1076.89</v>
      </c>
      <c r="L199" s="7" t="n">
        <v>500.25</v>
      </c>
      <c r="M199" s="6" t="n">
        <v>0.6</v>
      </c>
      <c r="N199" s="6" t="s">
        <v>24</v>
      </c>
      <c r="O199" s="8" t="n">
        <f aca="false">VLOOKUP(F199,DIM_SERVICO!$A$2:$D$151,4,FALSE())</f>
        <v>729.21</v>
      </c>
      <c r="P199" s="8" t="n">
        <f aca="false">VLOOKUP(E199,DIM_PECA!$A$2:$F$501,6,FALSE())</f>
        <v>347.68</v>
      </c>
      <c r="Q199" s="8" t="n">
        <f aca="false">VLOOKUP(E199,DIM_PECA!$A$2:$F$501,5,FALSE())</f>
        <v>199.49</v>
      </c>
      <c r="R199" s="8" t="n">
        <f aca="false">H199*P199</f>
        <v>347.68</v>
      </c>
      <c r="S199" s="8" t="n">
        <f aca="false">O199*M199</f>
        <v>437.526</v>
      </c>
      <c r="T199" s="8" t="n">
        <f aca="false">R199+S199</f>
        <v>785.206</v>
      </c>
      <c r="U199" s="8" t="n">
        <f aca="false">T199-K199</f>
        <v>-291.684</v>
      </c>
      <c r="V199" s="8" t="n">
        <f aca="false">R199+S199-U199</f>
        <v>1076.89</v>
      </c>
      <c r="W199" s="9" t="str">
        <f aca="false">IF(ROUND(V199-K199,2)=0,"OK","ERRO")</f>
        <v>OK</v>
      </c>
      <c r="X199" s="9" t="str">
        <f aca="false">VLOOKUP(F199,DIM_SERVICO!$A$2:$D$151,3,FALSE())</f>
        <v>Freios</v>
      </c>
    </row>
    <row r="200" customFormat="false" ht="15" hidden="false" customHeight="false" outlineLevel="0" collapsed="false">
      <c r="A200" s="2" t="n">
        <v>199</v>
      </c>
      <c r="B200" s="2" t="n">
        <v>311</v>
      </c>
      <c r="C200" s="2" t="n">
        <v>606</v>
      </c>
      <c r="D200" s="2" t="n">
        <v>202</v>
      </c>
      <c r="E200" s="2" t="n">
        <v>252</v>
      </c>
      <c r="F200" s="2" t="n">
        <v>16</v>
      </c>
      <c r="G200" s="2" t="n">
        <v>1607</v>
      </c>
      <c r="H200" s="2" t="n">
        <v>4</v>
      </c>
      <c r="I200" s="3" t="n">
        <v>3692</v>
      </c>
      <c r="J200" s="3" t="n">
        <v>266.12</v>
      </c>
      <c r="K200" s="3" t="n">
        <v>7515.24</v>
      </c>
      <c r="L200" s="3" t="n">
        <v>3721.19</v>
      </c>
      <c r="M200" s="2" t="n">
        <v>2.5</v>
      </c>
      <c r="N200" s="2" t="s">
        <v>24</v>
      </c>
      <c r="O200" s="4" t="n">
        <f aca="false">VLOOKUP(F200,DIM_SERVICO!$A$2:$D$151,4,FALSE())</f>
        <v>266.12</v>
      </c>
      <c r="P200" s="4" t="n">
        <f aca="false">VLOOKUP(E200,DIM_PECA!$A$2:$F$501,6,FALSE())</f>
        <v>1812.28</v>
      </c>
      <c r="Q200" s="4" t="n">
        <f aca="false">VLOOKUP(E200,DIM_PECA!$A$2:$F$501,5,FALSE())</f>
        <v>923</v>
      </c>
      <c r="R200" s="4" t="n">
        <f aca="false">H200*P200</f>
        <v>7249.12</v>
      </c>
      <c r="S200" s="4" t="n">
        <f aca="false">O200*M200</f>
        <v>665.3</v>
      </c>
      <c r="T200" s="4" t="n">
        <f aca="false">R200+S200</f>
        <v>7914.42</v>
      </c>
      <c r="U200" s="4" t="n">
        <f aca="false">T200-K200</f>
        <v>399.18</v>
      </c>
      <c r="V200" s="4" t="n">
        <f aca="false">R200+S200-U200</f>
        <v>7515.24</v>
      </c>
      <c r="W200" s="5" t="str">
        <f aca="false">IF(ROUND(V200-K200,2)=0,"OK","ERRO")</f>
        <v>OK</v>
      </c>
      <c r="X200" s="5" t="str">
        <f aca="false">VLOOKUP(F200,DIM_SERVICO!$A$2:$D$151,3,FALSE())</f>
        <v>Funilaria</v>
      </c>
    </row>
    <row r="201" customFormat="false" ht="15" hidden="false" customHeight="false" outlineLevel="0" collapsed="false">
      <c r="A201" s="6" t="n">
        <v>200</v>
      </c>
      <c r="B201" s="6" t="n">
        <v>790</v>
      </c>
      <c r="C201" s="6" t="n">
        <v>662</v>
      </c>
      <c r="D201" s="6" t="n">
        <v>376</v>
      </c>
      <c r="E201" s="6" t="n">
        <v>339</v>
      </c>
      <c r="F201" s="6" t="n">
        <v>21</v>
      </c>
      <c r="G201" s="6" t="n">
        <v>386</v>
      </c>
      <c r="H201" s="6" t="n">
        <v>3</v>
      </c>
      <c r="I201" s="7" t="n">
        <v>665.52</v>
      </c>
      <c r="J201" s="7" t="n">
        <v>126.78</v>
      </c>
      <c r="K201" s="7" t="n">
        <v>1384.06</v>
      </c>
      <c r="L201" s="7" t="n">
        <v>671.8</v>
      </c>
      <c r="M201" s="6" t="n">
        <v>2.6</v>
      </c>
      <c r="N201" s="6" t="s">
        <v>24</v>
      </c>
      <c r="O201" s="8" t="n">
        <f aca="false">VLOOKUP(F201,DIM_SERVICO!$A$2:$D$151,4,FALSE())</f>
        <v>126.78</v>
      </c>
      <c r="P201" s="8" t="n">
        <f aca="false">VLOOKUP(E201,DIM_PECA!$A$2:$F$501,6,FALSE())</f>
        <v>459.21</v>
      </c>
      <c r="Q201" s="8" t="n">
        <f aca="false">VLOOKUP(E201,DIM_PECA!$A$2:$F$501,5,FALSE())</f>
        <v>221.84</v>
      </c>
      <c r="R201" s="8" t="n">
        <f aca="false">H201*P201</f>
        <v>1377.63</v>
      </c>
      <c r="S201" s="8" t="n">
        <f aca="false">O201*M201</f>
        <v>329.628</v>
      </c>
      <c r="T201" s="8" t="n">
        <f aca="false">R201+S201</f>
        <v>1707.258</v>
      </c>
      <c r="U201" s="8" t="n">
        <f aca="false">T201-K201</f>
        <v>323.198</v>
      </c>
      <c r="V201" s="8" t="n">
        <f aca="false">R201+S201-U201</f>
        <v>1384.06</v>
      </c>
      <c r="W201" s="9" t="str">
        <f aca="false">IF(ROUND(V201-K201,2)=0,"OK","ERRO")</f>
        <v>OK</v>
      </c>
      <c r="X201" s="9" t="str">
        <f aca="false">VLOOKUP(F201,DIM_SERVICO!$A$2:$D$151,3,FALSE())</f>
        <v>Suspensão</v>
      </c>
    </row>
    <row r="202" customFormat="false" ht="15" hidden="false" customHeight="false" outlineLevel="0" collapsed="false">
      <c r="A202" s="2" t="n">
        <v>201</v>
      </c>
      <c r="B202" s="2" t="n">
        <v>55</v>
      </c>
      <c r="C202" s="2" t="n">
        <v>383</v>
      </c>
      <c r="D202" s="2" t="n">
        <v>983</v>
      </c>
      <c r="E202" s="2" t="n">
        <v>15</v>
      </c>
      <c r="F202" s="2" t="n">
        <v>148</v>
      </c>
      <c r="G202" s="2" t="n">
        <v>710</v>
      </c>
      <c r="H202" s="2" t="n">
        <v>3</v>
      </c>
      <c r="I202" s="3" t="n">
        <v>2238.69</v>
      </c>
      <c r="J202" s="3" t="n">
        <v>1276.19</v>
      </c>
      <c r="K202" s="3" t="n">
        <v>4401.59</v>
      </c>
      <c r="L202" s="3" t="n">
        <v>1590.71</v>
      </c>
      <c r="M202" s="2" t="n">
        <v>8.3</v>
      </c>
      <c r="N202" s="2" t="s">
        <v>24</v>
      </c>
      <c r="O202" s="4" t="n">
        <f aca="false">VLOOKUP(F202,DIM_SERVICO!$A$2:$D$151,4,FALSE())</f>
        <v>1276.19</v>
      </c>
      <c r="P202" s="4" t="n">
        <f aca="false">VLOOKUP(E202,DIM_PECA!$A$2:$F$501,6,FALSE())</f>
        <v>1041.8</v>
      </c>
      <c r="Q202" s="4" t="n">
        <f aca="false">VLOOKUP(E202,DIM_PECA!$A$2:$F$501,5,FALSE())</f>
        <v>746.23</v>
      </c>
      <c r="R202" s="4" t="n">
        <f aca="false">H202*P202</f>
        <v>3125.4</v>
      </c>
      <c r="S202" s="4" t="n">
        <f aca="false">O202*M202</f>
        <v>10592.377</v>
      </c>
      <c r="T202" s="4" t="n">
        <f aca="false">R202+S202</f>
        <v>13717.777</v>
      </c>
      <c r="U202" s="4" t="n">
        <f aca="false">T202-K202</f>
        <v>9316.187</v>
      </c>
      <c r="V202" s="4" t="n">
        <f aca="false">R202+S202-U202</f>
        <v>4401.59</v>
      </c>
      <c r="W202" s="5" t="str">
        <f aca="false">IF(ROUND(V202-K202,2)=0,"OK","ERRO")</f>
        <v>OK</v>
      </c>
      <c r="X202" s="5" t="str">
        <f aca="false">VLOOKUP(F202,DIM_SERVICO!$A$2:$D$151,3,FALSE())</f>
        <v>Revisão</v>
      </c>
    </row>
    <row r="203" customFormat="false" ht="15" hidden="false" customHeight="false" outlineLevel="0" collapsed="false">
      <c r="A203" s="6" t="n">
        <v>202</v>
      </c>
      <c r="B203" s="6" t="n">
        <v>115</v>
      </c>
      <c r="C203" s="6" t="n">
        <v>198</v>
      </c>
      <c r="D203" s="6" t="n">
        <v>715</v>
      </c>
      <c r="E203" s="6" t="n">
        <v>127</v>
      </c>
      <c r="F203" s="6" t="n">
        <v>115</v>
      </c>
      <c r="G203" s="6" t="n">
        <v>1258</v>
      </c>
      <c r="H203" s="6" t="n">
        <v>1</v>
      </c>
      <c r="I203" s="7" t="n">
        <v>918.13</v>
      </c>
      <c r="J203" s="7" t="n">
        <v>1374.43</v>
      </c>
      <c r="K203" s="7" t="n">
        <v>2731.04</v>
      </c>
      <c r="L203" s="7" t="n">
        <v>1119.82</v>
      </c>
      <c r="M203" s="6" t="n">
        <v>6.9</v>
      </c>
      <c r="N203" s="6" t="s">
        <v>24</v>
      </c>
      <c r="O203" s="8" t="n">
        <f aca="false">VLOOKUP(F203,DIM_SERVICO!$A$2:$D$151,4,FALSE())</f>
        <v>1374.43</v>
      </c>
      <c r="P203" s="8" t="n">
        <f aca="false">VLOOKUP(E203,DIM_PECA!$A$2:$F$501,6,FALSE())</f>
        <v>1356.61</v>
      </c>
      <c r="Q203" s="8" t="n">
        <f aca="false">VLOOKUP(E203,DIM_PECA!$A$2:$F$501,5,FALSE())</f>
        <v>918.13</v>
      </c>
      <c r="R203" s="8" t="n">
        <f aca="false">H203*P203</f>
        <v>1356.61</v>
      </c>
      <c r="S203" s="8" t="n">
        <f aca="false">O203*M203</f>
        <v>9483.567</v>
      </c>
      <c r="T203" s="8" t="n">
        <f aca="false">R203+S203</f>
        <v>10840.177</v>
      </c>
      <c r="U203" s="8" t="n">
        <f aca="false">T203-K203</f>
        <v>8109.137</v>
      </c>
      <c r="V203" s="8" t="n">
        <f aca="false">R203+S203-U203</f>
        <v>2731.04</v>
      </c>
      <c r="W203" s="9" t="str">
        <f aca="false">IF(ROUND(V203-K203,2)=0,"OK","ERRO")</f>
        <v>OK</v>
      </c>
      <c r="X203" s="9" t="str">
        <f aca="false">VLOOKUP(F203,DIM_SERVICO!$A$2:$D$151,3,FALSE())</f>
        <v>Suspensão</v>
      </c>
    </row>
    <row r="204" customFormat="false" ht="15" hidden="false" customHeight="false" outlineLevel="0" collapsed="false">
      <c r="A204" s="2" t="n">
        <v>203</v>
      </c>
      <c r="B204" s="2" t="n">
        <v>136</v>
      </c>
      <c r="C204" s="2" t="n">
        <v>1134</v>
      </c>
      <c r="D204" s="2" t="n">
        <v>204</v>
      </c>
      <c r="E204" s="2" t="n">
        <v>229</v>
      </c>
      <c r="F204" s="2" t="n">
        <v>49</v>
      </c>
      <c r="G204" s="2" t="n">
        <v>1257</v>
      </c>
      <c r="H204" s="2" t="n">
        <v>2</v>
      </c>
      <c r="I204" s="3" t="n">
        <v>113.98</v>
      </c>
      <c r="J204" s="3" t="n">
        <v>1883.63</v>
      </c>
      <c r="K204" s="3" t="n">
        <v>2132.55</v>
      </c>
      <c r="L204" s="3" t="n">
        <v>1074.82</v>
      </c>
      <c r="M204" s="2" t="n">
        <v>9</v>
      </c>
      <c r="N204" s="2" t="s">
        <v>25</v>
      </c>
      <c r="O204" s="4" t="n">
        <f aca="false">VLOOKUP(F204,DIM_SERVICO!$A$2:$D$151,4,FALSE())</f>
        <v>1883.63</v>
      </c>
      <c r="P204" s="4" t="n">
        <f aca="false">VLOOKUP(E204,DIM_PECA!$A$2:$F$501,6,FALSE())</f>
        <v>124.46</v>
      </c>
      <c r="Q204" s="4" t="n">
        <f aca="false">VLOOKUP(E204,DIM_PECA!$A$2:$F$501,5,FALSE())</f>
        <v>56.99</v>
      </c>
      <c r="R204" s="4" t="n">
        <f aca="false">H204*P204</f>
        <v>248.92</v>
      </c>
      <c r="S204" s="4" t="n">
        <f aca="false">O204*M204</f>
        <v>16952.67</v>
      </c>
      <c r="T204" s="4" t="n">
        <f aca="false">R204+S204</f>
        <v>17201.59</v>
      </c>
      <c r="U204" s="4" t="n">
        <f aca="false">T204-K204</f>
        <v>15069.04</v>
      </c>
      <c r="V204" s="4" t="n">
        <f aca="false">R204+S204-U204</f>
        <v>2132.55</v>
      </c>
      <c r="W204" s="5" t="str">
        <f aca="false">IF(ROUND(V204-K204,2)=0,"OK","ERRO")</f>
        <v>OK</v>
      </c>
      <c r="X204" s="5" t="str">
        <f aca="false">VLOOKUP(F204,DIM_SERVICO!$A$2:$D$151,3,FALSE())</f>
        <v>Suspensão</v>
      </c>
    </row>
    <row r="205" customFormat="false" ht="15" hidden="false" customHeight="false" outlineLevel="0" collapsed="false">
      <c r="A205" s="6" t="n">
        <v>204</v>
      </c>
      <c r="B205" s="6" t="n">
        <v>326</v>
      </c>
      <c r="C205" s="6" t="n">
        <v>1267</v>
      </c>
      <c r="D205" s="6" t="n">
        <v>1125</v>
      </c>
      <c r="E205" s="6" t="n">
        <v>463</v>
      </c>
      <c r="F205" s="6" t="n">
        <v>27</v>
      </c>
      <c r="G205" s="6" t="n">
        <v>54</v>
      </c>
      <c r="H205" s="6" t="n">
        <v>2</v>
      </c>
      <c r="I205" s="7" t="n">
        <v>542.34</v>
      </c>
      <c r="J205" s="7" t="n">
        <v>662.68</v>
      </c>
      <c r="K205" s="7" t="n">
        <v>1295.21</v>
      </c>
      <c r="L205" s="7" t="n">
        <v>443.39</v>
      </c>
      <c r="M205" s="6" t="n">
        <v>8.1</v>
      </c>
      <c r="N205" s="6" t="s">
        <v>27</v>
      </c>
      <c r="O205" s="8" t="n">
        <f aca="false">VLOOKUP(F205,DIM_SERVICO!$A$2:$D$151,4,FALSE())</f>
        <v>662.68</v>
      </c>
      <c r="P205" s="8" t="n">
        <f aca="false">VLOOKUP(E205,DIM_PECA!$A$2:$F$501,6,FALSE())</f>
        <v>388.22</v>
      </c>
      <c r="Q205" s="8" t="n">
        <f aca="false">VLOOKUP(E205,DIM_PECA!$A$2:$F$501,5,FALSE())</f>
        <v>271.17</v>
      </c>
      <c r="R205" s="8" t="n">
        <f aca="false">H205*P205</f>
        <v>776.44</v>
      </c>
      <c r="S205" s="8" t="n">
        <f aca="false">O205*M205</f>
        <v>5367.708</v>
      </c>
      <c r="T205" s="8" t="n">
        <f aca="false">R205+S205</f>
        <v>6144.148</v>
      </c>
      <c r="U205" s="8" t="n">
        <f aca="false">T205-K205</f>
        <v>4848.938</v>
      </c>
      <c r="V205" s="8" t="n">
        <f aca="false">R205+S205-U205</f>
        <v>1295.21</v>
      </c>
      <c r="W205" s="9" t="str">
        <f aca="false">IF(ROUND(V205-K205,2)=0,"OK","ERRO")</f>
        <v>OK</v>
      </c>
      <c r="X205" s="9" t="str">
        <f aca="false">VLOOKUP(F205,DIM_SERVICO!$A$2:$D$151,3,FALSE())</f>
        <v>Revisão</v>
      </c>
    </row>
    <row r="206" customFormat="false" ht="15" hidden="false" customHeight="false" outlineLevel="0" collapsed="false">
      <c r="A206" s="2" t="n">
        <v>205</v>
      </c>
      <c r="B206" s="2" t="n">
        <v>823</v>
      </c>
      <c r="C206" s="2" t="n">
        <v>725</v>
      </c>
      <c r="D206" s="2" t="n">
        <v>792</v>
      </c>
      <c r="E206" s="2" t="n">
        <v>488</v>
      </c>
      <c r="F206" s="2" t="n">
        <v>28</v>
      </c>
      <c r="G206" s="2" t="n">
        <v>280</v>
      </c>
      <c r="H206" s="2" t="n">
        <v>1</v>
      </c>
      <c r="I206" s="3" t="n">
        <v>1146.27</v>
      </c>
      <c r="J206" s="3" t="n">
        <v>2152.12</v>
      </c>
      <c r="K206" s="3" t="n">
        <v>3992.97</v>
      </c>
      <c r="L206" s="3" t="n">
        <v>1731.58</v>
      </c>
      <c r="M206" s="2" t="n">
        <v>3.8</v>
      </c>
      <c r="N206" s="2" t="s">
        <v>24</v>
      </c>
      <c r="O206" s="4" t="n">
        <f aca="false">VLOOKUP(F206,DIM_SERVICO!$A$2:$D$151,4,FALSE())</f>
        <v>2152.12</v>
      </c>
      <c r="P206" s="4" t="n">
        <f aca="false">VLOOKUP(E206,DIM_PECA!$A$2:$F$501,6,FALSE())</f>
        <v>2284.51</v>
      </c>
      <c r="Q206" s="4" t="n">
        <f aca="false">VLOOKUP(E206,DIM_PECA!$A$2:$F$501,5,FALSE())</f>
        <v>1146.27</v>
      </c>
      <c r="R206" s="4" t="n">
        <f aca="false">H206*P206</f>
        <v>2284.51</v>
      </c>
      <c r="S206" s="4" t="n">
        <f aca="false">O206*M206</f>
        <v>8178.056</v>
      </c>
      <c r="T206" s="4" t="n">
        <f aca="false">R206+S206</f>
        <v>10462.566</v>
      </c>
      <c r="U206" s="4" t="n">
        <f aca="false">T206-K206</f>
        <v>6469.596</v>
      </c>
      <c r="V206" s="4" t="n">
        <f aca="false">R206+S206-U206</f>
        <v>3992.97</v>
      </c>
      <c r="W206" s="5" t="str">
        <f aca="false">IF(ROUND(V206-K206,2)=0,"OK","ERRO")</f>
        <v>OK</v>
      </c>
      <c r="X206" s="5" t="str">
        <f aca="false">VLOOKUP(F206,DIM_SERVICO!$A$2:$D$151,3,FALSE())</f>
        <v>Freios</v>
      </c>
    </row>
    <row r="207" customFormat="false" ht="15" hidden="false" customHeight="false" outlineLevel="0" collapsed="false">
      <c r="A207" s="6" t="n">
        <v>206</v>
      </c>
      <c r="B207" s="6" t="n">
        <v>945</v>
      </c>
      <c r="C207" s="6" t="n">
        <v>569</v>
      </c>
      <c r="D207" s="6" t="n">
        <v>752</v>
      </c>
      <c r="E207" s="6" t="n">
        <v>429</v>
      </c>
      <c r="F207" s="6" t="n">
        <v>123</v>
      </c>
      <c r="G207" s="6" t="n">
        <v>771</v>
      </c>
      <c r="H207" s="6" t="n">
        <v>3</v>
      </c>
      <c r="I207" s="7" t="n">
        <v>1602.99</v>
      </c>
      <c r="J207" s="7" t="n">
        <v>2023.84</v>
      </c>
      <c r="K207" s="7" t="n">
        <v>4787.51</v>
      </c>
      <c r="L207" s="7" t="n">
        <v>2251.53</v>
      </c>
      <c r="M207" s="6" t="n">
        <v>4.9</v>
      </c>
      <c r="N207" s="6" t="s">
        <v>24</v>
      </c>
      <c r="O207" s="8" t="n">
        <f aca="false">VLOOKUP(F207,DIM_SERVICO!$A$2:$D$151,4,FALSE())</f>
        <v>2023.84</v>
      </c>
      <c r="P207" s="8" t="n">
        <f aca="false">VLOOKUP(E207,DIM_PECA!$A$2:$F$501,6,FALSE())</f>
        <v>953.79</v>
      </c>
      <c r="Q207" s="8" t="n">
        <f aca="false">VLOOKUP(E207,DIM_PECA!$A$2:$F$501,5,FALSE())</f>
        <v>534.33</v>
      </c>
      <c r="R207" s="8" t="n">
        <f aca="false">H207*P207</f>
        <v>2861.37</v>
      </c>
      <c r="S207" s="8" t="n">
        <f aca="false">O207*M207</f>
        <v>9916.816</v>
      </c>
      <c r="T207" s="8" t="n">
        <f aca="false">R207+S207</f>
        <v>12778.186</v>
      </c>
      <c r="U207" s="8" t="n">
        <f aca="false">T207-K207</f>
        <v>7990.676</v>
      </c>
      <c r="V207" s="8" t="n">
        <f aca="false">R207+S207-U207</f>
        <v>4787.51</v>
      </c>
      <c r="W207" s="9" t="str">
        <f aca="false">IF(ROUND(V207-K207,2)=0,"OK","ERRO")</f>
        <v>OK</v>
      </c>
      <c r="X207" s="9" t="str">
        <f aca="false">VLOOKUP(F207,DIM_SERVICO!$A$2:$D$151,3,FALSE())</f>
        <v>Diagnóstico</v>
      </c>
    </row>
    <row r="208" customFormat="false" ht="15" hidden="false" customHeight="false" outlineLevel="0" collapsed="false">
      <c r="A208" s="2" t="n">
        <v>207</v>
      </c>
      <c r="B208" s="2" t="n">
        <v>331</v>
      </c>
      <c r="C208" s="2" t="n">
        <v>678</v>
      </c>
      <c r="D208" s="2" t="n">
        <v>85</v>
      </c>
      <c r="E208" s="2" t="n">
        <v>285</v>
      </c>
      <c r="F208" s="2" t="n">
        <v>67</v>
      </c>
      <c r="G208" s="2" t="n">
        <v>723</v>
      </c>
      <c r="H208" s="2" t="n">
        <v>1</v>
      </c>
      <c r="I208" s="3" t="n">
        <v>1074.54</v>
      </c>
      <c r="J208" s="3" t="n">
        <v>1283.08</v>
      </c>
      <c r="K208" s="3" t="n">
        <v>2652.55</v>
      </c>
      <c r="L208" s="3" t="n">
        <v>954.3</v>
      </c>
      <c r="M208" s="2" t="n">
        <v>10.5</v>
      </c>
      <c r="N208" s="2" t="s">
        <v>27</v>
      </c>
      <c r="O208" s="4" t="n">
        <f aca="false">VLOOKUP(F208,DIM_SERVICO!$A$2:$D$151,4,FALSE())</f>
        <v>1283.08</v>
      </c>
      <c r="P208" s="4" t="n">
        <f aca="false">VLOOKUP(E208,DIM_PECA!$A$2:$F$501,6,FALSE())</f>
        <v>1600.13</v>
      </c>
      <c r="Q208" s="4" t="n">
        <f aca="false">VLOOKUP(E208,DIM_PECA!$A$2:$F$501,5,FALSE())</f>
        <v>1074.54</v>
      </c>
      <c r="R208" s="4" t="n">
        <f aca="false">H208*P208</f>
        <v>1600.13</v>
      </c>
      <c r="S208" s="4" t="n">
        <f aca="false">O208*M208</f>
        <v>13472.34</v>
      </c>
      <c r="T208" s="4" t="n">
        <f aca="false">R208+S208</f>
        <v>15072.47</v>
      </c>
      <c r="U208" s="4" t="n">
        <f aca="false">T208-K208</f>
        <v>12419.92</v>
      </c>
      <c r="V208" s="4" t="n">
        <f aca="false">R208+S208-U208</f>
        <v>2652.55</v>
      </c>
      <c r="W208" s="5" t="str">
        <f aca="false">IF(ROUND(V208-K208,2)=0,"OK","ERRO")</f>
        <v>OK</v>
      </c>
      <c r="X208" s="5" t="str">
        <f aca="false">VLOOKUP(F208,DIM_SERVICO!$A$2:$D$151,3,FALSE())</f>
        <v>Elétrica</v>
      </c>
    </row>
    <row r="209" customFormat="false" ht="15" hidden="false" customHeight="false" outlineLevel="0" collapsed="false">
      <c r="A209" s="6" t="n">
        <v>208</v>
      </c>
      <c r="B209" s="6" t="n">
        <v>1344</v>
      </c>
      <c r="C209" s="6" t="n">
        <v>627</v>
      </c>
      <c r="D209" s="6" t="n">
        <v>448</v>
      </c>
      <c r="E209" s="6" t="n">
        <v>407</v>
      </c>
      <c r="F209" s="6" t="n">
        <v>147</v>
      </c>
      <c r="G209" s="6" t="n">
        <v>1189</v>
      </c>
      <c r="H209" s="6" t="n">
        <v>2</v>
      </c>
      <c r="I209" s="7" t="n">
        <v>1453</v>
      </c>
      <c r="J209" s="7" t="n">
        <v>1891.42</v>
      </c>
      <c r="K209" s="7" t="n">
        <v>4088.3</v>
      </c>
      <c r="L209" s="7" t="n">
        <v>1796.07</v>
      </c>
      <c r="M209" s="6" t="n">
        <v>10.6</v>
      </c>
      <c r="N209" s="6" t="s">
        <v>24</v>
      </c>
      <c r="O209" s="8" t="n">
        <f aca="false">VLOOKUP(F209,DIM_SERVICO!$A$2:$D$151,4,FALSE())</f>
        <v>1891.42</v>
      </c>
      <c r="P209" s="8" t="n">
        <f aca="false">VLOOKUP(E209,DIM_PECA!$A$2:$F$501,6,FALSE())</f>
        <v>1098.44</v>
      </c>
      <c r="Q209" s="8" t="n">
        <f aca="false">VLOOKUP(E209,DIM_PECA!$A$2:$F$501,5,FALSE())</f>
        <v>726.5</v>
      </c>
      <c r="R209" s="8" t="n">
        <f aca="false">H209*P209</f>
        <v>2196.88</v>
      </c>
      <c r="S209" s="8" t="n">
        <f aca="false">O209*M209</f>
        <v>20049.052</v>
      </c>
      <c r="T209" s="8" t="n">
        <f aca="false">R209+S209</f>
        <v>22245.932</v>
      </c>
      <c r="U209" s="8" t="n">
        <f aca="false">T209-K209</f>
        <v>18157.632</v>
      </c>
      <c r="V209" s="8" t="n">
        <f aca="false">R209+S209-U209</f>
        <v>4088.3</v>
      </c>
      <c r="W209" s="9" t="str">
        <f aca="false">IF(ROUND(V209-K209,2)=0,"OK","ERRO")</f>
        <v>OK</v>
      </c>
      <c r="X209" s="9" t="str">
        <f aca="false">VLOOKUP(F209,DIM_SERVICO!$A$2:$D$151,3,FALSE())</f>
        <v>Motor</v>
      </c>
    </row>
    <row r="210" customFormat="false" ht="15" hidden="false" customHeight="false" outlineLevel="0" collapsed="false">
      <c r="A210" s="2" t="n">
        <v>209</v>
      </c>
      <c r="B210" s="2" t="n">
        <v>1384</v>
      </c>
      <c r="C210" s="2" t="n">
        <v>1186</v>
      </c>
      <c r="D210" s="2" t="n">
        <v>310</v>
      </c>
      <c r="E210" s="2" t="n">
        <v>264</v>
      </c>
      <c r="F210" s="2" t="n">
        <v>111</v>
      </c>
      <c r="G210" s="2" t="n">
        <v>246</v>
      </c>
      <c r="H210" s="2" t="n">
        <v>1</v>
      </c>
      <c r="I210" s="3" t="n">
        <v>541.06</v>
      </c>
      <c r="J210" s="3" t="n">
        <v>1482.2</v>
      </c>
      <c r="K210" s="3" t="n">
        <v>2271.04</v>
      </c>
      <c r="L210" s="3" t="n">
        <v>1056.77</v>
      </c>
      <c r="M210" s="2" t="n">
        <v>4.4</v>
      </c>
      <c r="N210" s="2" t="s">
        <v>27</v>
      </c>
      <c r="O210" s="4" t="n">
        <f aca="false">VLOOKUP(F210,DIM_SERVICO!$A$2:$D$151,4,FALSE())</f>
        <v>1482.2</v>
      </c>
      <c r="P210" s="4" t="n">
        <f aca="false">VLOOKUP(E210,DIM_PECA!$A$2:$F$501,6,FALSE())</f>
        <v>788.84</v>
      </c>
      <c r="Q210" s="4" t="n">
        <f aca="false">VLOOKUP(E210,DIM_PECA!$A$2:$F$501,5,FALSE())</f>
        <v>541.06</v>
      </c>
      <c r="R210" s="4" t="n">
        <f aca="false">H210*P210</f>
        <v>788.84</v>
      </c>
      <c r="S210" s="4" t="n">
        <f aca="false">O210*M210</f>
        <v>6521.68</v>
      </c>
      <c r="T210" s="4" t="n">
        <f aca="false">R210+S210</f>
        <v>7310.52</v>
      </c>
      <c r="U210" s="4" t="n">
        <f aca="false">T210-K210</f>
        <v>5039.48</v>
      </c>
      <c r="V210" s="4" t="n">
        <f aca="false">R210+S210-U210</f>
        <v>2271.04</v>
      </c>
      <c r="W210" s="5" t="str">
        <f aca="false">IF(ROUND(V210-K210,2)=0,"OK","ERRO")</f>
        <v>OK</v>
      </c>
      <c r="X210" s="5" t="str">
        <f aca="false">VLOOKUP(F210,DIM_SERVICO!$A$2:$D$151,3,FALSE())</f>
        <v>Pintura</v>
      </c>
    </row>
    <row r="211" customFormat="false" ht="15" hidden="false" customHeight="false" outlineLevel="0" collapsed="false">
      <c r="A211" s="6" t="n">
        <v>210</v>
      </c>
      <c r="B211" s="6" t="n">
        <v>1038</v>
      </c>
      <c r="C211" s="6" t="n">
        <v>220</v>
      </c>
      <c r="D211" s="6" t="n">
        <v>451</v>
      </c>
      <c r="E211" s="6" t="n">
        <v>123</v>
      </c>
      <c r="F211" s="6" t="n">
        <v>136</v>
      </c>
      <c r="G211" s="6" t="n">
        <v>1385</v>
      </c>
      <c r="H211" s="6" t="n">
        <v>2</v>
      </c>
      <c r="I211" s="7" t="n">
        <v>1745.1</v>
      </c>
      <c r="J211" s="7" t="n">
        <v>509.38</v>
      </c>
      <c r="K211" s="7" t="n">
        <v>4198.26</v>
      </c>
      <c r="L211" s="7" t="n">
        <v>2205.25</v>
      </c>
      <c r="M211" s="6" t="n">
        <v>0.6</v>
      </c>
      <c r="N211" s="6" t="s">
        <v>24</v>
      </c>
      <c r="O211" s="8" t="n">
        <f aca="false">VLOOKUP(F211,DIM_SERVICO!$A$2:$D$151,4,FALSE())</f>
        <v>509.38</v>
      </c>
      <c r="P211" s="8" t="n">
        <f aca="false">VLOOKUP(E211,DIM_PECA!$A$2:$F$501,6,FALSE())</f>
        <v>1844.44</v>
      </c>
      <c r="Q211" s="8" t="n">
        <f aca="false">VLOOKUP(E211,DIM_PECA!$A$2:$F$501,5,FALSE())</f>
        <v>872.55</v>
      </c>
      <c r="R211" s="8" t="n">
        <f aca="false">H211*P211</f>
        <v>3688.88</v>
      </c>
      <c r="S211" s="8" t="n">
        <f aca="false">O211*M211</f>
        <v>305.628</v>
      </c>
      <c r="T211" s="8" t="n">
        <f aca="false">R211+S211</f>
        <v>3994.508</v>
      </c>
      <c r="U211" s="8" t="n">
        <f aca="false">T211-K211</f>
        <v>-203.752</v>
      </c>
      <c r="V211" s="8" t="n">
        <f aca="false">R211+S211-U211</f>
        <v>4198.26</v>
      </c>
      <c r="W211" s="9" t="str">
        <f aca="false">IF(ROUND(V211-K211,2)=0,"OK","ERRO")</f>
        <v>OK</v>
      </c>
      <c r="X211" s="9" t="str">
        <f aca="false">VLOOKUP(F211,DIM_SERVICO!$A$2:$D$151,3,FALSE())</f>
        <v>Elétrica</v>
      </c>
    </row>
    <row r="212" customFormat="false" ht="15" hidden="false" customHeight="false" outlineLevel="0" collapsed="false">
      <c r="A212" s="2" t="n">
        <v>211</v>
      </c>
      <c r="B212" s="2" t="n">
        <v>1319</v>
      </c>
      <c r="C212" s="2" t="n">
        <v>381</v>
      </c>
      <c r="D212" s="2" t="n">
        <v>976</v>
      </c>
      <c r="E212" s="2" t="n">
        <v>390</v>
      </c>
      <c r="F212" s="2" t="n">
        <v>105</v>
      </c>
      <c r="G212" s="2" t="n">
        <v>691</v>
      </c>
      <c r="H212" s="2" t="n">
        <v>1</v>
      </c>
      <c r="I212" s="3" t="n">
        <v>551.98</v>
      </c>
      <c r="J212" s="3" t="n">
        <v>1828.35</v>
      </c>
      <c r="K212" s="3" t="n">
        <v>2550.06</v>
      </c>
      <c r="L212" s="3" t="n">
        <v>1079.31</v>
      </c>
      <c r="M212" s="2" t="n">
        <v>10.4</v>
      </c>
      <c r="N212" s="2" t="s">
        <v>24</v>
      </c>
      <c r="O212" s="4" t="n">
        <f aca="false">VLOOKUP(F212,DIM_SERVICO!$A$2:$D$151,4,FALSE())</f>
        <v>1828.35</v>
      </c>
      <c r="P212" s="4" t="n">
        <f aca="false">VLOOKUP(E212,DIM_PECA!$A$2:$F$501,6,FALSE())</f>
        <v>855.92</v>
      </c>
      <c r="Q212" s="4" t="n">
        <f aca="false">VLOOKUP(E212,DIM_PECA!$A$2:$F$501,5,FALSE())</f>
        <v>551.98</v>
      </c>
      <c r="R212" s="4" t="n">
        <f aca="false">H212*P212</f>
        <v>855.92</v>
      </c>
      <c r="S212" s="4" t="n">
        <f aca="false">O212*M212</f>
        <v>19014.84</v>
      </c>
      <c r="T212" s="4" t="n">
        <f aca="false">R212+S212</f>
        <v>19870.76</v>
      </c>
      <c r="U212" s="4" t="n">
        <f aca="false">T212-K212</f>
        <v>17320.7</v>
      </c>
      <c r="V212" s="4" t="n">
        <f aca="false">R212+S212-U212</f>
        <v>2550.06</v>
      </c>
      <c r="W212" s="5" t="str">
        <f aca="false">IF(ROUND(V212-K212,2)=0,"OK","ERRO")</f>
        <v>OK</v>
      </c>
      <c r="X212" s="5" t="str">
        <f aca="false">VLOOKUP(F212,DIM_SERVICO!$A$2:$D$151,3,FALSE())</f>
        <v>Freios</v>
      </c>
    </row>
    <row r="213" customFormat="false" ht="15" hidden="false" customHeight="false" outlineLevel="0" collapsed="false">
      <c r="A213" s="6" t="n">
        <v>212</v>
      </c>
      <c r="B213" s="6" t="n">
        <v>855</v>
      </c>
      <c r="C213" s="6" t="n">
        <v>1153</v>
      </c>
      <c r="D213" s="6" t="n">
        <v>954</v>
      </c>
      <c r="E213" s="6" t="n">
        <v>19</v>
      </c>
      <c r="F213" s="6" t="n">
        <v>90</v>
      </c>
      <c r="G213" s="6" t="n">
        <v>381</v>
      </c>
      <c r="H213" s="6" t="n">
        <v>2</v>
      </c>
      <c r="I213" s="7" t="n">
        <v>590.44</v>
      </c>
      <c r="J213" s="7" t="n">
        <v>702.32</v>
      </c>
      <c r="K213" s="7" t="n">
        <v>1713.62</v>
      </c>
      <c r="L213" s="7" t="n">
        <v>792.43</v>
      </c>
      <c r="M213" s="6" t="n">
        <v>10.3</v>
      </c>
      <c r="N213" s="6" t="s">
        <v>24</v>
      </c>
      <c r="O213" s="8" t="n">
        <f aca="false">VLOOKUP(F213,DIM_SERVICO!$A$2:$D$151,4,FALSE())</f>
        <v>702.32</v>
      </c>
      <c r="P213" s="8" t="n">
        <f aca="false">VLOOKUP(E213,DIM_PECA!$A$2:$F$501,6,FALSE())</f>
        <v>600.85</v>
      </c>
      <c r="Q213" s="8" t="n">
        <f aca="false">VLOOKUP(E213,DIM_PECA!$A$2:$F$501,5,FALSE())</f>
        <v>295.22</v>
      </c>
      <c r="R213" s="8" t="n">
        <f aca="false">H213*P213</f>
        <v>1201.7</v>
      </c>
      <c r="S213" s="8" t="n">
        <f aca="false">O213*M213</f>
        <v>7233.896</v>
      </c>
      <c r="T213" s="8" t="n">
        <f aca="false">R213+S213</f>
        <v>8435.596</v>
      </c>
      <c r="U213" s="8" t="n">
        <f aca="false">T213-K213</f>
        <v>6721.976</v>
      </c>
      <c r="V213" s="8" t="n">
        <f aca="false">R213+S213-U213</f>
        <v>1713.62</v>
      </c>
      <c r="W213" s="9" t="str">
        <f aca="false">IF(ROUND(V213-K213,2)=0,"OK","ERRO")</f>
        <v>OK</v>
      </c>
      <c r="X213" s="9" t="str">
        <f aca="false">VLOOKUP(F213,DIM_SERVICO!$A$2:$D$151,3,FALSE())</f>
        <v>Diagnóstico</v>
      </c>
    </row>
    <row r="214" customFormat="false" ht="15" hidden="false" customHeight="false" outlineLevel="0" collapsed="false">
      <c r="A214" s="2" t="n">
        <v>213</v>
      </c>
      <c r="B214" s="2" t="n">
        <v>132</v>
      </c>
      <c r="C214" s="2" t="n">
        <v>694</v>
      </c>
      <c r="D214" s="2" t="n">
        <v>362</v>
      </c>
      <c r="E214" s="2" t="n">
        <v>8</v>
      </c>
      <c r="F214" s="2" t="n">
        <v>111</v>
      </c>
      <c r="G214" s="2" t="n">
        <v>1002</v>
      </c>
      <c r="H214" s="2" t="n">
        <v>2</v>
      </c>
      <c r="I214" s="3" t="n">
        <v>1157.06</v>
      </c>
      <c r="J214" s="3" t="n">
        <v>1482.2</v>
      </c>
      <c r="K214" s="3" t="n">
        <v>3663.02</v>
      </c>
      <c r="L214" s="3" t="n">
        <v>1769.62</v>
      </c>
      <c r="M214" s="2" t="n">
        <v>3.1</v>
      </c>
      <c r="N214" s="2" t="s">
        <v>25</v>
      </c>
      <c r="O214" s="4" t="n">
        <f aca="false">VLOOKUP(F214,DIM_SERVICO!$A$2:$D$151,4,FALSE())</f>
        <v>1482.2</v>
      </c>
      <c r="P214" s="4" t="n">
        <f aca="false">VLOOKUP(E214,DIM_PECA!$A$2:$F$501,6,FALSE())</f>
        <v>1090.41</v>
      </c>
      <c r="Q214" s="4" t="n">
        <f aca="false">VLOOKUP(E214,DIM_PECA!$A$2:$F$501,5,FALSE())</f>
        <v>578.53</v>
      </c>
      <c r="R214" s="4" t="n">
        <f aca="false">H214*P214</f>
        <v>2180.82</v>
      </c>
      <c r="S214" s="4" t="n">
        <f aca="false">O214*M214</f>
        <v>4594.82</v>
      </c>
      <c r="T214" s="4" t="n">
        <f aca="false">R214+S214</f>
        <v>6775.64</v>
      </c>
      <c r="U214" s="4" t="n">
        <f aca="false">T214-K214</f>
        <v>3112.62</v>
      </c>
      <c r="V214" s="4" t="n">
        <f aca="false">R214+S214-U214</f>
        <v>3663.02</v>
      </c>
      <c r="W214" s="5" t="str">
        <f aca="false">IF(ROUND(V214-K214,2)=0,"OK","ERRO")</f>
        <v>OK</v>
      </c>
      <c r="X214" s="5" t="str">
        <f aca="false">VLOOKUP(F214,DIM_SERVICO!$A$2:$D$151,3,FALSE())</f>
        <v>Pintura</v>
      </c>
    </row>
    <row r="215" customFormat="false" ht="15" hidden="false" customHeight="false" outlineLevel="0" collapsed="false">
      <c r="A215" s="6" t="n">
        <v>214</v>
      </c>
      <c r="B215" s="6" t="n">
        <v>714</v>
      </c>
      <c r="C215" s="6" t="n">
        <v>109</v>
      </c>
      <c r="D215" s="6" t="n">
        <v>415</v>
      </c>
      <c r="E215" s="6" t="n">
        <v>288</v>
      </c>
      <c r="F215" s="6" t="n">
        <v>135</v>
      </c>
      <c r="G215" s="6" t="n">
        <v>593</v>
      </c>
      <c r="H215" s="6" t="n">
        <v>1</v>
      </c>
      <c r="I215" s="7" t="n">
        <v>1016.87</v>
      </c>
      <c r="J215" s="7" t="n">
        <v>2099.01</v>
      </c>
      <c r="K215" s="7" t="n">
        <v>4203.73</v>
      </c>
      <c r="L215" s="7" t="n">
        <v>2142.55</v>
      </c>
      <c r="M215" s="6" t="n">
        <v>6</v>
      </c>
      <c r="N215" s="6" t="s">
        <v>27</v>
      </c>
      <c r="O215" s="8" t="n">
        <f aca="false">VLOOKUP(F215,DIM_SERVICO!$A$2:$D$151,4,FALSE())</f>
        <v>2099.01</v>
      </c>
      <c r="P215" s="8" t="n">
        <f aca="false">VLOOKUP(E215,DIM_PECA!$A$2:$F$501,6,FALSE())</f>
        <v>2104.72</v>
      </c>
      <c r="Q215" s="8" t="n">
        <f aca="false">VLOOKUP(E215,DIM_PECA!$A$2:$F$501,5,FALSE())</f>
        <v>1016.87</v>
      </c>
      <c r="R215" s="8" t="n">
        <f aca="false">H215*P215</f>
        <v>2104.72</v>
      </c>
      <c r="S215" s="8" t="n">
        <f aca="false">O215*M215</f>
        <v>12594.06</v>
      </c>
      <c r="T215" s="8" t="n">
        <f aca="false">R215+S215</f>
        <v>14698.78</v>
      </c>
      <c r="U215" s="8" t="n">
        <f aca="false">T215-K215</f>
        <v>10495.05</v>
      </c>
      <c r="V215" s="8" t="n">
        <f aca="false">R215+S215-U215</f>
        <v>4203.73</v>
      </c>
      <c r="W215" s="9" t="str">
        <f aca="false">IF(ROUND(V215-K215,2)=0,"OK","ERRO")</f>
        <v>OK</v>
      </c>
      <c r="X215" s="9" t="str">
        <f aca="false">VLOOKUP(F215,DIM_SERVICO!$A$2:$D$151,3,FALSE())</f>
        <v>Motor</v>
      </c>
    </row>
    <row r="216" customFormat="false" ht="15" hidden="false" customHeight="false" outlineLevel="0" collapsed="false">
      <c r="A216" s="2" t="n">
        <v>215</v>
      </c>
      <c r="B216" s="2" t="n">
        <v>950</v>
      </c>
      <c r="C216" s="2" t="n">
        <v>823</v>
      </c>
      <c r="D216" s="2" t="n">
        <v>1067</v>
      </c>
      <c r="E216" s="2" t="n">
        <v>73</v>
      </c>
      <c r="F216" s="2" t="n">
        <v>17</v>
      </c>
      <c r="G216" s="2" t="n">
        <v>1192</v>
      </c>
      <c r="H216" s="2" t="n">
        <v>1</v>
      </c>
      <c r="I216" s="3" t="n">
        <v>390.87</v>
      </c>
      <c r="J216" s="3" t="n">
        <v>131.97</v>
      </c>
      <c r="K216" s="3" t="n">
        <v>868.45</v>
      </c>
      <c r="L216" s="3" t="n">
        <v>430.93</v>
      </c>
      <c r="M216" s="2" t="n">
        <v>10.2</v>
      </c>
      <c r="N216" s="2" t="s">
        <v>24</v>
      </c>
      <c r="O216" s="4" t="n">
        <f aca="false">VLOOKUP(F216,DIM_SERVICO!$A$2:$D$151,4,FALSE())</f>
        <v>131.97</v>
      </c>
      <c r="P216" s="4" t="n">
        <f aca="false">VLOOKUP(E216,DIM_PECA!$A$2:$F$501,6,FALSE())</f>
        <v>812</v>
      </c>
      <c r="Q216" s="4" t="n">
        <f aca="false">VLOOKUP(E216,DIM_PECA!$A$2:$F$501,5,FALSE())</f>
        <v>390.87</v>
      </c>
      <c r="R216" s="4" t="n">
        <f aca="false">H216*P216</f>
        <v>812</v>
      </c>
      <c r="S216" s="4" t="n">
        <f aca="false">O216*M216</f>
        <v>1346.094</v>
      </c>
      <c r="T216" s="4" t="n">
        <f aca="false">R216+S216</f>
        <v>2158.094</v>
      </c>
      <c r="U216" s="4" t="n">
        <f aca="false">T216-K216</f>
        <v>1289.644</v>
      </c>
      <c r="V216" s="4" t="n">
        <f aca="false">R216+S216-U216</f>
        <v>868.45</v>
      </c>
      <c r="W216" s="5" t="str">
        <f aca="false">IF(ROUND(V216-K216,2)=0,"OK","ERRO")</f>
        <v>OK</v>
      </c>
      <c r="X216" s="5" t="str">
        <f aca="false">VLOOKUP(F216,DIM_SERVICO!$A$2:$D$151,3,FALSE())</f>
        <v>Pintura</v>
      </c>
    </row>
    <row r="217" customFormat="false" ht="15" hidden="false" customHeight="false" outlineLevel="0" collapsed="false">
      <c r="A217" s="6" t="n">
        <v>216</v>
      </c>
      <c r="B217" s="6" t="n">
        <v>26</v>
      </c>
      <c r="C217" s="6" t="n">
        <v>208</v>
      </c>
      <c r="D217" s="6" t="n">
        <v>1042</v>
      </c>
      <c r="E217" s="6" t="n">
        <v>235</v>
      </c>
      <c r="F217" s="6" t="n">
        <v>9</v>
      </c>
      <c r="G217" s="6" t="n">
        <v>1233</v>
      </c>
      <c r="H217" s="6" t="n">
        <v>3</v>
      </c>
      <c r="I217" s="7" t="n">
        <v>93.18</v>
      </c>
      <c r="J217" s="7" t="n">
        <v>1605.45</v>
      </c>
      <c r="K217" s="7" t="n">
        <v>1765.65</v>
      </c>
      <c r="L217" s="7" t="n">
        <v>1016.41</v>
      </c>
      <c r="M217" s="6" t="n">
        <v>4</v>
      </c>
      <c r="N217" s="6" t="s">
        <v>26</v>
      </c>
      <c r="O217" s="8" t="n">
        <f aca="false">VLOOKUP(F217,DIM_SERVICO!$A$2:$D$151,4,FALSE())</f>
        <v>1605.45</v>
      </c>
      <c r="P217" s="8" t="n">
        <f aca="false">VLOOKUP(E217,DIM_PECA!$A$2:$F$501,6,FALSE())</f>
        <v>65.41</v>
      </c>
      <c r="Q217" s="8" t="n">
        <f aca="false">VLOOKUP(E217,DIM_PECA!$A$2:$F$501,5,FALSE())</f>
        <v>31.06</v>
      </c>
      <c r="R217" s="8" t="n">
        <f aca="false">H217*P217</f>
        <v>196.23</v>
      </c>
      <c r="S217" s="8" t="n">
        <f aca="false">O217*M217</f>
        <v>6421.8</v>
      </c>
      <c r="T217" s="8" t="n">
        <f aca="false">R217+S217</f>
        <v>6618.03</v>
      </c>
      <c r="U217" s="8" t="n">
        <f aca="false">T217-K217</f>
        <v>4852.38</v>
      </c>
      <c r="V217" s="8" t="n">
        <f aca="false">R217+S217-U217</f>
        <v>1765.65</v>
      </c>
      <c r="W217" s="9" t="str">
        <f aca="false">IF(ROUND(V217-K217,2)=0,"OK","ERRO")</f>
        <v>OK</v>
      </c>
      <c r="X217" s="9" t="str">
        <f aca="false">VLOOKUP(F217,DIM_SERVICO!$A$2:$D$151,3,FALSE())</f>
        <v>Revisão</v>
      </c>
    </row>
    <row r="218" customFormat="false" ht="15" hidden="false" customHeight="false" outlineLevel="0" collapsed="false">
      <c r="A218" s="2" t="n">
        <v>217</v>
      </c>
      <c r="B218" s="2" t="n">
        <v>715</v>
      </c>
      <c r="C218" s="2" t="n">
        <v>1448</v>
      </c>
      <c r="D218" s="2" t="n">
        <v>502</v>
      </c>
      <c r="E218" s="2" t="n">
        <v>13</v>
      </c>
      <c r="F218" s="2" t="n">
        <v>112</v>
      </c>
      <c r="G218" s="2" t="n">
        <v>1211</v>
      </c>
      <c r="H218" s="2" t="n">
        <v>1</v>
      </c>
      <c r="I218" s="3" t="n">
        <v>304.15</v>
      </c>
      <c r="J218" s="3" t="n">
        <v>899.56</v>
      </c>
      <c r="K218" s="3" t="n">
        <v>1437.57</v>
      </c>
      <c r="L218" s="3" t="n">
        <v>774.09</v>
      </c>
      <c r="M218" s="2" t="n">
        <v>9.7</v>
      </c>
      <c r="N218" s="2" t="s">
        <v>24</v>
      </c>
      <c r="O218" s="4" t="n">
        <f aca="false">VLOOKUP(F218,DIM_SERVICO!$A$2:$D$151,4,FALSE())</f>
        <v>899.56</v>
      </c>
      <c r="P218" s="4" t="n">
        <f aca="false">VLOOKUP(E218,DIM_PECA!$A$2:$F$501,6,FALSE())</f>
        <v>538.01</v>
      </c>
      <c r="Q218" s="4" t="n">
        <f aca="false">VLOOKUP(E218,DIM_PECA!$A$2:$F$501,5,FALSE())</f>
        <v>304.15</v>
      </c>
      <c r="R218" s="4" t="n">
        <f aca="false">H218*P218</f>
        <v>538.01</v>
      </c>
      <c r="S218" s="4" t="n">
        <f aca="false">O218*M218</f>
        <v>8725.732</v>
      </c>
      <c r="T218" s="4" t="n">
        <f aca="false">R218+S218</f>
        <v>9263.742</v>
      </c>
      <c r="U218" s="4" t="n">
        <f aca="false">T218-K218</f>
        <v>7826.172</v>
      </c>
      <c r="V218" s="4" t="n">
        <f aca="false">R218+S218-U218</f>
        <v>1437.57</v>
      </c>
      <c r="W218" s="5" t="str">
        <f aca="false">IF(ROUND(V218-K218,2)=0,"OK","ERRO")</f>
        <v>OK</v>
      </c>
      <c r="X218" s="5" t="str">
        <f aca="false">VLOOKUP(F218,DIM_SERVICO!$A$2:$D$151,3,FALSE())</f>
        <v>Elétrica</v>
      </c>
    </row>
    <row r="219" customFormat="false" ht="15" hidden="false" customHeight="false" outlineLevel="0" collapsed="false">
      <c r="A219" s="6" t="n">
        <v>218</v>
      </c>
      <c r="B219" s="6" t="n">
        <v>455</v>
      </c>
      <c r="C219" s="6" t="n">
        <v>965</v>
      </c>
      <c r="D219" s="6" t="n">
        <v>383</v>
      </c>
      <c r="E219" s="6" t="n">
        <v>283</v>
      </c>
      <c r="F219" s="6" t="n">
        <v>79</v>
      </c>
      <c r="G219" s="6" t="n">
        <v>504</v>
      </c>
      <c r="H219" s="6" t="n">
        <v>1</v>
      </c>
      <c r="I219" s="7" t="n">
        <v>837.63</v>
      </c>
      <c r="J219" s="7" t="n">
        <v>748.05</v>
      </c>
      <c r="K219" s="7" t="n">
        <v>1947.46</v>
      </c>
      <c r="L219" s="7" t="n">
        <v>744.51</v>
      </c>
      <c r="M219" s="6" t="n">
        <v>4.2</v>
      </c>
      <c r="N219" s="6" t="s">
        <v>27</v>
      </c>
      <c r="O219" s="8" t="n">
        <f aca="false">VLOOKUP(F219,DIM_SERVICO!$A$2:$D$151,4,FALSE())</f>
        <v>748.05</v>
      </c>
      <c r="P219" s="8" t="n">
        <f aca="false">VLOOKUP(E219,DIM_PECA!$A$2:$F$501,6,FALSE())</f>
        <v>1415.79</v>
      </c>
      <c r="Q219" s="8" t="n">
        <f aca="false">VLOOKUP(E219,DIM_PECA!$A$2:$F$501,5,FALSE())</f>
        <v>837.63</v>
      </c>
      <c r="R219" s="8" t="n">
        <f aca="false">H219*P219</f>
        <v>1415.79</v>
      </c>
      <c r="S219" s="8" t="n">
        <f aca="false">O219*M219</f>
        <v>3141.81</v>
      </c>
      <c r="T219" s="8" t="n">
        <f aca="false">R219+S219</f>
        <v>4557.6</v>
      </c>
      <c r="U219" s="8" t="n">
        <f aca="false">T219-K219</f>
        <v>2610.14</v>
      </c>
      <c r="V219" s="8" t="n">
        <f aca="false">R219+S219-U219</f>
        <v>1947.46</v>
      </c>
      <c r="W219" s="9" t="str">
        <f aca="false">IF(ROUND(V219-K219,2)=0,"OK","ERRO")</f>
        <v>OK</v>
      </c>
      <c r="X219" s="9" t="str">
        <f aca="false">VLOOKUP(F219,DIM_SERVICO!$A$2:$D$151,3,FALSE())</f>
        <v>Freios</v>
      </c>
    </row>
    <row r="220" customFormat="false" ht="15" hidden="false" customHeight="false" outlineLevel="0" collapsed="false">
      <c r="A220" s="2" t="n">
        <v>219</v>
      </c>
      <c r="B220" s="2" t="n">
        <v>237</v>
      </c>
      <c r="C220" s="2" t="n">
        <v>764</v>
      </c>
      <c r="D220" s="2" t="n">
        <v>759</v>
      </c>
      <c r="E220" s="2" t="n">
        <v>254</v>
      </c>
      <c r="F220" s="2" t="n">
        <v>109</v>
      </c>
      <c r="G220" s="2" t="n">
        <v>1246</v>
      </c>
      <c r="H220" s="2" t="n">
        <v>3</v>
      </c>
      <c r="I220" s="3" t="n">
        <v>186.75</v>
      </c>
      <c r="J220" s="3" t="n">
        <v>1418.47</v>
      </c>
      <c r="K220" s="3" t="n">
        <v>1732.18</v>
      </c>
      <c r="L220" s="3" t="n">
        <v>789.47</v>
      </c>
      <c r="M220" s="2" t="n">
        <v>2.4</v>
      </c>
      <c r="N220" s="2" t="s">
        <v>25</v>
      </c>
      <c r="O220" s="4" t="n">
        <f aca="false">VLOOKUP(F220,DIM_SERVICO!$A$2:$D$151,4,FALSE())</f>
        <v>1418.47</v>
      </c>
      <c r="P220" s="4" t="n">
        <f aca="false">VLOOKUP(E220,DIM_PECA!$A$2:$F$501,6,FALSE())</f>
        <v>134.96</v>
      </c>
      <c r="Q220" s="4" t="n">
        <f aca="false">VLOOKUP(E220,DIM_PECA!$A$2:$F$501,5,FALSE())</f>
        <v>62.25</v>
      </c>
      <c r="R220" s="4" t="n">
        <f aca="false">H220*P220</f>
        <v>404.88</v>
      </c>
      <c r="S220" s="4" t="n">
        <f aca="false">O220*M220</f>
        <v>3404.328</v>
      </c>
      <c r="T220" s="4" t="n">
        <f aca="false">R220+S220</f>
        <v>3809.208</v>
      </c>
      <c r="U220" s="4" t="n">
        <f aca="false">T220-K220</f>
        <v>2077.028</v>
      </c>
      <c r="V220" s="4" t="n">
        <f aca="false">R220+S220-U220</f>
        <v>1732.18</v>
      </c>
      <c r="W220" s="5" t="str">
        <f aca="false">IF(ROUND(V220-K220,2)=0,"OK","ERRO")</f>
        <v>OK</v>
      </c>
      <c r="X220" s="5" t="str">
        <f aca="false">VLOOKUP(F220,DIM_SERVICO!$A$2:$D$151,3,FALSE())</f>
        <v>Pintura</v>
      </c>
    </row>
    <row r="221" customFormat="false" ht="15" hidden="false" customHeight="false" outlineLevel="0" collapsed="false">
      <c r="A221" s="6" t="n">
        <v>220</v>
      </c>
      <c r="B221" s="6" t="n">
        <v>812</v>
      </c>
      <c r="C221" s="6" t="n">
        <v>773</v>
      </c>
      <c r="D221" s="6" t="n">
        <v>331</v>
      </c>
      <c r="E221" s="6" t="n">
        <v>378</v>
      </c>
      <c r="F221" s="6" t="n">
        <v>105</v>
      </c>
      <c r="G221" s="6" t="n">
        <v>465</v>
      </c>
      <c r="H221" s="6" t="n">
        <v>2</v>
      </c>
      <c r="I221" s="7" t="n">
        <v>893.66</v>
      </c>
      <c r="J221" s="7" t="n">
        <v>1828.35</v>
      </c>
      <c r="K221" s="7" t="n">
        <v>3161.77</v>
      </c>
      <c r="L221" s="7" t="n">
        <v>1454.18</v>
      </c>
      <c r="M221" s="6" t="n">
        <v>11.6</v>
      </c>
      <c r="N221" s="6" t="s">
        <v>24</v>
      </c>
      <c r="O221" s="8" t="n">
        <f aca="false">VLOOKUP(F221,DIM_SERVICO!$A$2:$D$151,4,FALSE())</f>
        <v>1828.35</v>
      </c>
      <c r="P221" s="8" t="n">
        <f aca="false">VLOOKUP(E221,DIM_PECA!$A$2:$F$501,6,FALSE())</f>
        <v>804.18</v>
      </c>
      <c r="Q221" s="8" t="n">
        <f aca="false">VLOOKUP(E221,DIM_PECA!$A$2:$F$501,5,FALSE())</f>
        <v>446.83</v>
      </c>
      <c r="R221" s="8" t="n">
        <f aca="false">H221*P221</f>
        <v>1608.36</v>
      </c>
      <c r="S221" s="8" t="n">
        <f aca="false">O221*M221</f>
        <v>21208.86</v>
      </c>
      <c r="T221" s="8" t="n">
        <f aca="false">R221+S221</f>
        <v>22817.22</v>
      </c>
      <c r="U221" s="8" t="n">
        <f aca="false">T221-K221</f>
        <v>19655.45</v>
      </c>
      <c r="V221" s="8" t="n">
        <f aca="false">R221+S221-U221</f>
        <v>3161.77</v>
      </c>
      <c r="W221" s="9" t="str">
        <f aca="false">IF(ROUND(V221-K221,2)=0,"OK","ERRO")</f>
        <v>OK</v>
      </c>
      <c r="X221" s="9" t="str">
        <f aca="false">VLOOKUP(F221,DIM_SERVICO!$A$2:$D$151,3,FALSE())</f>
        <v>Freios</v>
      </c>
    </row>
    <row r="222" customFormat="false" ht="15" hidden="false" customHeight="false" outlineLevel="0" collapsed="false">
      <c r="A222" s="2" t="n">
        <v>221</v>
      </c>
      <c r="B222" s="2" t="n">
        <v>58</v>
      </c>
      <c r="C222" s="2" t="n">
        <v>468</v>
      </c>
      <c r="D222" s="2" t="n">
        <v>877</v>
      </c>
      <c r="E222" s="2" t="n">
        <v>388</v>
      </c>
      <c r="F222" s="2" t="n">
        <v>11</v>
      </c>
      <c r="G222" s="2" t="n">
        <v>391</v>
      </c>
      <c r="H222" s="2" t="n">
        <v>1</v>
      </c>
      <c r="I222" s="3" t="n">
        <v>607.11</v>
      </c>
      <c r="J222" s="3" t="n">
        <v>2164.78</v>
      </c>
      <c r="K222" s="3" t="n">
        <v>2949.49</v>
      </c>
      <c r="L222" s="3" t="n">
        <v>1296.02</v>
      </c>
      <c r="M222" s="2" t="n">
        <v>4.3</v>
      </c>
      <c r="N222" s="2" t="s">
        <v>24</v>
      </c>
      <c r="O222" s="4" t="n">
        <f aca="false">VLOOKUP(F222,DIM_SERVICO!$A$2:$D$151,4,FALSE())</f>
        <v>2164.78</v>
      </c>
      <c r="P222" s="4" t="n">
        <f aca="false">VLOOKUP(E222,DIM_PECA!$A$2:$F$501,6,FALSE())</f>
        <v>939.95</v>
      </c>
      <c r="Q222" s="4" t="n">
        <f aca="false">VLOOKUP(E222,DIM_PECA!$A$2:$F$501,5,FALSE())</f>
        <v>607.11</v>
      </c>
      <c r="R222" s="4" t="n">
        <f aca="false">H222*P222</f>
        <v>939.95</v>
      </c>
      <c r="S222" s="4" t="n">
        <f aca="false">O222*M222</f>
        <v>9308.554</v>
      </c>
      <c r="T222" s="4" t="n">
        <f aca="false">R222+S222</f>
        <v>10248.504</v>
      </c>
      <c r="U222" s="4" t="n">
        <f aca="false">T222-K222</f>
        <v>7299.014</v>
      </c>
      <c r="V222" s="4" t="n">
        <f aca="false">R222+S222-U222</f>
        <v>2949.49</v>
      </c>
      <c r="W222" s="5" t="str">
        <f aca="false">IF(ROUND(V222-K222,2)=0,"OK","ERRO")</f>
        <v>OK</v>
      </c>
      <c r="X222" s="5" t="str">
        <f aca="false">VLOOKUP(F222,DIM_SERVICO!$A$2:$D$151,3,FALSE())</f>
        <v>Freios</v>
      </c>
    </row>
    <row r="223" customFormat="false" ht="15" hidden="false" customHeight="false" outlineLevel="0" collapsed="false">
      <c r="A223" s="6" t="n">
        <v>222</v>
      </c>
      <c r="B223" s="6" t="n">
        <v>190</v>
      </c>
      <c r="C223" s="6" t="n">
        <v>831</v>
      </c>
      <c r="D223" s="6" t="n">
        <v>582</v>
      </c>
      <c r="E223" s="6" t="n">
        <v>350</v>
      </c>
      <c r="F223" s="6" t="n">
        <v>28</v>
      </c>
      <c r="G223" s="6" t="n">
        <v>544</v>
      </c>
      <c r="H223" s="6" t="n">
        <v>1</v>
      </c>
      <c r="I223" s="7" t="n">
        <v>1036.21</v>
      </c>
      <c r="J223" s="7" t="n">
        <v>2152.12</v>
      </c>
      <c r="K223" s="7" t="n">
        <v>3871.3</v>
      </c>
      <c r="L223" s="7" t="n">
        <v>1981.31</v>
      </c>
      <c r="M223" s="6" t="n">
        <v>0.7</v>
      </c>
      <c r="N223" s="6" t="s">
        <v>24</v>
      </c>
      <c r="O223" s="8" t="n">
        <f aca="false">VLOOKUP(F223,DIM_SERVICO!$A$2:$D$151,4,FALSE())</f>
        <v>2152.12</v>
      </c>
      <c r="P223" s="8" t="n">
        <f aca="false">VLOOKUP(E223,DIM_PECA!$A$2:$F$501,6,FALSE())</f>
        <v>2055.81</v>
      </c>
      <c r="Q223" s="8" t="n">
        <f aca="false">VLOOKUP(E223,DIM_PECA!$A$2:$F$501,5,FALSE())</f>
        <v>1036.21</v>
      </c>
      <c r="R223" s="8" t="n">
        <f aca="false">H223*P223</f>
        <v>2055.81</v>
      </c>
      <c r="S223" s="8" t="n">
        <f aca="false">O223*M223</f>
        <v>1506.484</v>
      </c>
      <c r="T223" s="8" t="n">
        <f aca="false">R223+S223</f>
        <v>3562.294</v>
      </c>
      <c r="U223" s="8" t="n">
        <f aca="false">T223-K223</f>
        <v>-309.006</v>
      </c>
      <c r="V223" s="8" t="n">
        <f aca="false">R223+S223-U223</f>
        <v>3871.3</v>
      </c>
      <c r="W223" s="9" t="str">
        <f aca="false">IF(ROUND(V223-K223,2)=0,"OK","ERRO")</f>
        <v>OK</v>
      </c>
      <c r="X223" s="9" t="str">
        <f aca="false">VLOOKUP(F223,DIM_SERVICO!$A$2:$D$151,3,FALSE())</f>
        <v>Freios</v>
      </c>
    </row>
    <row r="224" customFormat="false" ht="15" hidden="false" customHeight="false" outlineLevel="0" collapsed="false">
      <c r="A224" s="2" t="n">
        <v>223</v>
      </c>
      <c r="B224" s="2" t="n">
        <v>430</v>
      </c>
      <c r="C224" s="2" t="n">
        <v>919</v>
      </c>
      <c r="D224" s="2" t="n">
        <v>731</v>
      </c>
      <c r="E224" s="2" t="n">
        <v>266</v>
      </c>
      <c r="F224" s="2" t="n">
        <v>60</v>
      </c>
      <c r="G224" s="2" t="n">
        <v>308</v>
      </c>
      <c r="H224" s="2" t="n">
        <v>4</v>
      </c>
      <c r="I224" s="3" t="n">
        <v>3932.68</v>
      </c>
      <c r="J224" s="3" t="n">
        <v>1091.63</v>
      </c>
      <c r="K224" s="3" t="n">
        <v>6787.43</v>
      </c>
      <c r="L224" s="3" t="n">
        <v>2295.69</v>
      </c>
      <c r="M224" s="2" t="n">
        <v>1.5</v>
      </c>
      <c r="N224" s="2" t="s">
        <v>25</v>
      </c>
      <c r="O224" s="4" t="n">
        <f aca="false">VLOOKUP(F224,DIM_SERVICO!$A$2:$D$151,4,FALSE())</f>
        <v>1091.63</v>
      </c>
      <c r="P224" s="4" t="n">
        <f aca="false">VLOOKUP(E224,DIM_PECA!$A$2:$F$501,6,FALSE())</f>
        <v>1458.58</v>
      </c>
      <c r="Q224" s="4" t="n">
        <f aca="false">VLOOKUP(E224,DIM_PECA!$A$2:$F$501,5,FALSE())</f>
        <v>983.17</v>
      </c>
      <c r="R224" s="4" t="n">
        <f aca="false">H224*P224</f>
        <v>5834.32</v>
      </c>
      <c r="S224" s="4" t="n">
        <f aca="false">O224*M224</f>
        <v>1637.445</v>
      </c>
      <c r="T224" s="4" t="n">
        <f aca="false">R224+S224</f>
        <v>7471.765</v>
      </c>
      <c r="U224" s="4" t="n">
        <f aca="false">T224-K224</f>
        <v>684.334999999999</v>
      </c>
      <c r="V224" s="4" t="n">
        <f aca="false">R224+S224-U224</f>
        <v>6787.43</v>
      </c>
      <c r="W224" s="5" t="str">
        <f aca="false">IF(ROUND(V224-K224,2)=0,"OK","ERRO")</f>
        <v>OK</v>
      </c>
      <c r="X224" s="5" t="str">
        <f aca="false">VLOOKUP(F224,DIM_SERVICO!$A$2:$D$151,3,FALSE())</f>
        <v>Diagnóstico</v>
      </c>
    </row>
    <row r="225" customFormat="false" ht="15" hidden="false" customHeight="false" outlineLevel="0" collapsed="false">
      <c r="A225" s="6" t="n">
        <v>224</v>
      </c>
      <c r="B225" s="6" t="n">
        <v>288</v>
      </c>
      <c r="C225" s="6" t="n">
        <v>1297</v>
      </c>
      <c r="D225" s="6" t="n">
        <v>788</v>
      </c>
      <c r="E225" s="6" t="n">
        <v>18</v>
      </c>
      <c r="F225" s="6" t="n">
        <v>91</v>
      </c>
      <c r="G225" s="6" t="n">
        <v>1660</v>
      </c>
      <c r="H225" s="6" t="n">
        <v>1</v>
      </c>
      <c r="I225" s="7" t="n">
        <v>852.34</v>
      </c>
      <c r="J225" s="7" t="n">
        <v>1566.63</v>
      </c>
      <c r="K225" s="7" t="n">
        <v>2583.05</v>
      </c>
      <c r="L225" s="7" t="n">
        <v>1150.03</v>
      </c>
      <c r="M225" s="6" t="n">
        <v>0.6</v>
      </c>
      <c r="N225" s="6" t="s">
        <v>26</v>
      </c>
      <c r="O225" s="8" t="n">
        <f aca="false">VLOOKUP(F225,DIM_SERVICO!$A$2:$D$151,4,FALSE())</f>
        <v>1566.63</v>
      </c>
      <c r="P225" s="8" t="n">
        <f aca="false">VLOOKUP(E225,DIM_PECA!$A$2:$F$501,6,FALSE())</f>
        <v>1152.37</v>
      </c>
      <c r="Q225" s="8" t="n">
        <f aca="false">VLOOKUP(E225,DIM_PECA!$A$2:$F$501,5,FALSE())</f>
        <v>852.34</v>
      </c>
      <c r="R225" s="8" t="n">
        <f aca="false">H225*P225</f>
        <v>1152.37</v>
      </c>
      <c r="S225" s="8" t="n">
        <f aca="false">O225*M225</f>
        <v>939.978</v>
      </c>
      <c r="T225" s="8" t="n">
        <f aca="false">R225+S225</f>
        <v>2092.348</v>
      </c>
      <c r="U225" s="8" t="n">
        <f aca="false">T225-K225</f>
        <v>-490.702</v>
      </c>
      <c r="V225" s="8" t="n">
        <f aca="false">R225+S225-U225</f>
        <v>2583.05</v>
      </c>
      <c r="W225" s="9" t="str">
        <f aca="false">IF(ROUND(V225-K225,2)=0,"OK","ERRO")</f>
        <v>OK</v>
      </c>
      <c r="X225" s="9" t="str">
        <f aca="false">VLOOKUP(F225,DIM_SERVICO!$A$2:$D$151,3,FALSE())</f>
        <v>Funilaria</v>
      </c>
    </row>
    <row r="226" customFormat="false" ht="15" hidden="false" customHeight="false" outlineLevel="0" collapsed="false">
      <c r="A226" s="2" t="n">
        <v>225</v>
      </c>
      <c r="B226" s="2" t="n">
        <v>1476</v>
      </c>
      <c r="C226" s="2" t="n">
        <v>1395</v>
      </c>
      <c r="D226" s="2" t="n">
        <v>479</v>
      </c>
      <c r="E226" s="2" t="n">
        <v>96</v>
      </c>
      <c r="F226" s="2" t="n">
        <v>61</v>
      </c>
      <c r="G226" s="2" t="n">
        <v>877</v>
      </c>
      <c r="H226" s="2" t="n">
        <v>2</v>
      </c>
      <c r="I226" s="3" t="n">
        <v>279.3</v>
      </c>
      <c r="J226" s="3" t="n">
        <v>1372.66</v>
      </c>
      <c r="K226" s="3" t="n">
        <v>1873.76</v>
      </c>
      <c r="L226" s="3" t="n">
        <v>1045.3</v>
      </c>
      <c r="M226" s="2" t="n">
        <v>3</v>
      </c>
      <c r="N226" s="2" t="s">
        <v>27</v>
      </c>
      <c r="O226" s="4" t="n">
        <f aca="false">VLOOKUP(F226,DIM_SERVICO!$A$2:$D$151,4,FALSE())</f>
        <v>1372.66</v>
      </c>
      <c r="P226" s="4" t="n">
        <f aca="false">VLOOKUP(E226,DIM_PECA!$A$2:$F$501,6,FALSE())</f>
        <v>269.67</v>
      </c>
      <c r="Q226" s="4" t="n">
        <f aca="false">VLOOKUP(E226,DIM_PECA!$A$2:$F$501,5,FALSE())</f>
        <v>139.65</v>
      </c>
      <c r="R226" s="4" t="n">
        <f aca="false">H226*P226</f>
        <v>539.34</v>
      </c>
      <c r="S226" s="4" t="n">
        <f aca="false">O226*M226</f>
        <v>4117.98</v>
      </c>
      <c r="T226" s="4" t="n">
        <f aca="false">R226+S226</f>
        <v>4657.32</v>
      </c>
      <c r="U226" s="4" t="n">
        <f aca="false">T226-K226</f>
        <v>2783.56</v>
      </c>
      <c r="V226" s="4" t="n">
        <f aca="false">R226+S226-U226</f>
        <v>1873.76</v>
      </c>
      <c r="W226" s="5" t="str">
        <f aca="false">IF(ROUND(V226-K226,2)=0,"OK","ERRO")</f>
        <v>OK</v>
      </c>
      <c r="X226" s="5" t="str">
        <f aca="false">VLOOKUP(F226,DIM_SERVICO!$A$2:$D$151,3,FALSE())</f>
        <v>Funilaria</v>
      </c>
    </row>
    <row r="227" customFormat="false" ht="15" hidden="false" customHeight="false" outlineLevel="0" collapsed="false">
      <c r="A227" s="6" t="n">
        <v>226</v>
      </c>
      <c r="B227" s="6" t="n">
        <v>91</v>
      </c>
      <c r="C227" s="6" t="n">
        <v>511</v>
      </c>
      <c r="D227" s="6" t="n">
        <v>963</v>
      </c>
      <c r="E227" s="6" t="n">
        <v>24</v>
      </c>
      <c r="F227" s="6" t="n">
        <v>18</v>
      </c>
      <c r="G227" s="6" t="n">
        <v>447</v>
      </c>
      <c r="H227" s="6" t="n">
        <v>1</v>
      </c>
      <c r="I227" s="7" t="n">
        <v>1183.67</v>
      </c>
      <c r="J227" s="7" t="n">
        <v>1667.15</v>
      </c>
      <c r="K227" s="7" t="n">
        <v>3875.53</v>
      </c>
      <c r="L227" s="7" t="n">
        <v>1776.49</v>
      </c>
      <c r="M227" s="6" t="n">
        <v>3.8</v>
      </c>
      <c r="N227" s="6" t="s">
        <v>24</v>
      </c>
      <c r="O227" s="8" t="n">
        <f aca="false">VLOOKUP(F227,DIM_SERVICO!$A$2:$D$151,4,FALSE())</f>
        <v>1667.15</v>
      </c>
      <c r="P227" s="8" t="n">
        <f aca="false">VLOOKUP(E227,DIM_PECA!$A$2:$F$501,6,FALSE())</f>
        <v>2412.36</v>
      </c>
      <c r="Q227" s="8" t="n">
        <f aca="false">VLOOKUP(E227,DIM_PECA!$A$2:$F$501,5,FALSE())</f>
        <v>1183.67</v>
      </c>
      <c r="R227" s="8" t="n">
        <f aca="false">H227*P227</f>
        <v>2412.36</v>
      </c>
      <c r="S227" s="8" t="n">
        <f aca="false">O227*M227</f>
        <v>6335.17</v>
      </c>
      <c r="T227" s="8" t="n">
        <f aca="false">R227+S227</f>
        <v>8747.53</v>
      </c>
      <c r="U227" s="8" t="n">
        <f aca="false">T227-K227</f>
        <v>4872</v>
      </c>
      <c r="V227" s="8" t="n">
        <f aca="false">R227+S227-U227</f>
        <v>3875.53</v>
      </c>
      <c r="W227" s="9" t="str">
        <f aca="false">IF(ROUND(V227-K227,2)=0,"OK","ERRO")</f>
        <v>OK</v>
      </c>
      <c r="X227" s="9" t="str">
        <f aca="false">VLOOKUP(F227,DIM_SERVICO!$A$2:$D$151,3,FALSE())</f>
        <v>Elétrica</v>
      </c>
    </row>
    <row r="228" customFormat="false" ht="15" hidden="false" customHeight="false" outlineLevel="0" collapsed="false">
      <c r="A228" s="2" t="n">
        <v>227</v>
      </c>
      <c r="B228" s="2" t="n">
        <v>1078</v>
      </c>
      <c r="C228" s="2" t="n">
        <v>386</v>
      </c>
      <c r="D228" s="2" t="n">
        <v>630</v>
      </c>
      <c r="E228" s="2" t="n">
        <v>441</v>
      </c>
      <c r="F228" s="2" t="n">
        <v>124</v>
      </c>
      <c r="G228" s="2" t="n">
        <v>1466</v>
      </c>
      <c r="H228" s="2" t="n">
        <v>1</v>
      </c>
      <c r="I228" s="3" t="n">
        <v>114</v>
      </c>
      <c r="J228" s="3" t="n">
        <v>2049.22</v>
      </c>
      <c r="K228" s="3" t="n">
        <v>1986.1</v>
      </c>
      <c r="L228" s="3" t="n">
        <v>975.59</v>
      </c>
      <c r="M228" s="2" t="n">
        <v>2.1</v>
      </c>
      <c r="N228" s="2" t="s">
        <v>25</v>
      </c>
      <c r="O228" s="4" t="n">
        <f aca="false">VLOOKUP(F228,DIM_SERVICO!$A$2:$D$151,4,FALSE())</f>
        <v>2049.22</v>
      </c>
      <c r="P228" s="4" t="n">
        <f aca="false">VLOOKUP(E228,DIM_PECA!$A$2:$F$501,6,FALSE())</f>
        <v>157.56</v>
      </c>
      <c r="Q228" s="4" t="n">
        <f aca="false">VLOOKUP(E228,DIM_PECA!$A$2:$F$501,5,FALSE())</f>
        <v>114</v>
      </c>
      <c r="R228" s="4" t="n">
        <f aca="false">H228*P228</f>
        <v>157.56</v>
      </c>
      <c r="S228" s="4" t="n">
        <f aca="false">O228*M228</f>
        <v>4303.362</v>
      </c>
      <c r="T228" s="4" t="n">
        <f aca="false">R228+S228</f>
        <v>4460.922</v>
      </c>
      <c r="U228" s="4" t="n">
        <f aca="false">T228-K228</f>
        <v>2474.822</v>
      </c>
      <c r="V228" s="4" t="n">
        <f aca="false">R228+S228-U228</f>
        <v>1986.1</v>
      </c>
      <c r="W228" s="5" t="str">
        <f aca="false">IF(ROUND(V228-K228,2)=0,"OK","ERRO")</f>
        <v>OK</v>
      </c>
      <c r="X228" s="5" t="str">
        <f aca="false">VLOOKUP(F228,DIM_SERVICO!$A$2:$D$151,3,FALSE())</f>
        <v>Freios</v>
      </c>
    </row>
    <row r="229" customFormat="false" ht="15" hidden="false" customHeight="false" outlineLevel="0" collapsed="false">
      <c r="A229" s="6" t="n">
        <v>228</v>
      </c>
      <c r="B229" s="6" t="n">
        <v>1097</v>
      </c>
      <c r="C229" s="6" t="n">
        <v>255</v>
      </c>
      <c r="D229" s="6" t="n">
        <v>118</v>
      </c>
      <c r="E229" s="6" t="n">
        <v>56</v>
      </c>
      <c r="F229" s="6" t="n">
        <v>74</v>
      </c>
      <c r="G229" s="6" t="n">
        <v>945</v>
      </c>
      <c r="H229" s="6" t="n">
        <v>4</v>
      </c>
      <c r="I229" s="7" t="n">
        <v>1507.36</v>
      </c>
      <c r="J229" s="7" t="n">
        <v>821.88</v>
      </c>
      <c r="K229" s="7" t="n">
        <v>3390.4</v>
      </c>
      <c r="L229" s="7" t="n">
        <v>1591.24</v>
      </c>
      <c r="M229" s="6" t="n">
        <v>3.4</v>
      </c>
      <c r="N229" s="6" t="s">
        <v>24</v>
      </c>
      <c r="O229" s="8" t="n">
        <f aca="false">VLOOKUP(F229,DIM_SERVICO!$A$2:$D$151,4,FALSE())</f>
        <v>821.88</v>
      </c>
      <c r="P229" s="8" t="n">
        <f aca="false">VLOOKUP(E229,DIM_PECA!$A$2:$F$501,6,FALSE())</f>
        <v>642.13</v>
      </c>
      <c r="Q229" s="8" t="n">
        <f aca="false">VLOOKUP(E229,DIM_PECA!$A$2:$F$501,5,FALSE())</f>
        <v>376.84</v>
      </c>
      <c r="R229" s="8" t="n">
        <f aca="false">H229*P229</f>
        <v>2568.52</v>
      </c>
      <c r="S229" s="8" t="n">
        <f aca="false">O229*M229</f>
        <v>2794.392</v>
      </c>
      <c r="T229" s="8" t="n">
        <f aca="false">R229+S229</f>
        <v>5362.912</v>
      </c>
      <c r="U229" s="8" t="n">
        <f aca="false">T229-K229</f>
        <v>1972.512</v>
      </c>
      <c r="V229" s="8" t="n">
        <f aca="false">R229+S229-U229</f>
        <v>3390.4</v>
      </c>
      <c r="W229" s="9" t="str">
        <f aca="false">IF(ROUND(V229-K229,2)=0,"OK","ERRO")</f>
        <v>OK</v>
      </c>
      <c r="X229" s="9" t="str">
        <f aca="false">VLOOKUP(F229,DIM_SERVICO!$A$2:$D$151,3,FALSE())</f>
        <v>Revisão</v>
      </c>
    </row>
    <row r="230" customFormat="false" ht="15" hidden="false" customHeight="false" outlineLevel="0" collapsed="false">
      <c r="A230" s="2" t="n">
        <v>229</v>
      </c>
      <c r="B230" s="2" t="n">
        <v>1152</v>
      </c>
      <c r="C230" s="2" t="n">
        <v>1104</v>
      </c>
      <c r="D230" s="2" t="n">
        <v>869</v>
      </c>
      <c r="E230" s="2" t="n">
        <v>454</v>
      </c>
      <c r="F230" s="2" t="n">
        <v>59</v>
      </c>
      <c r="G230" s="2" t="n">
        <v>1502</v>
      </c>
      <c r="H230" s="2" t="n">
        <v>3</v>
      </c>
      <c r="I230" s="3" t="n">
        <v>1337.4</v>
      </c>
      <c r="J230" s="3" t="n">
        <v>340.97</v>
      </c>
      <c r="K230" s="3" t="n">
        <v>2698.13</v>
      </c>
      <c r="L230" s="3" t="n">
        <v>1233.14</v>
      </c>
      <c r="M230" s="2" t="n">
        <v>11.6</v>
      </c>
      <c r="N230" s="2" t="s">
        <v>26</v>
      </c>
      <c r="O230" s="4" t="n">
        <f aca="false">VLOOKUP(F230,DIM_SERVICO!$A$2:$D$151,4,FALSE())</f>
        <v>340.97</v>
      </c>
      <c r="P230" s="4" t="n">
        <f aca="false">VLOOKUP(E230,DIM_PECA!$A$2:$F$501,6,FALSE())</f>
        <v>785.72</v>
      </c>
      <c r="Q230" s="4" t="n">
        <f aca="false">VLOOKUP(E230,DIM_PECA!$A$2:$F$501,5,FALSE())</f>
        <v>445.8</v>
      </c>
      <c r="R230" s="4" t="n">
        <f aca="false">H230*P230</f>
        <v>2357.16</v>
      </c>
      <c r="S230" s="4" t="n">
        <f aca="false">O230*M230</f>
        <v>3955.252</v>
      </c>
      <c r="T230" s="4" t="n">
        <f aca="false">R230+S230</f>
        <v>6312.412</v>
      </c>
      <c r="U230" s="4" t="n">
        <f aca="false">T230-K230</f>
        <v>3614.282</v>
      </c>
      <c r="V230" s="4" t="n">
        <f aca="false">R230+S230-U230</f>
        <v>2698.13</v>
      </c>
      <c r="W230" s="5" t="str">
        <f aca="false">IF(ROUND(V230-K230,2)=0,"OK","ERRO")</f>
        <v>OK</v>
      </c>
      <c r="X230" s="5" t="str">
        <f aca="false">VLOOKUP(F230,DIM_SERVICO!$A$2:$D$151,3,FALSE())</f>
        <v>Revisão</v>
      </c>
    </row>
    <row r="231" customFormat="false" ht="15" hidden="false" customHeight="false" outlineLevel="0" collapsed="false">
      <c r="A231" s="6" t="n">
        <v>230</v>
      </c>
      <c r="B231" s="6" t="n">
        <v>1225</v>
      </c>
      <c r="C231" s="6" t="n">
        <v>715</v>
      </c>
      <c r="D231" s="6" t="n">
        <v>767</v>
      </c>
      <c r="E231" s="6" t="n">
        <v>446</v>
      </c>
      <c r="F231" s="6" t="n">
        <v>79</v>
      </c>
      <c r="G231" s="6" t="n">
        <v>926</v>
      </c>
      <c r="H231" s="6" t="n">
        <v>2</v>
      </c>
      <c r="I231" s="7" t="n">
        <v>2338.18</v>
      </c>
      <c r="J231" s="7" t="n">
        <v>748.05</v>
      </c>
      <c r="K231" s="7" t="n">
        <v>4625.23</v>
      </c>
      <c r="L231" s="7" t="n">
        <v>1927.7</v>
      </c>
      <c r="M231" s="6" t="n">
        <v>5.1</v>
      </c>
      <c r="N231" s="6" t="s">
        <v>26</v>
      </c>
      <c r="O231" s="8" t="n">
        <f aca="false">VLOOKUP(F231,DIM_SERVICO!$A$2:$D$151,4,FALSE())</f>
        <v>748.05</v>
      </c>
      <c r="P231" s="8" t="n">
        <f aca="false">VLOOKUP(E231,DIM_PECA!$A$2:$F$501,6,FALSE())</f>
        <v>1938.59</v>
      </c>
      <c r="Q231" s="8" t="n">
        <f aca="false">VLOOKUP(E231,DIM_PECA!$A$2:$F$501,5,FALSE())</f>
        <v>1169.09</v>
      </c>
      <c r="R231" s="8" t="n">
        <f aca="false">H231*P231</f>
        <v>3877.18</v>
      </c>
      <c r="S231" s="8" t="n">
        <f aca="false">O231*M231</f>
        <v>3815.055</v>
      </c>
      <c r="T231" s="8" t="n">
        <f aca="false">R231+S231</f>
        <v>7692.235</v>
      </c>
      <c r="U231" s="8" t="n">
        <f aca="false">T231-K231</f>
        <v>3067.005</v>
      </c>
      <c r="V231" s="8" t="n">
        <f aca="false">R231+S231-U231</f>
        <v>4625.23</v>
      </c>
      <c r="W231" s="9" t="str">
        <f aca="false">IF(ROUND(V231-K231,2)=0,"OK","ERRO")</f>
        <v>OK</v>
      </c>
      <c r="X231" s="9" t="str">
        <f aca="false">VLOOKUP(F231,DIM_SERVICO!$A$2:$D$151,3,FALSE())</f>
        <v>Freios</v>
      </c>
    </row>
    <row r="232" customFormat="false" ht="15" hidden="false" customHeight="false" outlineLevel="0" collapsed="false">
      <c r="A232" s="2" t="n">
        <v>231</v>
      </c>
      <c r="B232" s="2" t="n">
        <v>77</v>
      </c>
      <c r="C232" s="2" t="n">
        <v>1094</v>
      </c>
      <c r="D232" s="2" t="n">
        <v>592</v>
      </c>
      <c r="E232" s="2" t="n">
        <v>304</v>
      </c>
      <c r="F232" s="2" t="n">
        <v>46</v>
      </c>
      <c r="G232" s="2" t="n">
        <v>829</v>
      </c>
      <c r="H232" s="2" t="n">
        <v>4</v>
      </c>
      <c r="I232" s="3" t="n">
        <v>1656.56</v>
      </c>
      <c r="J232" s="3" t="n">
        <v>1282.78</v>
      </c>
      <c r="K232" s="3" t="n">
        <v>4461.3</v>
      </c>
      <c r="L232" s="3" t="n">
        <v>2234.31</v>
      </c>
      <c r="M232" s="2" t="n">
        <v>0.7</v>
      </c>
      <c r="N232" s="2" t="s">
        <v>27</v>
      </c>
      <c r="O232" s="4" t="n">
        <f aca="false">VLOOKUP(F232,DIM_SERVICO!$A$2:$D$151,4,FALSE())</f>
        <v>1282.78</v>
      </c>
      <c r="P232" s="4" t="n">
        <f aca="false">VLOOKUP(E232,DIM_PECA!$A$2:$F$501,6,FALSE())</f>
        <v>794.63</v>
      </c>
      <c r="Q232" s="4" t="n">
        <f aca="false">VLOOKUP(E232,DIM_PECA!$A$2:$F$501,5,FALSE())</f>
        <v>414.14</v>
      </c>
      <c r="R232" s="4" t="n">
        <f aca="false">H232*P232</f>
        <v>3178.52</v>
      </c>
      <c r="S232" s="4" t="n">
        <f aca="false">O232*M232</f>
        <v>897.946</v>
      </c>
      <c r="T232" s="4" t="n">
        <f aca="false">R232+S232</f>
        <v>4076.466</v>
      </c>
      <c r="U232" s="4" t="n">
        <f aca="false">T232-K232</f>
        <v>-384.834</v>
      </c>
      <c r="V232" s="4" t="n">
        <f aca="false">R232+S232-U232</f>
        <v>4461.3</v>
      </c>
      <c r="W232" s="5" t="str">
        <f aca="false">IF(ROUND(V232-K232,2)=0,"OK","ERRO")</f>
        <v>OK</v>
      </c>
      <c r="X232" s="5" t="str">
        <f aca="false">VLOOKUP(F232,DIM_SERVICO!$A$2:$D$151,3,FALSE())</f>
        <v>Revisão</v>
      </c>
    </row>
    <row r="233" customFormat="false" ht="15" hidden="false" customHeight="false" outlineLevel="0" collapsed="false">
      <c r="A233" s="6" t="n">
        <v>232</v>
      </c>
      <c r="B233" s="6" t="n">
        <v>1410</v>
      </c>
      <c r="C233" s="6" t="n">
        <v>1118</v>
      </c>
      <c r="D233" s="6" t="n">
        <v>1159</v>
      </c>
      <c r="E233" s="6" t="n">
        <v>268</v>
      </c>
      <c r="F233" s="6" t="n">
        <v>69</v>
      </c>
      <c r="G233" s="6" t="n">
        <v>458</v>
      </c>
      <c r="H233" s="6" t="n">
        <v>2</v>
      </c>
      <c r="I233" s="7" t="n">
        <v>1730.68</v>
      </c>
      <c r="J233" s="7" t="n">
        <v>905.47</v>
      </c>
      <c r="K233" s="7" t="n">
        <v>3633.43</v>
      </c>
      <c r="L233" s="7" t="n">
        <v>1563.28</v>
      </c>
      <c r="M233" s="6" t="n">
        <v>8.2</v>
      </c>
      <c r="N233" s="6" t="s">
        <v>25</v>
      </c>
      <c r="O233" s="8" t="n">
        <f aca="false">VLOOKUP(F233,DIM_SERVICO!$A$2:$D$151,4,FALSE())</f>
        <v>905.47</v>
      </c>
      <c r="P233" s="8" t="n">
        <f aca="false">VLOOKUP(E233,DIM_PECA!$A$2:$F$501,6,FALSE())</f>
        <v>1363.98</v>
      </c>
      <c r="Q233" s="8" t="n">
        <f aca="false">VLOOKUP(E233,DIM_PECA!$A$2:$F$501,5,FALSE())</f>
        <v>865.34</v>
      </c>
      <c r="R233" s="8" t="n">
        <f aca="false">H233*P233</f>
        <v>2727.96</v>
      </c>
      <c r="S233" s="8" t="n">
        <f aca="false">O233*M233</f>
        <v>7424.854</v>
      </c>
      <c r="T233" s="8" t="n">
        <f aca="false">R233+S233</f>
        <v>10152.814</v>
      </c>
      <c r="U233" s="8" t="n">
        <f aca="false">T233-K233</f>
        <v>6519.384</v>
      </c>
      <c r="V233" s="8" t="n">
        <f aca="false">R233+S233-U233</f>
        <v>3633.43</v>
      </c>
      <c r="W233" s="9" t="str">
        <f aca="false">IF(ROUND(V233-K233,2)=0,"OK","ERRO")</f>
        <v>OK</v>
      </c>
      <c r="X233" s="9" t="str">
        <f aca="false">VLOOKUP(F233,DIM_SERVICO!$A$2:$D$151,3,FALSE())</f>
        <v>Motor</v>
      </c>
    </row>
    <row r="234" customFormat="false" ht="15" hidden="false" customHeight="false" outlineLevel="0" collapsed="false">
      <c r="A234" s="2" t="n">
        <v>233</v>
      </c>
      <c r="B234" s="2" t="n">
        <v>803</v>
      </c>
      <c r="C234" s="2" t="n">
        <v>971</v>
      </c>
      <c r="D234" s="2" t="n">
        <v>910</v>
      </c>
      <c r="E234" s="2" t="n">
        <v>377</v>
      </c>
      <c r="F234" s="2" t="n">
        <v>27</v>
      </c>
      <c r="G234" s="2" t="n">
        <v>829</v>
      </c>
      <c r="H234" s="2" t="n">
        <v>3</v>
      </c>
      <c r="I234" s="3" t="n">
        <v>1667.46</v>
      </c>
      <c r="J234" s="3" t="n">
        <v>662.68</v>
      </c>
      <c r="K234" s="3" t="n">
        <v>4228.32</v>
      </c>
      <c r="L234" s="3" t="n">
        <v>2327.63</v>
      </c>
      <c r="M234" s="2" t="n">
        <v>11.6</v>
      </c>
      <c r="N234" s="2" t="s">
        <v>25</v>
      </c>
      <c r="O234" s="4" t="n">
        <f aca="false">VLOOKUP(F234,DIM_SERVICO!$A$2:$D$151,4,FALSE())</f>
        <v>662.68</v>
      </c>
      <c r="P234" s="4" t="n">
        <f aca="false">VLOOKUP(E234,DIM_PECA!$A$2:$F$501,6,FALSE())</f>
        <v>1217.31</v>
      </c>
      <c r="Q234" s="4" t="n">
        <f aca="false">VLOOKUP(E234,DIM_PECA!$A$2:$F$501,5,FALSE())</f>
        <v>555.82</v>
      </c>
      <c r="R234" s="4" t="n">
        <f aca="false">H234*P234</f>
        <v>3651.93</v>
      </c>
      <c r="S234" s="4" t="n">
        <f aca="false">O234*M234</f>
        <v>7687.088</v>
      </c>
      <c r="T234" s="4" t="n">
        <f aca="false">R234+S234</f>
        <v>11339.018</v>
      </c>
      <c r="U234" s="4" t="n">
        <f aca="false">T234-K234</f>
        <v>7110.698</v>
      </c>
      <c r="V234" s="4" t="n">
        <f aca="false">R234+S234-U234</f>
        <v>4228.32</v>
      </c>
      <c r="W234" s="5" t="str">
        <f aca="false">IF(ROUND(V234-K234,2)=0,"OK","ERRO")</f>
        <v>OK</v>
      </c>
      <c r="X234" s="5" t="str">
        <f aca="false">VLOOKUP(F234,DIM_SERVICO!$A$2:$D$151,3,FALSE())</f>
        <v>Revisão</v>
      </c>
    </row>
    <row r="235" customFormat="false" ht="15" hidden="false" customHeight="false" outlineLevel="0" collapsed="false">
      <c r="A235" s="6" t="n">
        <v>234</v>
      </c>
      <c r="B235" s="6" t="n">
        <v>1205</v>
      </c>
      <c r="C235" s="6" t="n">
        <v>1389</v>
      </c>
      <c r="D235" s="6" t="n">
        <v>474</v>
      </c>
      <c r="E235" s="6" t="n">
        <v>460</v>
      </c>
      <c r="F235" s="6" t="n">
        <v>18</v>
      </c>
      <c r="G235" s="6" t="n">
        <v>1041</v>
      </c>
      <c r="H235" s="6" t="n">
        <v>1</v>
      </c>
      <c r="I235" s="7" t="n">
        <v>885.4</v>
      </c>
      <c r="J235" s="7" t="n">
        <v>1667.15</v>
      </c>
      <c r="K235" s="7" t="n">
        <v>2937.48</v>
      </c>
      <c r="L235" s="7" t="n">
        <v>1151.86</v>
      </c>
      <c r="M235" s="6" t="n">
        <v>3.7</v>
      </c>
      <c r="N235" s="6" t="s">
        <v>24</v>
      </c>
      <c r="O235" s="8" t="n">
        <f aca="false">VLOOKUP(F235,DIM_SERVICO!$A$2:$D$151,4,FALSE())</f>
        <v>1667.15</v>
      </c>
      <c r="P235" s="8" t="n">
        <f aca="false">VLOOKUP(E235,DIM_PECA!$A$2:$F$501,6,FALSE())</f>
        <v>1596.72</v>
      </c>
      <c r="Q235" s="8" t="n">
        <f aca="false">VLOOKUP(E235,DIM_PECA!$A$2:$F$501,5,FALSE())</f>
        <v>885.4</v>
      </c>
      <c r="R235" s="8" t="n">
        <f aca="false">H235*P235</f>
        <v>1596.72</v>
      </c>
      <c r="S235" s="8" t="n">
        <f aca="false">O235*M235</f>
        <v>6168.455</v>
      </c>
      <c r="T235" s="8" t="n">
        <f aca="false">R235+S235</f>
        <v>7765.175</v>
      </c>
      <c r="U235" s="8" t="n">
        <f aca="false">T235-K235</f>
        <v>4827.695</v>
      </c>
      <c r="V235" s="8" t="n">
        <f aca="false">R235+S235-U235</f>
        <v>2937.48</v>
      </c>
      <c r="W235" s="9" t="str">
        <f aca="false">IF(ROUND(V235-K235,2)=0,"OK","ERRO")</f>
        <v>OK</v>
      </c>
      <c r="X235" s="9" t="str">
        <f aca="false">VLOOKUP(F235,DIM_SERVICO!$A$2:$D$151,3,FALSE())</f>
        <v>Elétrica</v>
      </c>
    </row>
    <row r="236" customFormat="false" ht="15" hidden="false" customHeight="false" outlineLevel="0" collapsed="false">
      <c r="A236" s="2" t="n">
        <v>235</v>
      </c>
      <c r="B236" s="2" t="n">
        <v>1347</v>
      </c>
      <c r="C236" s="2" t="n">
        <v>824</v>
      </c>
      <c r="D236" s="2" t="n">
        <v>344</v>
      </c>
      <c r="E236" s="2" t="n">
        <v>285</v>
      </c>
      <c r="F236" s="2" t="n">
        <v>135</v>
      </c>
      <c r="G236" s="2" t="n">
        <v>1602</v>
      </c>
      <c r="H236" s="2" t="n">
        <v>2</v>
      </c>
      <c r="I236" s="3" t="n">
        <v>2149.08</v>
      </c>
      <c r="J236" s="3" t="n">
        <v>2099.01</v>
      </c>
      <c r="K236" s="3" t="n">
        <v>5193.28</v>
      </c>
      <c r="L236" s="3" t="n">
        <v>2282.01</v>
      </c>
      <c r="M236" s="2" t="n">
        <v>3.5</v>
      </c>
      <c r="N236" s="2" t="s">
        <v>24</v>
      </c>
      <c r="O236" s="4" t="n">
        <f aca="false">VLOOKUP(F236,DIM_SERVICO!$A$2:$D$151,4,FALSE())</f>
        <v>2099.01</v>
      </c>
      <c r="P236" s="4" t="n">
        <f aca="false">VLOOKUP(E236,DIM_PECA!$A$2:$F$501,6,FALSE())</f>
        <v>1600.13</v>
      </c>
      <c r="Q236" s="4" t="n">
        <f aca="false">VLOOKUP(E236,DIM_PECA!$A$2:$F$501,5,FALSE())</f>
        <v>1074.54</v>
      </c>
      <c r="R236" s="4" t="n">
        <f aca="false">H236*P236</f>
        <v>3200.26</v>
      </c>
      <c r="S236" s="4" t="n">
        <f aca="false">O236*M236</f>
        <v>7346.535</v>
      </c>
      <c r="T236" s="4" t="n">
        <f aca="false">R236+S236</f>
        <v>10546.795</v>
      </c>
      <c r="U236" s="4" t="n">
        <f aca="false">T236-K236</f>
        <v>5353.515</v>
      </c>
      <c r="V236" s="4" t="n">
        <f aca="false">R236+S236-U236</f>
        <v>5193.28</v>
      </c>
      <c r="W236" s="5" t="str">
        <f aca="false">IF(ROUND(V236-K236,2)=0,"OK","ERRO")</f>
        <v>OK</v>
      </c>
      <c r="X236" s="5" t="str">
        <f aca="false">VLOOKUP(F236,DIM_SERVICO!$A$2:$D$151,3,FALSE())</f>
        <v>Motor</v>
      </c>
    </row>
    <row r="237" customFormat="false" ht="15" hidden="false" customHeight="false" outlineLevel="0" collapsed="false">
      <c r="A237" s="6" t="n">
        <v>236</v>
      </c>
      <c r="B237" s="6" t="n">
        <v>1178</v>
      </c>
      <c r="C237" s="6" t="n">
        <v>774</v>
      </c>
      <c r="D237" s="6" t="n">
        <v>62</v>
      </c>
      <c r="E237" s="6" t="n">
        <v>475</v>
      </c>
      <c r="F237" s="6" t="n">
        <v>140</v>
      </c>
      <c r="G237" s="6" t="n">
        <v>937</v>
      </c>
      <c r="H237" s="6" t="n">
        <v>2</v>
      </c>
      <c r="I237" s="7" t="n">
        <v>882.6</v>
      </c>
      <c r="J237" s="7" t="n">
        <v>1109.33</v>
      </c>
      <c r="K237" s="7" t="n">
        <v>2732.98</v>
      </c>
      <c r="L237" s="7" t="n">
        <v>1282.77</v>
      </c>
      <c r="M237" s="6" t="n">
        <v>2.8</v>
      </c>
      <c r="N237" s="6" t="s">
        <v>26</v>
      </c>
      <c r="O237" s="8" t="n">
        <f aca="false">VLOOKUP(F237,DIM_SERVICO!$A$2:$D$151,4,FALSE())</f>
        <v>1109.33</v>
      </c>
      <c r="P237" s="8" t="n">
        <f aca="false">VLOOKUP(E237,DIM_PECA!$A$2:$F$501,6,FALSE())</f>
        <v>963.66</v>
      </c>
      <c r="Q237" s="8" t="n">
        <f aca="false">VLOOKUP(E237,DIM_PECA!$A$2:$F$501,5,FALSE())</f>
        <v>441.3</v>
      </c>
      <c r="R237" s="8" t="n">
        <f aca="false">H237*P237</f>
        <v>1927.32</v>
      </c>
      <c r="S237" s="8" t="n">
        <f aca="false">O237*M237</f>
        <v>3106.124</v>
      </c>
      <c r="T237" s="8" t="n">
        <f aca="false">R237+S237</f>
        <v>5033.444</v>
      </c>
      <c r="U237" s="8" t="n">
        <f aca="false">T237-K237</f>
        <v>2300.464</v>
      </c>
      <c r="V237" s="8" t="n">
        <f aca="false">R237+S237-U237</f>
        <v>2732.98</v>
      </c>
      <c r="W237" s="9" t="str">
        <f aca="false">IF(ROUND(V237-K237,2)=0,"OK","ERRO")</f>
        <v>OK</v>
      </c>
      <c r="X237" s="9" t="str">
        <f aca="false">VLOOKUP(F237,DIM_SERVICO!$A$2:$D$151,3,FALSE())</f>
        <v>Revisão</v>
      </c>
    </row>
    <row r="238" customFormat="false" ht="15" hidden="false" customHeight="false" outlineLevel="0" collapsed="false">
      <c r="A238" s="2" t="n">
        <v>237</v>
      </c>
      <c r="B238" s="2" t="n">
        <v>1058</v>
      </c>
      <c r="C238" s="2" t="n">
        <v>537</v>
      </c>
      <c r="D238" s="2" t="n">
        <v>1006</v>
      </c>
      <c r="E238" s="2" t="n">
        <v>100</v>
      </c>
      <c r="F238" s="2" t="n">
        <v>24</v>
      </c>
      <c r="G238" s="2" t="n">
        <v>1058</v>
      </c>
      <c r="H238" s="2" t="n">
        <v>1</v>
      </c>
      <c r="I238" s="3" t="n">
        <v>675.55</v>
      </c>
      <c r="J238" s="3" t="n">
        <v>1124.34</v>
      </c>
      <c r="K238" s="3" t="n">
        <v>2476.16</v>
      </c>
      <c r="L238" s="3" t="n">
        <v>1305.58</v>
      </c>
      <c r="M238" s="2" t="n">
        <v>9.3</v>
      </c>
      <c r="N238" s="2" t="s">
        <v>24</v>
      </c>
      <c r="O238" s="4" t="n">
        <f aca="false">VLOOKUP(F238,DIM_SERVICO!$A$2:$D$151,4,FALSE())</f>
        <v>1124.34</v>
      </c>
      <c r="P238" s="4" t="n">
        <f aca="false">VLOOKUP(E238,DIM_PECA!$A$2:$F$501,6,FALSE())</f>
        <v>1351.82</v>
      </c>
      <c r="Q238" s="4" t="n">
        <f aca="false">VLOOKUP(E238,DIM_PECA!$A$2:$F$501,5,FALSE())</f>
        <v>675.55</v>
      </c>
      <c r="R238" s="4" t="n">
        <f aca="false">H238*P238</f>
        <v>1351.82</v>
      </c>
      <c r="S238" s="4" t="n">
        <f aca="false">O238*M238</f>
        <v>10456.362</v>
      </c>
      <c r="T238" s="4" t="n">
        <f aca="false">R238+S238</f>
        <v>11808.182</v>
      </c>
      <c r="U238" s="4" t="n">
        <f aca="false">T238-K238</f>
        <v>9332.022</v>
      </c>
      <c r="V238" s="4" t="n">
        <f aca="false">R238+S238-U238</f>
        <v>2476.16</v>
      </c>
      <c r="W238" s="5" t="str">
        <f aca="false">IF(ROUND(V238-K238,2)=0,"OK","ERRO")</f>
        <v>OK</v>
      </c>
      <c r="X238" s="5" t="str">
        <f aca="false">VLOOKUP(F238,DIM_SERVICO!$A$2:$D$151,3,FALSE())</f>
        <v>Elétrica</v>
      </c>
    </row>
    <row r="239" customFormat="false" ht="15" hidden="false" customHeight="false" outlineLevel="0" collapsed="false">
      <c r="A239" s="6" t="n">
        <v>238</v>
      </c>
      <c r="B239" s="6" t="n">
        <v>1255</v>
      </c>
      <c r="C239" s="6" t="n">
        <v>1208</v>
      </c>
      <c r="D239" s="6" t="n">
        <v>375</v>
      </c>
      <c r="E239" s="6" t="n">
        <v>267</v>
      </c>
      <c r="F239" s="6" t="n">
        <v>2</v>
      </c>
      <c r="G239" s="6" t="n">
        <v>626</v>
      </c>
      <c r="H239" s="6" t="n">
        <v>3</v>
      </c>
      <c r="I239" s="7" t="n">
        <v>2704.74</v>
      </c>
      <c r="J239" s="7" t="n">
        <v>1072.4</v>
      </c>
      <c r="K239" s="7" t="n">
        <v>5470.1</v>
      </c>
      <c r="L239" s="7" t="n">
        <v>2250.62</v>
      </c>
      <c r="M239" s="6" t="n">
        <v>9.4</v>
      </c>
      <c r="N239" s="6" t="s">
        <v>24</v>
      </c>
      <c r="O239" s="8" t="n">
        <f aca="false">VLOOKUP(F239,DIM_SERVICO!$A$2:$D$151,4,FALSE())</f>
        <v>1072.4</v>
      </c>
      <c r="P239" s="8" t="n">
        <f aca="false">VLOOKUP(E239,DIM_PECA!$A$2:$F$501,6,FALSE())</f>
        <v>1465.9</v>
      </c>
      <c r="Q239" s="8" t="n">
        <f aca="false">VLOOKUP(E239,DIM_PECA!$A$2:$F$501,5,FALSE())</f>
        <v>901.58</v>
      </c>
      <c r="R239" s="8" t="n">
        <f aca="false">H239*P239</f>
        <v>4397.7</v>
      </c>
      <c r="S239" s="8" t="n">
        <f aca="false">O239*M239</f>
        <v>10080.56</v>
      </c>
      <c r="T239" s="8" t="n">
        <f aca="false">R239+S239</f>
        <v>14478.26</v>
      </c>
      <c r="U239" s="8" t="n">
        <f aca="false">T239-K239</f>
        <v>9008.16</v>
      </c>
      <c r="V239" s="8" t="n">
        <f aca="false">R239+S239-U239</f>
        <v>5470.1</v>
      </c>
      <c r="W239" s="9" t="str">
        <f aca="false">IF(ROUND(V239-K239,2)=0,"OK","ERRO")</f>
        <v>OK</v>
      </c>
      <c r="X239" s="9" t="str">
        <f aca="false">VLOOKUP(F239,DIM_SERVICO!$A$2:$D$151,3,FALSE())</f>
        <v>Suspensão</v>
      </c>
    </row>
    <row r="240" customFormat="false" ht="15" hidden="false" customHeight="false" outlineLevel="0" collapsed="false">
      <c r="A240" s="2" t="n">
        <v>239</v>
      </c>
      <c r="B240" s="2" t="n">
        <v>643</v>
      </c>
      <c r="C240" s="2" t="n">
        <v>1316</v>
      </c>
      <c r="D240" s="2" t="n">
        <v>943</v>
      </c>
      <c r="E240" s="2" t="n">
        <v>404</v>
      </c>
      <c r="F240" s="2" t="n">
        <v>59</v>
      </c>
      <c r="G240" s="2" t="n">
        <v>568</v>
      </c>
      <c r="H240" s="2" t="n">
        <v>1</v>
      </c>
      <c r="I240" s="3" t="n">
        <v>302.27</v>
      </c>
      <c r="J240" s="3" t="n">
        <v>340.97</v>
      </c>
      <c r="K240" s="3" t="n">
        <v>705.67</v>
      </c>
      <c r="L240" s="3" t="n">
        <v>278.54</v>
      </c>
      <c r="M240" s="2" t="n">
        <v>6.1</v>
      </c>
      <c r="N240" s="2" t="s">
        <v>24</v>
      </c>
      <c r="O240" s="4" t="n">
        <f aca="false">VLOOKUP(F240,DIM_SERVICO!$A$2:$D$151,4,FALSE())</f>
        <v>340.97</v>
      </c>
      <c r="P240" s="4" t="n">
        <f aca="false">VLOOKUP(E240,DIM_PECA!$A$2:$F$501,6,FALSE())</f>
        <v>426.06</v>
      </c>
      <c r="Q240" s="4" t="n">
        <f aca="false">VLOOKUP(E240,DIM_PECA!$A$2:$F$501,5,FALSE())</f>
        <v>302.27</v>
      </c>
      <c r="R240" s="4" t="n">
        <f aca="false">H240*P240</f>
        <v>426.06</v>
      </c>
      <c r="S240" s="4" t="n">
        <f aca="false">O240*M240</f>
        <v>2079.917</v>
      </c>
      <c r="T240" s="4" t="n">
        <f aca="false">R240+S240</f>
        <v>2505.977</v>
      </c>
      <c r="U240" s="4" t="n">
        <f aca="false">T240-K240</f>
        <v>1800.307</v>
      </c>
      <c r="V240" s="4" t="n">
        <f aca="false">R240+S240-U240</f>
        <v>705.67</v>
      </c>
      <c r="W240" s="5" t="str">
        <f aca="false">IF(ROUND(V240-K240,2)=0,"OK","ERRO")</f>
        <v>OK</v>
      </c>
      <c r="X240" s="5" t="str">
        <f aca="false">VLOOKUP(F240,DIM_SERVICO!$A$2:$D$151,3,FALSE())</f>
        <v>Revisão</v>
      </c>
    </row>
    <row r="241" customFormat="false" ht="15" hidden="false" customHeight="false" outlineLevel="0" collapsed="false">
      <c r="A241" s="6" t="n">
        <v>240</v>
      </c>
      <c r="B241" s="6" t="n">
        <v>379</v>
      </c>
      <c r="C241" s="6" t="n">
        <v>523</v>
      </c>
      <c r="D241" s="6" t="n">
        <v>1045</v>
      </c>
      <c r="E241" s="6" t="n">
        <v>95</v>
      </c>
      <c r="F241" s="6" t="n">
        <v>123</v>
      </c>
      <c r="G241" s="6" t="n">
        <v>405</v>
      </c>
      <c r="H241" s="6" t="n">
        <v>4</v>
      </c>
      <c r="I241" s="7" t="n">
        <v>2075.88</v>
      </c>
      <c r="J241" s="7" t="n">
        <v>2023.84</v>
      </c>
      <c r="K241" s="7" t="n">
        <v>6068.14</v>
      </c>
      <c r="L241" s="7" t="n">
        <v>2956.1</v>
      </c>
      <c r="M241" s="6" t="n">
        <v>10.6</v>
      </c>
      <c r="N241" s="6" t="s">
        <v>24</v>
      </c>
      <c r="O241" s="8" t="n">
        <f aca="false">VLOOKUP(F241,DIM_SERVICO!$A$2:$D$151,4,FALSE())</f>
        <v>2023.84</v>
      </c>
      <c r="P241" s="8" t="n">
        <f aca="false">VLOOKUP(E241,DIM_PECA!$A$2:$F$501,6,FALSE())</f>
        <v>1090.92</v>
      </c>
      <c r="Q241" s="8" t="n">
        <f aca="false">VLOOKUP(E241,DIM_PECA!$A$2:$F$501,5,FALSE())</f>
        <v>518.97</v>
      </c>
      <c r="R241" s="8" t="n">
        <f aca="false">H241*P241</f>
        <v>4363.68</v>
      </c>
      <c r="S241" s="8" t="n">
        <f aca="false">O241*M241</f>
        <v>21452.704</v>
      </c>
      <c r="T241" s="8" t="n">
        <f aca="false">R241+S241</f>
        <v>25816.384</v>
      </c>
      <c r="U241" s="8" t="n">
        <f aca="false">T241-K241</f>
        <v>19748.244</v>
      </c>
      <c r="V241" s="8" t="n">
        <f aca="false">R241+S241-U241</f>
        <v>6068.14</v>
      </c>
      <c r="W241" s="9" t="str">
        <f aca="false">IF(ROUND(V241-K241,2)=0,"OK","ERRO")</f>
        <v>OK</v>
      </c>
      <c r="X241" s="9" t="str">
        <f aca="false">VLOOKUP(F241,DIM_SERVICO!$A$2:$D$151,3,FALSE())</f>
        <v>Diagnóstico</v>
      </c>
    </row>
    <row r="242" customFormat="false" ht="15" hidden="false" customHeight="false" outlineLevel="0" collapsed="false">
      <c r="A242" s="2" t="n">
        <v>241</v>
      </c>
      <c r="B242" s="2" t="n">
        <v>816</v>
      </c>
      <c r="C242" s="2" t="n">
        <v>1492</v>
      </c>
      <c r="D242" s="2" t="n">
        <v>860</v>
      </c>
      <c r="E242" s="2" t="n">
        <v>333</v>
      </c>
      <c r="F242" s="2" t="n">
        <v>34</v>
      </c>
      <c r="G242" s="2" t="n">
        <v>1819</v>
      </c>
      <c r="H242" s="2" t="n">
        <v>2</v>
      </c>
      <c r="I242" s="3" t="n">
        <v>1776.6</v>
      </c>
      <c r="J242" s="3" t="n">
        <v>1715.98</v>
      </c>
      <c r="K242" s="3" t="n">
        <v>3810.77</v>
      </c>
      <c r="L242" s="3" t="n">
        <v>1266.31</v>
      </c>
      <c r="M242" s="2" t="n">
        <v>9.5</v>
      </c>
      <c r="N242" s="2" t="s">
        <v>27</v>
      </c>
      <c r="O242" s="4" t="n">
        <f aca="false">VLOOKUP(F242,DIM_SERVICO!$A$2:$D$151,4,FALSE())</f>
        <v>1715.98</v>
      </c>
      <c r="P242" s="4" t="n">
        <f aca="false">VLOOKUP(E242,DIM_PECA!$A$2:$F$501,6,FALSE())</f>
        <v>1213.08</v>
      </c>
      <c r="Q242" s="4" t="n">
        <f aca="false">VLOOKUP(E242,DIM_PECA!$A$2:$F$501,5,FALSE())</f>
        <v>888.3</v>
      </c>
      <c r="R242" s="4" t="n">
        <f aca="false">H242*P242</f>
        <v>2426.16</v>
      </c>
      <c r="S242" s="4" t="n">
        <f aca="false">O242*M242</f>
        <v>16301.81</v>
      </c>
      <c r="T242" s="4" t="n">
        <f aca="false">R242+S242</f>
        <v>18727.97</v>
      </c>
      <c r="U242" s="4" t="n">
        <f aca="false">T242-K242</f>
        <v>14917.2</v>
      </c>
      <c r="V242" s="4" t="n">
        <f aca="false">R242+S242-U242</f>
        <v>3810.77</v>
      </c>
      <c r="W242" s="5" t="str">
        <f aca="false">IF(ROUND(V242-K242,2)=0,"OK","ERRO")</f>
        <v>OK</v>
      </c>
      <c r="X242" s="5" t="str">
        <f aca="false">VLOOKUP(F242,DIM_SERVICO!$A$2:$D$151,3,FALSE())</f>
        <v>Revisão</v>
      </c>
    </row>
    <row r="243" customFormat="false" ht="15" hidden="false" customHeight="false" outlineLevel="0" collapsed="false">
      <c r="A243" s="6" t="n">
        <v>242</v>
      </c>
      <c r="B243" s="6" t="n">
        <v>936</v>
      </c>
      <c r="C243" s="6" t="n">
        <v>212</v>
      </c>
      <c r="D243" s="6" t="n">
        <v>999</v>
      </c>
      <c r="E243" s="6" t="n">
        <v>39</v>
      </c>
      <c r="F243" s="6" t="n">
        <v>94</v>
      </c>
      <c r="G243" s="6" t="n">
        <v>708</v>
      </c>
      <c r="H243" s="6" t="n">
        <v>2</v>
      </c>
      <c r="I243" s="7" t="n">
        <v>2270.2</v>
      </c>
      <c r="J243" s="7" t="n">
        <v>308.51</v>
      </c>
      <c r="K243" s="7" t="n">
        <v>3369.84</v>
      </c>
      <c r="L243" s="7" t="n">
        <v>955.9</v>
      </c>
      <c r="M243" s="6" t="n">
        <v>8.4</v>
      </c>
      <c r="N243" s="6" t="s">
        <v>24</v>
      </c>
      <c r="O243" s="8" t="n">
        <f aca="false">VLOOKUP(F243,DIM_SERVICO!$A$2:$D$151,4,FALSE())</f>
        <v>308.51</v>
      </c>
      <c r="P243" s="8" t="n">
        <f aca="false">VLOOKUP(E243,DIM_PECA!$A$2:$F$501,6,FALSE())</f>
        <v>1677.18</v>
      </c>
      <c r="Q243" s="8" t="n">
        <f aca="false">VLOOKUP(E243,DIM_PECA!$A$2:$F$501,5,FALSE())</f>
        <v>1135.1</v>
      </c>
      <c r="R243" s="8" t="n">
        <f aca="false">H243*P243</f>
        <v>3354.36</v>
      </c>
      <c r="S243" s="8" t="n">
        <f aca="false">O243*M243</f>
        <v>2591.484</v>
      </c>
      <c r="T243" s="8" t="n">
        <f aca="false">R243+S243</f>
        <v>5945.844</v>
      </c>
      <c r="U243" s="8" t="n">
        <f aca="false">T243-K243</f>
        <v>2576.004</v>
      </c>
      <c r="V243" s="8" t="n">
        <f aca="false">R243+S243-U243</f>
        <v>3369.84</v>
      </c>
      <c r="W243" s="9" t="str">
        <f aca="false">IF(ROUND(V243-K243,2)=0,"OK","ERRO")</f>
        <v>OK</v>
      </c>
      <c r="X243" s="9" t="str">
        <f aca="false">VLOOKUP(F243,DIM_SERVICO!$A$2:$D$151,3,FALSE())</f>
        <v>Funilaria</v>
      </c>
    </row>
    <row r="244" customFormat="false" ht="15" hidden="false" customHeight="false" outlineLevel="0" collapsed="false">
      <c r="A244" s="2" t="n">
        <v>243</v>
      </c>
      <c r="B244" s="2" t="n">
        <v>45</v>
      </c>
      <c r="C244" s="2" t="n">
        <v>1096</v>
      </c>
      <c r="D244" s="2" t="n">
        <v>450</v>
      </c>
      <c r="E244" s="2" t="n">
        <v>18</v>
      </c>
      <c r="F244" s="2" t="n">
        <v>45</v>
      </c>
      <c r="G244" s="2" t="n">
        <v>181</v>
      </c>
      <c r="H244" s="2" t="n">
        <v>2</v>
      </c>
      <c r="I244" s="3" t="n">
        <v>1704.68</v>
      </c>
      <c r="J244" s="3" t="n">
        <v>510.5</v>
      </c>
      <c r="K244" s="3" t="n">
        <v>2758.94</v>
      </c>
      <c r="L244" s="3" t="n">
        <v>825.89</v>
      </c>
      <c r="M244" s="2" t="n">
        <v>1.1</v>
      </c>
      <c r="N244" s="2" t="s">
        <v>24</v>
      </c>
      <c r="O244" s="4" t="n">
        <f aca="false">VLOOKUP(F244,DIM_SERVICO!$A$2:$D$151,4,FALSE())</f>
        <v>510.5</v>
      </c>
      <c r="P244" s="4" t="n">
        <f aca="false">VLOOKUP(E244,DIM_PECA!$A$2:$F$501,6,FALSE())</f>
        <v>1152.37</v>
      </c>
      <c r="Q244" s="4" t="n">
        <f aca="false">VLOOKUP(E244,DIM_PECA!$A$2:$F$501,5,FALSE())</f>
        <v>852.34</v>
      </c>
      <c r="R244" s="4" t="n">
        <f aca="false">H244*P244</f>
        <v>2304.74</v>
      </c>
      <c r="S244" s="4" t="n">
        <f aca="false">O244*M244</f>
        <v>561.55</v>
      </c>
      <c r="T244" s="4" t="n">
        <f aca="false">R244+S244</f>
        <v>2866.29</v>
      </c>
      <c r="U244" s="4" t="n">
        <f aca="false">T244-K244</f>
        <v>107.35</v>
      </c>
      <c r="V244" s="4" t="n">
        <f aca="false">R244+S244-U244</f>
        <v>2758.94</v>
      </c>
      <c r="W244" s="5" t="str">
        <f aca="false">IF(ROUND(V244-K244,2)=0,"OK","ERRO")</f>
        <v>OK</v>
      </c>
      <c r="X244" s="5" t="str">
        <f aca="false">VLOOKUP(F244,DIM_SERVICO!$A$2:$D$151,3,FALSE())</f>
        <v>Revisão</v>
      </c>
    </row>
    <row r="245" customFormat="false" ht="15" hidden="false" customHeight="false" outlineLevel="0" collapsed="false">
      <c r="A245" s="6" t="n">
        <v>244</v>
      </c>
      <c r="B245" s="6" t="n">
        <v>566</v>
      </c>
      <c r="C245" s="6" t="n">
        <v>489</v>
      </c>
      <c r="D245" s="6" t="n">
        <v>445</v>
      </c>
      <c r="E245" s="6" t="n">
        <v>258</v>
      </c>
      <c r="F245" s="6" t="n">
        <v>80</v>
      </c>
      <c r="G245" s="6" t="n">
        <v>149</v>
      </c>
      <c r="H245" s="6" t="n">
        <v>4</v>
      </c>
      <c r="I245" s="7" t="n">
        <v>1263.88</v>
      </c>
      <c r="J245" s="7" t="n">
        <v>2134.39</v>
      </c>
      <c r="K245" s="7" t="n">
        <v>3739.38</v>
      </c>
      <c r="L245" s="7" t="n">
        <v>1506.02</v>
      </c>
      <c r="M245" s="6" t="n">
        <v>0.7</v>
      </c>
      <c r="N245" s="6" t="s">
        <v>24</v>
      </c>
      <c r="O245" s="8" t="n">
        <f aca="false">VLOOKUP(F245,DIM_SERVICO!$A$2:$D$151,4,FALSE())</f>
        <v>2134.39</v>
      </c>
      <c r="P245" s="8" t="n">
        <f aca="false">VLOOKUP(E245,DIM_PECA!$A$2:$F$501,6,FALSE())</f>
        <v>505.12</v>
      </c>
      <c r="Q245" s="8" t="n">
        <f aca="false">VLOOKUP(E245,DIM_PECA!$A$2:$F$501,5,FALSE())</f>
        <v>315.97</v>
      </c>
      <c r="R245" s="8" t="n">
        <f aca="false">H245*P245</f>
        <v>2020.48</v>
      </c>
      <c r="S245" s="8" t="n">
        <f aca="false">O245*M245</f>
        <v>1494.073</v>
      </c>
      <c r="T245" s="8" t="n">
        <f aca="false">R245+S245</f>
        <v>3514.553</v>
      </c>
      <c r="U245" s="8" t="n">
        <f aca="false">T245-K245</f>
        <v>-224.827</v>
      </c>
      <c r="V245" s="8" t="n">
        <f aca="false">R245+S245-U245</f>
        <v>3739.38</v>
      </c>
      <c r="W245" s="9" t="str">
        <f aca="false">IF(ROUND(V245-K245,2)=0,"OK","ERRO")</f>
        <v>OK</v>
      </c>
      <c r="X245" s="9" t="str">
        <f aca="false">VLOOKUP(F245,DIM_SERVICO!$A$2:$D$151,3,FALSE())</f>
        <v>Suspensão</v>
      </c>
    </row>
    <row r="246" customFormat="false" ht="15" hidden="false" customHeight="false" outlineLevel="0" collapsed="false">
      <c r="A246" s="2" t="n">
        <v>245</v>
      </c>
      <c r="B246" s="2" t="n">
        <v>538</v>
      </c>
      <c r="C246" s="2" t="n">
        <v>1047</v>
      </c>
      <c r="D246" s="2" t="n">
        <v>885</v>
      </c>
      <c r="E246" s="2" t="n">
        <v>159</v>
      </c>
      <c r="F246" s="2" t="n">
        <v>4</v>
      </c>
      <c r="G246" s="2" t="n">
        <v>967</v>
      </c>
      <c r="H246" s="2" t="n">
        <v>2</v>
      </c>
      <c r="I246" s="3" t="n">
        <v>2292.58</v>
      </c>
      <c r="J246" s="3" t="n">
        <v>1007.95</v>
      </c>
      <c r="K246" s="3" t="n">
        <v>5610.31</v>
      </c>
      <c r="L246" s="3" t="n">
        <v>2780.82</v>
      </c>
      <c r="M246" s="2" t="n">
        <v>3.4</v>
      </c>
      <c r="N246" s="2" t="s">
        <v>27</v>
      </c>
      <c r="O246" s="4" t="n">
        <f aca="false">VLOOKUP(F246,DIM_SERVICO!$A$2:$D$151,4,FALSE())</f>
        <v>1007.95</v>
      </c>
      <c r="P246" s="4" t="n">
        <f aca="false">VLOOKUP(E246,DIM_PECA!$A$2:$F$501,6,FALSE())</f>
        <v>2358.43</v>
      </c>
      <c r="Q246" s="4" t="n">
        <f aca="false">VLOOKUP(E246,DIM_PECA!$A$2:$F$501,5,FALSE())</f>
        <v>1146.29</v>
      </c>
      <c r="R246" s="4" t="n">
        <f aca="false">H246*P246</f>
        <v>4716.86</v>
      </c>
      <c r="S246" s="4" t="n">
        <f aca="false">O246*M246</f>
        <v>3427.03</v>
      </c>
      <c r="T246" s="4" t="n">
        <f aca="false">R246+S246</f>
        <v>8143.89</v>
      </c>
      <c r="U246" s="4" t="n">
        <f aca="false">T246-K246</f>
        <v>2533.58</v>
      </c>
      <c r="V246" s="4" t="n">
        <f aca="false">R246+S246-U246</f>
        <v>5610.31</v>
      </c>
      <c r="W246" s="5" t="str">
        <f aca="false">IF(ROUND(V246-K246,2)=0,"OK","ERRO")</f>
        <v>OK</v>
      </c>
      <c r="X246" s="5" t="str">
        <f aca="false">VLOOKUP(F246,DIM_SERVICO!$A$2:$D$151,3,FALSE())</f>
        <v>Revisão</v>
      </c>
    </row>
    <row r="247" customFormat="false" ht="15" hidden="false" customHeight="false" outlineLevel="0" collapsed="false">
      <c r="A247" s="6" t="n">
        <v>246</v>
      </c>
      <c r="B247" s="6" t="n">
        <v>908</v>
      </c>
      <c r="C247" s="6" t="n">
        <v>1043</v>
      </c>
      <c r="D247" s="6" t="n">
        <v>128</v>
      </c>
      <c r="E247" s="6" t="n">
        <v>2</v>
      </c>
      <c r="F247" s="6" t="n">
        <v>87</v>
      </c>
      <c r="G247" s="6" t="n">
        <v>1424</v>
      </c>
      <c r="H247" s="6" t="n">
        <v>1</v>
      </c>
      <c r="I247" s="7" t="n">
        <v>809.69</v>
      </c>
      <c r="J247" s="7" t="n">
        <v>1231.26</v>
      </c>
      <c r="K247" s="7" t="n">
        <v>2444.54</v>
      </c>
      <c r="L247" s="7" t="n">
        <v>1059.2</v>
      </c>
      <c r="M247" s="6" t="n">
        <v>6</v>
      </c>
      <c r="N247" s="6" t="s">
        <v>24</v>
      </c>
      <c r="O247" s="8" t="n">
        <f aca="false">VLOOKUP(F247,DIM_SERVICO!$A$2:$D$151,4,FALSE())</f>
        <v>1231.26</v>
      </c>
      <c r="P247" s="8" t="n">
        <f aca="false">VLOOKUP(E247,DIM_PECA!$A$2:$F$501,6,FALSE())</f>
        <v>1213.28</v>
      </c>
      <c r="Q247" s="8" t="n">
        <f aca="false">VLOOKUP(E247,DIM_PECA!$A$2:$F$501,5,FALSE())</f>
        <v>809.69</v>
      </c>
      <c r="R247" s="8" t="n">
        <f aca="false">H247*P247</f>
        <v>1213.28</v>
      </c>
      <c r="S247" s="8" t="n">
        <f aca="false">O247*M247</f>
        <v>7387.56</v>
      </c>
      <c r="T247" s="8" t="n">
        <f aca="false">R247+S247</f>
        <v>8600.84</v>
      </c>
      <c r="U247" s="8" t="n">
        <f aca="false">T247-K247</f>
        <v>6156.3</v>
      </c>
      <c r="V247" s="8" t="n">
        <f aca="false">R247+S247-U247</f>
        <v>2444.54</v>
      </c>
      <c r="W247" s="9" t="str">
        <f aca="false">IF(ROUND(V247-K247,2)=0,"OK","ERRO")</f>
        <v>OK</v>
      </c>
      <c r="X247" s="9" t="str">
        <f aca="false">VLOOKUP(F247,DIM_SERVICO!$A$2:$D$151,3,FALSE())</f>
        <v>Elétrica</v>
      </c>
    </row>
    <row r="248" customFormat="false" ht="15" hidden="false" customHeight="false" outlineLevel="0" collapsed="false">
      <c r="A248" s="2" t="n">
        <v>247</v>
      </c>
      <c r="B248" s="2" t="n">
        <v>615</v>
      </c>
      <c r="C248" s="2" t="n">
        <v>153</v>
      </c>
      <c r="D248" s="2" t="n">
        <v>316</v>
      </c>
      <c r="E248" s="2" t="n">
        <v>272</v>
      </c>
      <c r="F248" s="2" t="n">
        <v>131</v>
      </c>
      <c r="G248" s="2" t="n">
        <v>1371</v>
      </c>
      <c r="H248" s="2" t="n">
        <v>2</v>
      </c>
      <c r="I248" s="3" t="n">
        <v>2155.98</v>
      </c>
      <c r="J248" s="3" t="n">
        <v>419.61</v>
      </c>
      <c r="K248" s="3" t="n">
        <v>3684.95</v>
      </c>
      <c r="L248" s="3" t="n">
        <v>1330.95</v>
      </c>
      <c r="M248" s="2" t="n">
        <v>7.4</v>
      </c>
      <c r="N248" s="2" t="s">
        <v>24</v>
      </c>
      <c r="O248" s="4" t="n">
        <f aca="false">VLOOKUP(F248,DIM_SERVICO!$A$2:$D$151,4,FALSE())</f>
        <v>419.61</v>
      </c>
      <c r="P248" s="4" t="n">
        <f aca="false">VLOOKUP(E248,DIM_PECA!$A$2:$F$501,6,FALSE())</f>
        <v>1670.27</v>
      </c>
      <c r="Q248" s="4" t="n">
        <f aca="false">VLOOKUP(E248,DIM_PECA!$A$2:$F$501,5,FALSE())</f>
        <v>1077.99</v>
      </c>
      <c r="R248" s="4" t="n">
        <f aca="false">H248*P248</f>
        <v>3340.54</v>
      </c>
      <c r="S248" s="4" t="n">
        <f aca="false">O248*M248</f>
        <v>3105.114</v>
      </c>
      <c r="T248" s="4" t="n">
        <f aca="false">R248+S248</f>
        <v>6445.654</v>
      </c>
      <c r="U248" s="4" t="n">
        <f aca="false">T248-K248</f>
        <v>2760.704</v>
      </c>
      <c r="V248" s="4" t="n">
        <f aca="false">R248+S248-U248</f>
        <v>3684.95</v>
      </c>
      <c r="W248" s="5" t="str">
        <f aca="false">IF(ROUND(V248-K248,2)=0,"OK","ERRO")</f>
        <v>OK</v>
      </c>
      <c r="X248" s="5" t="str">
        <f aca="false">VLOOKUP(F248,DIM_SERVICO!$A$2:$D$151,3,FALSE())</f>
        <v>Freios</v>
      </c>
    </row>
    <row r="249" customFormat="false" ht="15" hidden="false" customHeight="false" outlineLevel="0" collapsed="false">
      <c r="A249" s="6" t="n">
        <v>248</v>
      </c>
      <c r="B249" s="6" t="n">
        <v>286</v>
      </c>
      <c r="C249" s="6" t="n">
        <v>1107</v>
      </c>
      <c r="D249" s="6" t="n">
        <v>594</v>
      </c>
      <c r="E249" s="6" t="n">
        <v>464</v>
      </c>
      <c r="F249" s="6" t="n">
        <v>146</v>
      </c>
      <c r="G249" s="6" t="n">
        <v>458</v>
      </c>
      <c r="H249" s="6" t="n">
        <v>1</v>
      </c>
      <c r="I249" s="7" t="n">
        <v>677.83</v>
      </c>
      <c r="J249" s="7" t="n">
        <v>482.6</v>
      </c>
      <c r="K249" s="7" t="n">
        <v>1277.77</v>
      </c>
      <c r="L249" s="7" t="n">
        <v>377.35</v>
      </c>
      <c r="M249" s="6" t="n">
        <v>11.6</v>
      </c>
      <c r="N249" s="6" t="s">
        <v>24</v>
      </c>
      <c r="O249" s="8" t="n">
        <f aca="false">VLOOKUP(F249,DIM_SERVICO!$A$2:$D$151,4,FALSE())</f>
        <v>482.6</v>
      </c>
      <c r="P249" s="8" t="n">
        <f aca="false">VLOOKUP(E249,DIM_PECA!$A$2:$F$501,6,FALSE())</f>
        <v>937.14</v>
      </c>
      <c r="Q249" s="8" t="n">
        <f aca="false">VLOOKUP(E249,DIM_PECA!$A$2:$F$501,5,FALSE())</f>
        <v>677.83</v>
      </c>
      <c r="R249" s="8" t="n">
        <f aca="false">H249*P249</f>
        <v>937.14</v>
      </c>
      <c r="S249" s="8" t="n">
        <f aca="false">O249*M249</f>
        <v>5598.16</v>
      </c>
      <c r="T249" s="8" t="n">
        <f aca="false">R249+S249</f>
        <v>6535.3</v>
      </c>
      <c r="U249" s="8" t="n">
        <f aca="false">T249-K249</f>
        <v>5257.53</v>
      </c>
      <c r="V249" s="8" t="n">
        <f aca="false">R249+S249-U249</f>
        <v>1277.77</v>
      </c>
      <c r="W249" s="9" t="str">
        <f aca="false">IF(ROUND(V249-K249,2)=0,"OK","ERRO")</f>
        <v>OK</v>
      </c>
      <c r="X249" s="9" t="str">
        <f aca="false">VLOOKUP(F249,DIM_SERVICO!$A$2:$D$151,3,FALSE())</f>
        <v>Funilaria</v>
      </c>
    </row>
    <row r="250" customFormat="false" ht="15" hidden="false" customHeight="false" outlineLevel="0" collapsed="false">
      <c r="A250" s="2" t="n">
        <v>249</v>
      </c>
      <c r="B250" s="2" t="n">
        <v>495</v>
      </c>
      <c r="C250" s="2" t="n">
        <v>377</v>
      </c>
      <c r="D250" s="2" t="n">
        <v>816</v>
      </c>
      <c r="E250" s="2" t="n">
        <v>331</v>
      </c>
      <c r="F250" s="2" t="n">
        <v>133</v>
      </c>
      <c r="G250" s="2" t="n">
        <v>198</v>
      </c>
      <c r="H250" s="2" t="n">
        <v>3</v>
      </c>
      <c r="I250" s="3" t="n">
        <v>2426.46</v>
      </c>
      <c r="J250" s="3" t="n">
        <v>1635.43</v>
      </c>
      <c r="K250" s="3" t="n">
        <v>4855.66</v>
      </c>
      <c r="L250" s="3" t="n">
        <v>1669.65</v>
      </c>
      <c r="M250" s="2" t="n">
        <v>7.3</v>
      </c>
      <c r="N250" s="2" t="s">
        <v>24</v>
      </c>
      <c r="O250" s="4" t="n">
        <f aca="false">VLOOKUP(F250,DIM_SERVICO!$A$2:$D$151,4,FALSE())</f>
        <v>1635.43</v>
      </c>
      <c r="P250" s="4" t="n">
        <f aca="false">VLOOKUP(E250,DIM_PECA!$A$2:$F$501,6,FALSE())</f>
        <v>1106.44</v>
      </c>
      <c r="Q250" s="4" t="n">
        <f aca="false">VLOOKUP(E250,DIM_PECA!$A$2:$F$501,5,FALSE())</f>
        <v>808.82</v>
      </c>
      <c r="R250" s="4" t="n">
        <f aca="false">H250*P250</f>
        <v>3319.32</v>
      </c>
      <c r="S250" s="4" t="n">
        <f aca="false">O250*M250</f>
        <v>11938.639</v>
      </c>
      <c r="T250" s="4" t="n">
        <f aca="false">R250+S250</f>
        <v>15257.959</v>
      </c>
      <c r="U250" s="4" t="n">
        <f aca="false">T250-K250</f>
        <v>10402.299</v>
      </c>
      <c r="V250" s="4" t="n">
        <f aca="false">R250+S250-U250</f>
        <v>4855.66</v>
      </c>
      <c r="W250" s="5" t="str">
        <f aca="false">IF(ROUND(V250-K250,2)=0,"OK","ERRO")</f>
        <v>OK</v>
      </c>
      <c r="X250" s="5" t="str">
        <f aca="false">VLOOKUP(F250,DIM_SERVICO!$A$2:$D$151,3,FALSE())</f>
        <v>Suspensão</v>
      </c>
    </row>
    <row r="251" customFormat="false" ht="15" hidden="false" customHeight="false" outlineLevel="0" collapsed="false">
      <c r="A251" s="6" t="n">
        <v>250</v>
      </c>
      <c r="B251" s="6" t="n">
        <v>234</v>
      </c>
      <c r="C251" s="6" t="n">
        <v>502</v>
      </c>
      <c r="D251" s="6" t="n">
        <v>774</v>
      </c>
      <c r="E251" s="6" t="n">
        <v>303</v>
      </c>
      <c r="F251" s="6" t="n">
        <v>133</v>
      </c>
      <c r="G251" s="6" t="n">
        <v>1494</v>
      </c>
      <c r="H251" s="6" t="n">
        <v>2</v>
      </c>
      <c r="I251" s="7" t="n">
        <v>1798.76</v>
      </c>
      <c r="J251" s="7" t="n">
        <v>1635.43</v>
      </c>
      <c r="K251" s="7" t="n">
        <v>4475.17</v>
      </c>
      <c r="L251" s="7" t="n">
        <v>1794.45</v>
      </c>
      <c r="M251" s="6" t="n">
        <v>2.5</v>
      </c>
      <c r="N251" s="6" t="s">
        <v>26</v>
      </c>
      <c r="O251" s="8" t="n">
        <f aca="false">VLOOKUP(F251,DIM_SERVICO!$A$2:$D$151,4,FALSE())</f>
        <v>1635.43</v>
      </c>
      <c r="P251" s="8" t="n">
        <f aca="false">VLOOKUP(E251,DIM_PECA!$A$2:$F$501,6,FALSE())</f>
        <v>1419.87</v>
      </c>
      <c r="Q251" s="8" t="n">
        <f aca="false">VLOOKUP(E251,DIM_PECA!$A$2:$F$501,5,FALSE())</f>
        <v>899.38</v>
      </c>
      <c r="R251" s="8" t="n">
        <f aca="false">H251*P251</f>
        <v>2839.74</v>
      </c>
      <c r="S251" s="8" t="n">
        <f aca="false">O251*M251</f>
        <v>4088.575</v>
      </c>
      <c r="T251" s="8" t="n">
        <f aca="false">R251+S251</f>
        <v>6928.315</v>
      </c>
      <c r="U251" s="8" t="n">
        <f aca="false">T251-K251</f>
        <v>2453.145</v>
      </c>
      <c r="V251" s="8" t="n">
        <f aca="false">R251+S251-U251</f>
        <v>4475.17</v>
      </c>
      <c r="W251" s="9" t="str">
        <f aca="false">IF(ROUND(V251-K251,2)=0,"OK","ERRO")</f>
        <v>OK</v>
      </c>
      <c r="X251" s="9" t="str">
        <f aca="false">VLOOKUP(F251,DIM_SERVICO!$A$2:$D$151,3,FALSE())</f>
        <v>Suspensão</v>
      </c>
    </row>
    <row r="252" customFormat="false" ht="15" hidden="false" customHeight="false" outlineLevel="0" collapsed="false">
      <c r="A252" s="2" t="n">
        <v>251</v>
      </c>
      <c r="B252" s="2" t="n">
        <v>379</v>
      </c>
      <c r="C252" s="2" t="n">
        <v>899</v>
      </c>
      <c r="D252" s="2" t="n">
        <v>307</v>
      </c>
      <c r="E252" s="2" t="n">
        <v>324</v>
      </c>
      <c r="F252" s="2" t="n">
        <v>77</v>
      </c>
      <c r="G252" s="2" t="n">
        <v>1668</v>
      </c>
      <c r="H252" s="2" t="n">
        <v>4</v>
      </c>
      <c r="I252" s="3" t="n">
        <v>2051.16</v>
      </c>
      <c r="J252" s="3" t="n">
        <v>729.21</v>
      </c>
      <c r="K252" s="3" t="n">
        <v>4000.29</v>
      </c>
      <c r="L252" s="3" t="n">
        <v>1568.51</v>
      </c>
      <c r="M252" s="2" t="n">
        <v>4.4</v>
      </c>
      <c r="N252" s="2" t="s">
        <v>24</v>
      </c>
      <c r="O252" s="4" t="n">
        <f aca="false">VLOOKUP(F252,DIM_SERVICO!$A$2:$D$151,4,FALSE())</f>
        <v>729.21</v>
      </c>
      <c r="P252" s="4" t="n">
        <f aca="false">VLOOKUP(E252,DIM_PECA!$A$2:$F$501,6,FALSE())</f>
        <v>817.77</v>
      </c>
      <c r="Q252" s="4" t="n">
        <f aca="false">VLOOKUP(E252,DIM_PECA!$A$2:$F$501,5,FALSE())</f>
        <v>512.79</v>
      </c>
      <c r="R252" s="4" t="n">
        <f aca="false">H252*P252</f>
        <v>3271.08</v>
      </c>
      <c r="S252" s="4" t="n">
        <f aca="false">O252*M252</f>
        <v>3208.524</v>
      </c>
      <c r="T252" s="4" t="n">
        <f aca="false">R252+S252</f>
        <v>6479.604</v>
      </c>
      <c r="U252" s="4" t="n">
        <f aca="false">T252-K252</f>
        <v>2479.314</v>
      </c>
      <c r="V252" s="4" t="n">
        <f aca="false">R252+S252-U252</f>
        <v>4000.29</v>
      </c>
      <c r="W252" s="5" t="str">
        <f aca="false">IF(ROUND(V252-K252,2)=0,"OK","ERRO")</f>
        <v>OK</v>
      </c>
      <c r="X252" s="5" t="str">
        <f aca="false">VLOOKUP(F252,DIM_SERVICO!$A$2:$D$151,3,FALSE())</f>
        <v>Freios</v>
      </c>
    </row>
    <row r="253" customFormat="false" ht="15" hidden="false" customHeight="false" outlineLevel="0" collapsed="false">
      <c r="A253" s="6" t="n">
        <v>252</v>
      </c>
      <c r="B253" s="6" t="n">
        <v>663</v>
      </c>
      <c r="C253" s="6" t="n">
        <v>1377</v>
      </c>
      <c r="D253" s="6" t="n">
        <v>292</v>
      </c>
      <c r="E253" s="6" t="n">
        <v>119</v>
      </c>
      <c r="F253" s="6" t="n">
        <v>14</v>
      </c>
      <c r="G253" s="6" t="n">
        <v>1675</v>
      </c>
      <c r="H253" s="6" t="n">
        <v>4</v>
      </c>
      <c r="I253" s="7" t="n">
        <v>4545.6</v>
      </c>
      <c r="J253" s="7" t="n">
        <v>1939.75</v>
      </c>
      <c r="K253" s="7" t="n">
        <v>10720.6</v>
      </c>
      <c r="L253" s="7" t="n">
        <v>5281.73</v>
      </c>
      <c r="M253" s="6" t="n">
        <v>8.3</v>
      </c>
      <c r="N253" s="6" t="s">
        <v>24</v>
      </c>
      <c r="O253" s="8" t="n">
        <f aca="false">VLOOKUP(F253,DIM_SERVICO!$A$2:$D$151,4,FALSE())</f>
        <v>1939.75</v>
      </c>
      <c r="P253" s="8" t="n">
        <f aca="false">VLOOKUP(E253,DIM_PECA!$A$2:$F$501,6,FALSE())</f>
        <v>2249.91</v>
      </c>
      <c r="Q253" s="8" t="n">
        <f aca="false">VLOOKUP(E253,DIM_PECA!$A$2:$F$501,5,FALSE())</f>
        <v>1136.4</v>
      </c>
      <c r="R253" s="8" t="n">
        <f aca="false">H253*P253</f>
        <v>8999.64</v>
      </c>
      <c r="S253" s="8" t="n">
        <f aca="false">O253*M253</f>
        <v>16099.925</v>
      </c>
      <c r="T253" s="8" t="n">
        <f aca="false">R253+S253</f>
        <v>25099.565</v>
      </c>
      <c r="U253" s="8" t="n">
        <f aca="false">T253-K253</f>
        <v>14378.965</v>
      </c>
      <c r="V253" s="8" t="n">
        <f aca="false">R253+S253-U253</f>
        <v>10720.6</v>
      </c>
      <c r="W253" s="9" t="str">
        <f aca="false">IF(ROUND(V253-K253,2)=0,"OK","ERRO")</f>
        <v>OK</v>
      </c>
      <c r="X253" s="9" t="str">
        <f aca="false">VLOOKUP(F253,DIM_SERVICO!$A$2:$D$151,3,FALSE())</f>
        <v>Funilaria</v>
      </c>
    </row>
    <row r="254" customFormat="false" ht="15" hidden="false" customHeight="false" outlineLevel="0" collapsed="false">
      <c r="A254" s="2" t="n">
        <v>253</v>
      </c>
      <c r="B254" s="2" t="n">
        <v>93</v>
      </c>
      <c r="C254" s="2" t="n">
        <v>573</v>
      </c>
      <c r="D254" s="2" t="n">
        <v>710</v>
      </c>
      <c r="E254" s="2" t="n">
        <v>252</v>
      </c>
      <c r="F254" s="2" t="n">
        <v>10</v>
      </c>
      <c r="G254" s="2" t="n">
        <v>174</v>
      </c>
      <c r="H254" s="2" t="n">
        <v>3</v>
      </c>
      <c r="I254" s="3" t="n">
        <v>2769</v>
      </c>
      <c r="J254" s="3" t="n">
        <v>338.82</v>
      </c>
      <c r="K254" s="3" t="n">
        <v>5313.61</v>
      </c>
      <c r="L254" s="3" t="n">
        <v>2359.37</v>
      </c>
      <c r="M254" s="2" t="n">
        <v>2.2</v>
      </c>
      <c r="N254" s="2" t="s">
        <v>26</v>
      </c>
      <c r="O254" s="4" t="n">
        <f aca="false">VLOOKUP(F254,DIM_SERVICO!$A$2:$D$151,4,FALSE())</f>
        <v>338.82</v>
      </c>
      <c r="P254" s="4" t="n">
        <f aca="false">VLOOKUP(E254,DIM_PECA!$A$2:$F$501,6,FALSE())</f>
        <v>1812.28</v>
      </c>
      <c r="Q254" s="4" t="n">
        <f aca="false">VLOOKUP(E254,DIM_PECA!$A$2:$F$501,5,FALSE())</f>
        <v>923</v>
      </c>
      <c r="R254" s="4" t="n">
        <f aca="false">H254*P254</f>
        <v>5436.84</v>
      </c>
      <c r="S254" s="4" t="n">
        <f aca="false">O254*M254</f>
        <v>745.404</v>
      </c>
      <c r="T254" s="4" t="n">
        <f aca="false">R254+S254</f>
        <v>6182.244</v>
      </c>
      <c r="U254" s="4" t="n">
        <f aca="false">T254-K254</f>
        <v>868.634000000001</v>
      </c>
      <c r="V254" s="4" t="n">
        <f aca="false">R254+S254-U254</f>
        <v>5313.61</v>
      </c>
      <c r="W254" s="5" t="str">
        <f aca="false">IF(ROUND(V254-K254,2)=0,"OK","ERRO")</f>
        <v>OK</v>
      </c>
      <c r="X254" s="5" t="str">
        <f aca="false">VLOOKUP(F254,DIM_SERVICO!$A$2:$D$151,3,FALSE())</f>
        <v>Diagnóstico</v>
      </c>
    </row>
    <row r="255" customFormat="false" ht="15" hidden="false" customHeight="false" outlineLevel="0" collapsed="false">
      <c r="A255" s="6" t="n">
        <v>254</v>
      </c>
      <c r="B255" s="6" t="n">
        <v>286</v>
      </c>
      <c r="C255" s="6" t="n">
        <v>2</v>
      </c>
      <c r="D255" s="6" t="n">
        <v>459</v>
      </c>
      <c r="E255" s="6" t="n">
        <v>151</v>
      </c>
      <c r="F255" s="6" t="n">
        <v>113</v>
      </c>
      <c r="G255" s="6" t="n">
        <v>216</v>
      </c>
      <c r="H255" s="6" t="n">
        <v>2</v>
      </c>
      <c r="I255" s="7" t="n">
        <v>1120.98</v>
      </c>
      <c r="J255" s="7" t="n">
        <v>1709.25</v>
      </c>
      <c r="K255" s="7" t="n">
        <v>3554.39</v>
      </c>
      <c r="L255" s="7" t="n">
        <v>1497.69</v>
      </c>
      <c r="M255" s="6" t="n">
        <v>9.2</v>
      </c>
      <c r="N255" s="6" t="s">
        <v>24</v>
      </c>
      <c r="O255" s="8" t="n">
        <f aca="false">VLOOKUP(F255,DIM_SERVICO!$A$2:$D$151,4,FALSE())</f>
        <v>1709.25</v>
      </c>
      <c r="P255" s="8" t="n">
        <f aca="false">VLOOKUP(E255,DIM_PECA!$A$2:$F$501,6,FALSE())</f>
        <v>922.57</v>
      </c>
      <c r="Q255" s="8" t="n">
        <f aca="false">VLOOKUP(E255,DIM_PECA!$A$2:$F$501,5,FALSE())</f>
        <v>560.49</v>
      </c>
      <c r="R255" s="8" t="n">
        <f aca="false">H255*P255</f>
        <v>1845.14</v>
      </c>
      <c r="S255" s="8" t="n">
        <f aca="false">O255*M255</f>
        <v>15725.1</v>
      </c>
      <c r="T255" s="8" t="n">
        <f aca="false">R255+S255</f>
        <v>17570.24</v>
      </c>
      <c r="U255" s="8" t="n">
        <f aca="false">T255-K255</f>
        <v>14015.85</v>
      </c>
      <c r="V255" s="8" t="n">
        <f aca="false">R255+S255-U255</f>
        <v>3554.39</v>
      </c>
      <c r="W255" s="9" t="str">
        <f aca="false">IF(ROUND(V255-K255,2)=0,"OK","ERRO")</f>
        <v>OK</v>
      </c>
      <c r="X255" s="9" t="str">
        <f aca="false">VLOOKUP(F255,DIM_SERVICO!$A$2:$D$151,3,FALSE())</f>
        <v>Pintura</v>
      </c>
    </row>
    <row r="256" customFormat="false" ht="15" hidden="false" customHeight="false" outlineLevel="0" collapsed="false">
      <c r="A256" s="2" t="n">
        <v>255</v>
      </c>
      <c r="B256" s="2" t="n">
        <v>1230</v>
      </c>
      <c r="C256" s="2" t="n">
        <v>263</v>
      </c>
      <c r="D256" s="2" t="n">
        <v>519</v>
      </c>
      <c r="E256" s="2" t="n">
        <v>281</v>
      </c>
      <c r="F256" s="2" t="n">
        <v>115</v>
      </c>
      <c r="G256" s="2" t="n">
        <v>630</v>
      </c>
      <c r="H256" s="2" t="n">
        <v>3</v>
      </c>
      <c r="I256" s="3" t="n">
        <v>495.75</v>
      </c>
      <c r="J256" s="3" t="n">
        <v>1374.43</v>
      </c>
      <c r="K256" s="3" t="n">
        <v>2225.09</v>
      </c>
      <c r="L256" s="3" t="n">
        <v>1197.21</v>
      </c>
      <c r="M256" s="2" t="n">
        <v>5.7</v>
      </c>
      <c r="N256" s="2" t="s">
        <v>26</v>
      </c>
      <c r="O256" s="4" t="n">
        <f aca="false">VLOOKUP(F256,DIM_SERVICO!$A$2:$D$151,4,FALSE())</f>
        <v>1374.43</v>
      </c>
      <c r="P256" s="4" t="n">
        <f aca="false">VLOOKUP(E256,DIM_PECA!$A$2:$F$501,6,FALSE())</f>
        <v>298.69</v>
      </c>
      <c r="Q256" s="4" t="n">
        <f aca="false">VLOOKUP(E256,DIM_PECA!$A$2:$F$501,5,FALSE())</f>
        <v>165.25</v>
      </c>
      <c r="R256" s="4" t="n">
        <f aca="false">H256*P256</f>
        <v>896.07</v>
      </c>
      <c r="S256" s="4" t="n">
        <f aca="false">O256*M256</f>
        <v>7834.251</v>
      </c>
      <c r="T256" s="4" t="n">
        <f aca="false">R256+S256</f>
        <v>8730.321</v>
      </c>
      <c r="U256" s="4" t="n">
        <f aca="false">T256-K256</f>
        <v>6505.231</v>
      </c>
      <c r="V256" s="4" t="n">
        <f aca="false">R256+S256-U256</f>
        <v>2225.09</v>
      </c>
      <c r="W256" s="5" t="str">
        <f aca="false">IF(ROUND(V256-K256,2)=0,"OK","ERRO")</f>
        <v>OK</v>
      </c>
      <c r="X256" s="5" t="str">
        <f aca="false">VLOOKUP(F256,DIM_SERVICO!$A$2:$D$151,3,FALSE())</f>
        <v>Suspensão</v>
      </c>
    </row>
    <row r="257" customFormat="false" ht="15" hidden="false" customHeight="false" outlineLevel="0" collapsed="false">
      <c r="A257" s="6" t="n">
        <v>256</v>
      </c>
      <c r="B257" s="6" t="n">
        <v>1198</v>
      </c>
      <c r="C257" s="6" t="n">
        <v>1325</v>
      </c>
      <c r="D257" s="6" t="n">
        <v>996</v>
      </c>
      <c r="E257" s="6" t="n">
        <v>218</v>
      </c>
      <c r="F257" s="6" t="n">
        <v>18</v>
      </c>
      <c r="G257" s="6" t="n">
        <v>983</v>
      </c>
      <c r="H257" s="6" t="n">
        <v>2</v>
      </c>
      <c r="I257" s="7" t="n">
        <v>2067.48</v>
      </c>
      <c r="J257" s="7" t="n">
        <v>1667.15</v>
      </c>
      <c r="K257" s="7" t="n">
        <v>5495.25</v>
      </c>
      <c r="L257" s="7" t="n">
        <v>2577.15</v>
      </c>
      <c r="M257" s="6" t="n">
        <v>5.7</v>
      </c>
      <c r="N257" s="6" t="s">
        <v>26</v>
      </c>
      <c r="O257" s="8" t="n">
        <f aca="false">VLOOKUP(F257,DIM_SERVICO!$A$2:$D$151,4,FALSE())</f>
        <v>1667.15</v>
      </c>
      <c r="P257" s="8" t="n">
        <f aca="false">VLOOKUP(E257,DIM_PECA!$A$2:$F$501,6,FALSE())</f>
        <v>2219.34</v>
      </c>
      <c r="Q257" s="8" t="n">
        <f aca="false">VLOOKUP(E257,DIM_PECA!$A$2:$F$501,5,FALSE())</f>
        <v>1033.74</v>
      </c>
      <c r="R257" s="8" t="n">
        <f aca="false">H257*P257</f>
        <v>4438.68</v>
      </c>
      <c r="S257" s="8" t="n">
        <f aca="false">O257*M257</f>
        <v>9502.755</v>
      </c>
      <c r="T257" s="8" t="n">
        <f aca="false">R257+S257</f>
        <v>13941.435</v>
      </c>
      <c r="U257" s="8" t="n">
        <f aca="false">T257-K257</f>
        <v>8446.185</v>
      </c>
      <c r="V257" s="8" t="n">
        <f aca="false">R257+S257-U257</f>
        <v>5495.25</v>
      </c>
      <c r="W257" s="9" t="str">
        <f aca="false">IF(ROUND(V257-K257,2)=0,"OK","ERRO")</f>
        <v>OK</v>
      </c>
      <c r="X257" s="9" t="str">
        <f aca="false">VLOOKUP(F257,DIM_SERVICO!$A$2:$D$151,3,FALSE())</f>
        <v>Elétrica</v>
      </c>
    </row>
    <row r="258" customFormat="false" ht="15" hidden="false" customHeight="false" outlineLevel="0" collapsed="false">
      <c r="A258" s="2" t="n">
        <v>257</v>
      </c>
      <c r="B258" s="2" t="n">
        <v>757</v>
      </c>
      <c r="C258" s="2" t="n">
        <v>835</v>
      </c>
      <c r="D258" s="2" t="n">
        <v>51</v>
      </c>
      <c r="E258" s="2" t="n">
        <v>361</v>
      </c>
      <c r="F258" s="2" t="n">
        <v>107</v>
      </c>
      <c r="G258" s="2" t="n">
        <v>1553</v>
      </c>
      <c r="H258" s="2" t="n">
        <v>2</v>
      </c>
      <c r="I258" s="3" t="n">
        <v>1864.44</v>
      </c>
      <c r="J258" s="3" t="n">
        <v>550.68</v>
      </c>
      <c r="K258" s="3" t="n">
        <v>3683.66</v>
      </c>
      <c r="L258" s="3" t="n">
        <v>1530</v>
      </c>
      <c r="M258" s="2" t="n">
        <v>4.3</v>
      </c>
      <c r="N258" s="2" t="s">
        <v>27</v>
      </c>
      <c r="O258" s="4" t="n">
        <f aca="false">VLOOKUP(F258,DIM_SERVICO!$A$2:$D$151,4,FALSE())</f>
        <v>550.68</v>
      </c>
      <c r="P258" s="4" t="n">
        <f aca="false">VLOOKUP(E258,DIM_PECA!$A$2:$F$501,6,FALSE())</f>
        <v>1663.43</v>
      </c>
      <c r="Q258" s="4" t="n">
        <f aca="false">VLOOKUP(E258,DIM_PECA!$A$2:$F$501,5,FALSE())</f>
        <v>932.22</v>
      </c>
      <c r="R258" s="4" t="n">
        <f aca="false">H258*P258</f>
        <v>3326.86</v>
      </c>
      <c r="S258" s="4" t="n">
        <f aca="false">O258*M258</f>
        <v>2367.924</v>
      </c>
      <c r="T258" s="4" t="n">
        <f aca="false">R258+S258</f>
        <v>5694.784</v>
      </c>
      <c r="U258" s="4" t="n">
        <f aca="false">T258-K258</f>
        <v>2011.124</v>
      </c>
      <c r="V258" s="4" t="n">
        <f aca="false">R258+S258-U258</f>
        <v>3683.66</v>
      </c>
      <c r="W258" s="5" t="str">
        <f aca="false">IF(ROUND(V258-K258,2)=0,"OK","ERRO")</f>
        <v>OK</v>
      </c>
      <c r="X258" s="5" t="str">
        <f aca="false">VLOOKUP(F258,DIM_SERVICO!$A$2:$D$151,3,FALSE())</f>
        <v>Diagnóstico</v>
      </c>
    </row>
    <row r="259" customFormat="false" ht="15" hidden="false" customHeight="false" outlineLevel="0" collapsed="false">
      <c r="A259" s="6" t="n">
        <v>258</v>
      </c>
      <c r="B259" s="6" t="n">
        <v>629</v>
      </c>
      <c r="C259" s="6" t="n">
        <v>136</v>
      </c>
      <c r="D259" s="6" t="n">
        <v>435</v>
      </c>
      <c r="E259" s="6" t="n">
        <v>209</v>
      </c>
      <c r="F259" s="6" t="n">
        <v>143</v>
      </c>
      <c r="G259" s="6" t="n">
        <v>1166</v>
      </c>
      <c r="H259" s="6" t="n">
        <v>1</v>
      </c>
      <c r="I259" s="7" t="n">
        <v>924.81</v>
      </c>
      <c r="J259" s="7" t="n">
        <v>1722.21</v>
      </c>
      <c r="K259" s="7" t="n">
        <v>3639.31</v>
      </c>
      <c r="L259" s="7" t="n">
        <v>1987.82</v>
      </c>
      <c r="M259" s="6" t="n">
        <v>3.9</v>
      </c>
      <c r="N259" s="6" t="s">
        <v>24</v>
      </c>
      <c r="O259" s="8" t="n">
        <f aca="false">VLOOKUP(F259,DIM_SERVICO!$A$2:$D$151,4,FALSE())</f>
        <v>1722.21</v>
      </c>
      <c r="P259" s="8" t="n">
        <f aca="false">VLOOKUP(E259,DIM_PECA!$A$2:$F$501,6,FALSE())</f>
        <v>1991.37</v>
      </c>
      <c r="Q259" s="8" t="n">
        <f aca="false">VLOOKUP(E259,DIM_PECA!$A$2:$F$501,5,FALSE())</f>
        <v>924.81</v>
      </c>
      <c r="R259" s="8" t="n">
        <f aca="false">H259*P259</f>
        <v>1991.37</v>
      </c>
      <c r="S259" s="8" t="n">
        <f aca="false">O259*M259</f>
        <v>6716.619</v>
      </c>
      <c r="T259" s="8" t="n">
        <f aca="false">R259+S259</f>
        <v>8707.989</v>
      </c>
      <c r="U259" s="8" t="n">
        <f aca="false">T259-K259</f>
        <v>5068.679</v>
      </c>
      <c r="V259" s="8" t="n">
        <f aca="false">R259+S259-U259</f>
        <v>3639.31</v>
      </c>
      <c r="W259" s="9" t="str">
        <f aca="false">IF(ROUND(V259-K259,2)=0,"OK","ERRO")</f>
        <v>OK</v>
      </c>
      <c r="X259" s="9" t="str">
        <f aca="false">VLOOKUP(F259,DIM_SERVICO!$A$2:$D$151,3,FALSE())</f>
        <v>Suspensão</v>
      </c>
    </row>
    <row r="260" customFormat="false" ht="15" hidden="false" customHeight="false" outlineLevel="0" collapsed="false">
      <c r="A260" s="2" t="n">
        <v>259</v>
      </c>
      <c r="B260" s="2" t="n">
        <v>631</v>
      </c>
      <c r="C260" s="2" t="n">
        <v>1430</v>
      </c>
      <c r="D260" s="2" t="n">
        <v>756</v>
      </c>
      <c r="E260" s="2" t="n">
        <v>304</v>
      </c>
      <c r="F260" s="2" t="n">
        <v>141</v>
      </c>
      <c r="G260" s="2" t="n">
        <v>515</v>
      </c>
      <c r="H260" s="2" t="n">
        <v>2</v>
      </c>
      <c r="I260" s="3" t="n">
        <v>828.28</v>
      </c>
      <c r="J260" s="3" t="n">
        <v>1203.42</v>
      </c>
      <c r="K260" s="3" t="n">
        <v>2736.83</v>
      </c>
      <c r="L260" s="3" t="n">
        <v>1389.96</v>
      </c>
      <c r="M260" s="2" t="n">
        <v>3.3</v>
      </c>
      <c r="N260" s="2" t="s">
        <v>27</v>
      </c>
      <c r="O260" s="4" t="n">
        <f aca="false">VLOOKUP(F260,DIM_SERVICO!$A$2:$D$151,4,FALSE())</f>
        <v>1203.42</v>
      </c>
      <c r="P260" s="4" t="n">
        <f aca="false">VLOOKUP(E260,DIM_PECA!$A$2:$F$501,6,FALSE())</f>
        <v>794.63</v>
      </c>
      <c r="Q260" s="4" t="n">
        <f aca="false">VLOOKUP(E260,DIM_PECA!$A$2:$F$501,5,FALSE())</f>
        <v>414.14</v>
      </c>
      <c r="R260" s="4" t="n">
        <f aca="false">H260*P260</f>
        <v>1589.26</v>
      </c>
      <c r="S260" s="4" t="n">
        <f aca="false">O260*M260</f>
        <v>3971.286</v>
      </c>
      <c r="T260" s="4" t="n">
        <f aca="false">R260+S260</f>
        <v>5560.546</v>
      </c>
      <c r="U260" s="4" t="n">
        <f aca="false">T260-K260</f>
        <v>2823.716</v>
      </c>
      <c r="V260" s="4" t="n">
        <f aca="false">R260+S260-U260</f>
        <v>2736.83</v>
      </c>
      <c r="W260" s="5" t="str">
        <f aca="false">IF(ROUND(V260-K260,2)=0,"OK","ERRO")</f>
        <v>OK</v>
      </c>
      <c r="X260" s="5" t="str">
        <f aca="false">VLOOKUP(F260,DIM_SERVICO!$A$2:$D$151,3,FALSE())</f>
        <v>Funilaria</v>
      </c>
    </row>
    <row r="261" customFormat="false" ht="15" hidden="false" customHeight="false" outlineLevel="0" collapsed="false">
      <c r="A261" s="6" t="n">
        <v>260</v>
      </c>
      <c r="B261" s="6" t="n">
        <v>145</v>
      </c>
      <c r="C261" s="6" t="n">
        <v>506</v>
      </c>
      <c r="D261" s="6" t="n">
        <v>861</v>
      </c>
      <c r="E261" s="6" t="n">
        <v>380</v>
      </c>
      <c r="F261" s="6" t="n">
        <v>96</v>
      </c>
      <c r="G261" s="6" t="n">
        <v>853</v>
      </c>
      <c r="H261" s="6" t="n">
        <v>1</v>
      </c>
      <c r="I261" s="7" t="n">
        <v>50.51</v>
      </c>
      <c r="J261" s="7" t="n">
        <v>1247.25</v>
      </c>
      <c r="K261" s="7" t="n">
        <v>1206.4</v>
      </c>
      <c r="L261" s="7" t="n">
        <v>592.83</v>
      </c>
      <c r="M261" s="6" t="n">
        <v>3</v>
      </c>
      <c r="N261" s="6" t="s">
        <v>24</v>
      </c>
      <c r="O261" s="8" t="n">
        <f aca="false">VLOOKUP(F261,DIM_SERVICO!$A$2:$D$151,4,FALSE())</f>
        <v>1247.25</v>
      </c>
      <c r="P261" s="8" t="n">
        <f aca="false">VLOOKUP(E261,DIM_PECA!$A$2:$F$501,6,FALSE())</f>
        <v>93.19</v>
      </c>
      <c r="Q261" s="8" t="n">
        <f aca="false">VLOOKUP(E261,DIM_PECA!$A$2:$F$501,5,FALSE())</f>
        <v>50.51</v>
      </c>
      <c r="R261" s="8" t="n">
        <f aca="false">H261*P261</f>
        <v>93.19</v>
      </c>
      <c r="S261" s="8" t="n">
        <f aca="false">O261*M261</f>
        <v>3741.75</v>
      </c>
      <c r="T261" s="8" t="n">
        <f aca="false">R261+S261</f>
        <v>3834.94</v>
      </c>
      <c r="U261" s="8" t="n">
        <f aca="false">T261-K261</f>
        <v>2628.54</v>
      </c>
      <c r="V261" s="8" t="n">
        <f aca="false">R261+S261-U261</f>
        <v>1206.4</v>
      </c>
      <c r="W261" s="9" t="str">
        <f aca="false">IF(ROUND(V261-K261,2)=0,"OK","ERRO")</f>
        <v>OK</v>
      </c>
      <c r="X261" s="9" t="str">
        <f aca="false">VLOOKUP(F261,DIM_SERVICO!$A$2:$D$151,3,FALSE())</f>
        <v>Suspensão</v>
      </c>
    </row>
    <row r="262" customFormat="false" ht="15" hidden="false" customHeight="false" outlineLevel="0" collapsed="false">
      <c r="A262" s="2" t="n">
        <v>261</v>
      </c>
      <c r="B262" s="2" t="n">
        <v>138</v>
      </c>
      <c r="C262" s="2" t="n">
        <v>987</v>
      </c>
      <c r="D262" s="2" t="n">
        <v>824</v>
      </c>
      <c r="E262" s="2" t="n">
        <v>247</v>
      </c>
      <c r="F262" s="2" t="n">
        <v>127</v>
      </c>
      <c r="G262" s="2" t="n">
        <v>1822</v>
      </c>
      <c r="H262" s="2" t="n">
        <v>3</v>
      </c>
      <c r="I262" s="3" t="n">
        <v>462.72</v>
      </c>
      <c r="J262" s="3" t="n">
        <v>165.02</v>
      </c>
      <c r="K262" s="3" t="n">
        <v>961.75</v>
      </c>
      <c r="L262" s="3" t="n">
        <v>436.72</v>
      </c>
      <c r="M262" s="2" t="n">
        <v>3.7</v>
      </c>
      <c r="N262" s="2" t="s">
        <v>25</v>
      </c>
      <c r="O262" s="4" t="n">
        <f aca="false">VLOOKUP(F262,DIM_SERVICO!$A$2:$D$151,4,FALSE())</f>
        <v>165.02</v>
      </c>
      <c r="P262" s="4" t="n">
        <f aca="false">VLOOKUP(E262,DIM_PECA!$A$2:$F$501,6,FALSE())</f>
        <v>282.45</v>
      </c>
      <c r="Q262" s="4" t="n">
        <f aca="false">VLOOKUP(E262,DIM_PECA!$A$2:$F$501,5,FALSE())</f>
        <v>154.24</v>
      </c>
      <c r="R262" s="4" t="n">
        <f aca="false">H262*P262</f>
        <v>847.35</v>
      </c>
      <c r="S262" s="4" t="n">
        <f aca="false">O262*M262</f>
        <v>610.574</v>
      </c>
      <c r="T262" s="4" t="n">
        <f aca="false">R262+S262</f>
        <v>1457.924</v>
      </c>
      <c r="U262" s="4" t="n">
        <f aca="false">T262-K262</f>
        <v>496.174</v>
      </c>
      <c r="V262" s="4" t="n">
        <f aca="false">R262+S262-U262</f>
        <v>961.75</v>
      </c>
      <c r="W262" s="5" t="str">
        <f aca="false">IF(ROUND(V262-K262,2)=0,"OK","ERRO")</f>
        <v>OK</v>
      </c>
      <c r="X262" s="5" t="str">
        <f aca="false">VLOOKUP(F262,DIM_SERVICO!$A$2:$D$151,3,FALSE())</f>
        <v>Suspensão</v>
      </c>
    </row>
    <row r="263" customFormat="false" ht="15" hidden="false" customHeight="false" outlineLevel="0" collapsed="false">
      <c r="A263" s="6" t="n">
        <v>262</v>
      </c>
      <c r="B263" s="6" t="n">
        <v>332</v>
      </c>
      <c r="C263" s="6" t="n">
        <v>695</v>
      </c>
      <c r="D263" s="6" t="n">
        <v>906</v>
      </c>
      <c r="E263" s="6" t="n">
        <v>120</v>
      </c>
      <c r="F263" s="6" t="n">
        <v>106</v>
      </c>
      <c r="G263" s="6" t="n">
        <v>151</v>
      </c>
      <c r="H263" s="6" t="n">
        <v>2</v>
      </c>
      <c r="I263" s="7" t="n">
        <v>1535.2</v>
      </c>
      <c r="J263" s="7" t="n">
        <v>590.23</v>
      </c>
      <c r="K263" s="7" t="n">
        <v>2829.35</v>
      </c>
      <c r="L263" s="7" t="n">
        <v>1053.14</v>
      </c>
      <c r="M263" s="6" t="n">
        <v>10.6</v>
      </c>
      <c r="N263" s="6" t="s">
        <v>25</v>
      </c>
      <c r="O263" s="8" t="n">
        <f aca="false">VLOOKUP(F263,DIM_SERVICO!$A$2:$D$151,4,FALSE())</f>
        <v>590.23</v>
      </c>
      <c r="P263" s="8" t="n">
        <f aca="false">VLOOKUP(E263,DIM_PECA!$A$2:$F$501,6,FALSE())</f>
        <v>1148.43</v>
      </c>
      <c r="Q263" s="8" t="n">
        <f aca="false">VLOOKUP(E263,DIM_PECA!$A$2:$F$501,5,FALSE())</f>
        <v>767.6</v>
      </c>
      <c r="R263" s="8" t="n">
        <f aca="false">H263*P263</f>
        <v>2296.86</v>
      </c>
      <c r="S263" s="8" t="n">
        <f aca="false">O263*M263</f>
        <v>6256.438</v>
      </c>
      <c r="T263" s="8" t="n">
        <f aca="false">R263+S263</f>
        <v>8553.298</v>
      </c>
      <c r="U263" s="8" t="n">
        <f aca="false">T263-K263</f>
        <v>5723.948</v>
      </c>
      <c r="V263" s="8" t="n">
        <f aca="false">R263+S263-U263</f>
        <v>2829.35</v>
      </c>
      <c r="W263" s="9" t="str">
        <f aca="false">IF(ROUND(V263-K263,2)=0,"OK","ERRO")</f>
        <v>OK</v>
      </c>
      <c r="X263" s="9" t="str">
        <f aca="false">VLOOKUP(F263,DIM_SERVICO!$A$2:$D$151,3,FALSE())</f>
        <v>Revisão</v>
      </c>
    </row>
    <row r="264" customFormat="false" ht="15" hidden="false" customHeight="false" outlineLevel="0" collapsed="false">
      <c r="A264" s="2" t="n">
        <v>263</v>
      </c>
      <c r="B264" s="2" t="n">
        <v>501</v>
      </c>
      <c r="C264" s="2" t="n">
        <v>341</v>
      </c>
      <c r="D264" s="2" t="n">
        <v>351</v>
      </c>
      <c r="E264" s="2" t="n">
        <v>389</v>
      </c>
      <c r="F264" s="2" t="n">
        <v>97</v>
      </c>
      <c r="G264" s="2" t="n">
        <v>77</v>
      </c>
      <c r="H264" s="2" t="n">
        <v>3</v>
      </c>
      <c r="I264" s="3" t="n">
        <v>2553.57</v>
      </c>
      <c r="J264" s="3" t="n">
        <v>1095.32</v>
      </c>
      <c r="K264" s="3" t="n">
        <v>6062.45</v>
      </c>
      <c r="L264" s="3" t="n">
        <v>3066.66</v>
      </c>
      <c r="M264" s="2" t="n">
        <v>0.5</v>
      </c>
      <c r="N264" s="2" t="s">
        <v>24</v>
      </c>
      <c r="O264" s="4" t="n">
        <f aca="false">VLOOKUP(F264,DIM_SERVICO!$A$2:$D$151,4,FALSE())</f>
        <v>1095.32</v>
      </c>
      <c r="P264" s="4" t="n">
        <f aca="false">VLOOKUP(E264,DIM_PECA!$A$2:$F$501,6,FALSE())</f>
        <v>1655.71</v>
      </c>
      <c r="Q264" s="4" t="n">
        <f aca="false">VLOOKUP(E264,DIM_PECA!$A$2:$F$501,5,FALSE())</f>
        <v>851.19</v>
      </c>
      <c r="R264" s="4" t="n">
        <f aca="false">H264*P264</f>
        <v>4967.13</v>
      </c>
      <c r="S264" s="4" t="n">
        <f aca="false">O264*M264</f>
        <v>547.66</v>
      </c>
      <c r="T264" s="4" t="n">
        <f aca="false">R264+S264</f>
        <v>5514.79</v>
      </c>
      <c r="U264" s="4" t="n">
        <f aca="false">T264-K264</f>
        <v>-547.66</v>
      </c>
      <c r="V264" s="4" t="n">
        <f aca="false">R264+S264-U264</f>
        <v>6062.45</v>
      </c>
      <c r="W264" s="5" t="str">
        <f aca="false">IF(ROUND(V264-K264,2)=0,"OK","ERRO")</f>
        <v>OK</v>
      </c>
      <c r="X264" s="5" t="str">
        <f aca="false">VLOOKUP(F264,DIM_SERVICO!$A$2:$D$151,3,FALSE())</f>
        <v>Pintura</v>
      </c>
    </row>
    <row r="265" customFormat="false" ht="15" hidden="false" customHeight="false" outlineLevel="0" collapsed="false">
      <c r="A265" s="6" t="n">
        <v>264</v>
      </c>
      <c r="B265" s="6" t="n">
        <v>399</v>
      </c>
      <c r="C265" s="6" t="n">
        <v>720</v>
      </c>
      <c r="D265" s="6" t="n">
        <v>719</v>
      </c>
      <c r="E265" s="6" t="n">
        <v>255</v>
      </c>
      <c r="F265" s="6" t="n">
        <v>16</v>
      </c>
      <c r="G265" s="6" t="n">
        <v>319</v>
      </c>
      <c r="H265" s="6" t="n">
        <v>1</v>
      </c>
      <c r="I265" s="7" t="n">
        <v>990.24</v>
      </c>
      <c r="J265" s="7" t="n">
        <v>266.12</v>
      </c>
      <c r="K265" s="7" t="n">
        <v>2148.78</v>
      </c>
      <c r="L265" s="7" t="n">
        <v>1022.18</v>
      </c>
      <c r="M265" s="6" t="n">
        <v>7.6</v>
      </c>
      <c r="N265" s="6" t="s">
        <v>24</v>
      </c>
      <c r="O265" s="8" t="n">
        <f aca="false">VLOOKUP(F265,DIM_SERVICO!$A$2:$D$151,4,FALSE())</f>
        <v>266.12</v>
      </c>
      <c r="P265" s="8" t="n">
        <f aca="false">VLOOKUP(E265,DIM_PECA!$A$2:$F$501,6,FALSE())</f>
        <v>1926.51</v>
      </c>
      <c r="Q265" s="8" t="n">
        <f aca="false">VLOOKUP(E265,DIM_PECA!$A$2:$F$501,5,FALSE())</f>
        <v>990.24</v>
      </c>
      <c r="R265" s="8" t="n">
        <f aca="false">H265*P265</f>
        <v>1926.51</v>
      </c>
      <c r="S265" s="8" t="n">
        <f aca="false">O265*M265</f>
        <v>2022.512</v>
      </c>
      <c r="T265" s="8" t="n">
        <f aca="false">R265+S265</f>
        <v>3949.022</v>
      </c>
      <c r="U265" s="8" t="n">
        <f aca="false">T265-K265</f>
        <v>1800.242</v>
      </c>
      <c r="V265" s="8" t="n">
        <f aca="false">R265+S265-U265</f>
        <v>2148.78</v>
      </c>
      <c r="W265" s="9" t="str">
        <f aca="false">IF(ROUND(V265-K265,2)=0,"OK","ERRO")</f>
        <v>OK</v>
      </c>
      <c r="X265" s="9" t="str">
        <f aca="false">VLOOKUP(F265,DIM_SERVICO!$A$2:$D$151,3,FALSE())</f>
        <v>Funilaria</v>
      </c>
    </row>
    <row r="266" customFormat="false" ht="15" hidden="false" customHeight="false" outlineLevel="0" collapsed="false">
      <c r="A266" s="2" t="n">
        <v>265</v>
      </c>
      <c r="B266" s="2" t="n">
        <v>876</v>
      </c>
      <c r="C266" s="2" t="n">
        <v>1204</v>
      </c>
      <c r="D266" s="2" t="n">
        <v>995</v>
      </c>
      <c r="E266" s="2" t="n">
        <v>280</v>
      </c>
      <c r="F266" s="2" t="n">
        <v>19</v>
      </c>
      <c r="G266" s="2" t="n">
        <v>816</v>
      </c>
      <c r="H266" s="2" t="n">
        <v>1</v>
      </c>
      <c r="I266" s="3" t="n">
        <v>133.04</v>
      </c>
      <c r="J266" s="3" t="n">
        <v>1822.04</v>
      </c>
      <c r="K266" s="3" t="n">
        <v>1897.49</v>
      </c>
      <c r="L266" s="3" t="n">
        <v>1125.51</v>
      </c>
      <c r="M266" s="2" t="n">
        <v>5.5</v>
      </c>
      <c r="N266" s="2" t="s">
        <v>24</v>
      </c>
      <c r="O266" s="4" t="n">
        <f aca="false">VLOOKUP(F266,DIM_SERVICO!$A$2:$D$151,4,FALSE())</f>
        <v>1822.04</v>
      </c>
      <c r="P266" s="4" t="n">
        <f aca="false">VLOOKUP(E266,DIM_PECA!$A$2:$F$501,6,FALSE())</f>
        <v>240.45</v>
      </c>
      <c r="Q266" s="4" t="n">
        <f aca="false">VLOOKUP(E266,DIM_PECA!$A$2:$F$501,5,FALSE())</f>
        <v>133.04</v>
      </c>
      <c r="R266" s="4" t="n">
        <f aca="false">H266*P266</f>
        <v>240.45</v>
      </c>
      <c r="S266" s="4" t="n">
        <f aca="false">O266*M266</f>
        <v>10021.22</v>
      </c>
      <c r="T266" s="4" t="n">
        <f aca="false">R266+S266</f>
        <v>10261.67</v>
      </c>
      <c r="U266" s="4" t="n">
        <f aca="false">T266-K266</f>
        <v>8364.18</v>
      </c>
      <c r="V266" s="4" t="n">
        <f aca="false">R266+S266-U266</f>
        <v>1897.49</v>
      </c>
      <c r="W266" s="5" t="str">
        <f aca="false">IF(ROUND(V266-K266,2)=0,"OK","ERRO")</f>
        <v>OK</v>
      </c>
      <c r="X266" s="5" t="str">
        <f aca="false">VLOOKUP(F266,DIM_SERVICO!$A$2:$D$151,3,FALSE())</f>
        <v>Pintura</v>
      </c>
    </row>
    <row r="267" customFormat="false" ht="15" hidden="false" customHeight="false" outlineLevel="0" collapsed="false">
      <c r="A267" s="6" t="n">
        <v>266</v>
      </c>
      <c r="B267" s="6" t="n">
        <v>1364</v>
      </c>
      <c r="C267" s="6" t="n">
        <v>842</v>
      </c>
      <c r="D267" s="6" t="n">
        <v>389</v>
      </c>
      <c r="E267" s="6" t="n">
        <v>392</v>
      </c>
      <c r="F267" s="6" t="n">
        <v>42</v>
      </c>
      <c r="G267" s="6" t="n">
        <v>1207</v>
      </c>
      <c r="H267" s="6" t="n">
        <v>3</v>
      </c>
      <c r="I267" s="7" t="n">
        <v>3193.47</v>
      </c>
      <c r="J267" s="7" t="n">
        <v>1029.92</v>
      </c>
      <c r="K267" s="7" t="n">
        <v>5356.55</v>
      </c>
      <c r="L267" s="7" t="n">
        <v>1756.72</v>
      </c>
      <c r="M267" s="6" t="n">
        <v>6.3</v>
      </c>
      <c r="N267" s="6" t="s">
        <v>26</v>
      </c>
      <c r="O267" s="8" t="n">
        <f aca="false">VLOOKUP(F267,DIM_SERVICO!$A$2:$D$151,4,FALSE())</f>
        <v>1029.92</v>
      </c>
      <c r="P267" s="8" t="n">
        <f aca="false">VLOOKUP(E267,DIM_PECA!$A$2:$F$501,6,FALSE())</f>
        <v>1442.21</v>
      </c>
      <c r="Q267" s="8" t="n">
        <f aca="false">VLOOKUP(E267,DIM_PECA!$A$2:$F$501,5,FALSE())</f>
        <v>1064.49</v>
      </c>
      <c r="R267" s="8" t="n">
        <f aca="false">H267*P267</f>
        <v>4326.63</v>
      </c>
      <c r="S267" s="8" t="n">
        <f aca="false">O267*M267</f>
        <v>6488.496</v>
      </c>
      <c r="T267" s="8" t="n">
        <f aca="false">R267+S267</f>
        <v>10815.126</v>
      </c>
      <c r="U267" s="8" t="n">
        <f aca="false">T267-K267</f>
        <v>5458.576</v>
      </c>
      <c r="V267" s="8" t="n">
        <f aca="false">R267+S267-U267</f>
        <v>5356.55</v>
      </c>
      <c r="W267" s="9" t="str">
        <f aca="false">IF(ROUND(V267-K267,2)=0,"OK","ERRO")</f>
        <v>OK</v>
      </c>
      <c r="X267" s="9" t="str">
        <f aca="false">VLOOKUP(F267,DIM_SERVICO!$A$2:$D$151,3,FALSE())</f>
        <v>Elétrica</v>
      </c>
    </row>
    <row r="268" customFormat="false" ht="15" hidden="false" customHeight="false" outlineLevel="0" collapsed="false">
      <c r="A268" s="2" t="n">
        <v>267</v>
      </c>
      <c r="B268" s="2" t="n">
        <v>612</v>
      </c>
      <c r="C268" s="2" t="n">
        <v>1488</v>
      </c>
      <c r="D268" s="2" t="n">
        <v>59</v>
      </c>
      <c r="E268" s="2" t="n">
        <v>156</v>
      </c>
      <c r="F268" s="2" t="n">
        <v>55</v>
      </c>
      <c r="G268" s="2" t="n">
        <v>1006</v>
      </c>
      <c r="H268" s="2" t="n">
        <v>3</v>
      </c>
      <c r="I268" s="3" t="n">
        <v>225.33</v>
      </c>
      <c r="J268" s="3" t="n">
        <v>176.18</v>
      </c>
      <c r="K268" s="3" t="n">
        <v>485.99</v>
      </c>
      <c r="L268" s="3" t="n">
        <v>176.97</v>
      </c>
      <c r="M268" s="2" t="n">
        <v>7.5</v>
      </c>
      <c r="N268" s="2" t="s">
        <v>24</v>
      </c>
      <c r="O268" s="4" t="n">
        <f aca="false">VLOOKUP(F268,DIM_SERVICO!$A$2:$D$151,4,FALSE())</f>
        <v>176.18</v>
      </c>
      <c r="P268" s="4" t="n">
        <f aca="false">VLOOKUP(E268,DIM_PECA!$A$2:$F$501,6,FALSE())</f>
        <v>103.27</v>
      </c>
      <c r="Q268" s="4" t="n">
        <f aca="false">VLOOKUP(E268,DIM_PECA!$A$2:$F$501,5,FALSE())</f>
        <v>75.11</v>
      </c>
      <c r="R268" s="4" t="n">
        <f aca="false">H268*P268</f>
        <v>309.81</v>
      </c>
      <c r="S268" s="4" t="n">
        <f aca="false">O268*M268</f>
        <v>1321.35</v>
      </c>
      <c r="T268" s="4" t="n">
        <f aca="false">R268+S268</f>
        <v>1631.16</v>
      </c>
      <c r="U268" s="4" t="n">
        <f aca="false">T268-K268</f>
        <v>1145.17</v>
      </c>
      <c r="V268" s="4" t="n">
        <f aca="false">R268+S268-U268</f>
        <v>485.99</v>
      </c>
      <c r="W268" s="5" t="str">
        <f aca="false">IF(ROUND(V268-K268,2)=0,"OK","ERRO")</f>
        <v>OK</v>
      </c>
      <c r="X268" s="5" t="str">
        <f aca="false">VLOOKUP(F268,DIM_SERVICO!$A$2:$D$151,3,FALSE())</f>
        <v>Motor</v>
      </c>
    </row>
    <row r="269" customFormat="false" ht="15" hidden="false" customHeight="false" outlineLevel="0" collapsed="false">
      <c r="A269" s="6" t="n">
        <v>268</v>
      </c>
      <c r="B269" s="6" t="n">
        <v>196</v>
      </c>
      <c r="C269" s="6" t="n">
        <v>1125</v>
      </c>
      <c r="D269" s="6" t="n">
        <v>17</v>
      </c>
      <c r="E269" s="6" t="n">
        <v>263</v>
      </c>
      <c r="F269" s="6" t="n">
        <v>97</v>
      </c>
      <c r="G269" s="6" t="n">
        <v>653</v>
      </c>
      <c r="H269" s="6" t="n">
        <v>3</v>
      </c>
      <c r="I269" s="7" t="n">
        <v>357.9</v>
      </c>
      <c r="J269" s="7" t="n">
        <v>1095.32</v>
      </c>
      <c r="K269" s="7" t="n">
        <v>1639.4</v>
      </c>
      <c r="L269" s="7" t="n">
        <v>871.82</v>
      </c>
      <c r="M269" s="6" t="n">
        <v>5.3</v>
      </c>
      <c r="N269" s="6" t="s">
        <v>25</v>
      </c>
      <c r="O269" s="8" t="n">
        <f aca="false">VLOOKUP(F269,DIM_SERVICO!$A$2:$D$151,4,FALSE())</f>
        <v>1095.32</v>
      </c>
      <c r="P269" s="8" t="n">
        <f aca="false">VLOOKUP(E269,DIM_PECA!$A$2:$F$501,6,FALSE())</f>
        <v>242.08</v>
      </c>
      <c r="Q269" s="8" t="n">
        <f aca="false">VLOOKUP(E269,DIM_PECA!$A$2:$F$501,5,FALSE())</f>
        <v>119.3</v>
      </c>
      <c r="R269" s="8" t="n">
        <f aca="false">H269*P269</f>
        <v>726.24</v>
      </c>
      <c r="S269" s="8" t="n">
        <f aca="false">O269*M269</f>
        <v>5805.196</v>
      </c>
      <c r="T269" s="8" t="n">
        <f aca="false">R269+S269</f>
        <v>6531.436</v>
      </c>
      <c r="U269" s="8" t="n">
        <f aca="false">T269-K269</f>
        <v>4892.036</v>
      </c>
      <c r="V269" s="8" t="n">
        <f aca="false">R269+S269-U269</f>
        <v>1639.4</v>
      </c>
      <c r="W269" s="9" t="str">
        <f aca="false">IF(ROUND(V269-K269,2)=0,"OK","ERRO")</f>
        <v>OK</v>
      </c>
      <c r="X269" s="9" t="str">
        <f aca="false">VLOOKUP(F269,DIM_SERVICO!$A$2:$D$151,3,FALSE())</f>
        <v>Pintura</v>
      </c>
    </row>
    <row r="270" customFormat="false" ht="15" hidden="false" customHeight="false" outlineLevel="0" collapsed="false">
      <c r="A270" s="2" t="n">
        <v>269</v>
      </c>
      <c r="B270" s="2" t="n">
        <v>339</v>
      </c>
      <c r="C270" s="2" t="n">
        <v>209</v>
      </c>
      <c r="D270" s="2" t="n">
        <v>1100</v>
      </c>
      <c r="E270" s="2" t="n">
        <v>423</v>
      </c>
      <c r="F270" s="2" t="n">
        <v>119</v>
      </c>
      <c r="G270" s="2" t="n">
        <v>7</v>
      </c>
      <c r="H270" s="2" t="n">
        <v>4</v>
      </c>
      <c r="I270" s="3" t="n">
        <v>281.08</v>
      </c>
      <c r="J270" s="3" t="n">
        <v>92.23</v>
      </c>
      <c r="K270" s="3" t="n">
        <v>482.75</v>
      </c>
      <c r="L270" s="3" t="n">
        <v>156.01</v>
      </c>
      <c r="M270" s="2" t="n">
        <v>2.9</v>
      </c>
      <c r="N270" s="2" t="s">
        <v>25</v>
      </c>
      <c r="O270" s="4" t="n">
        <f aca="false">VLOOKUP(F270,DIM_SERVICO!$A$2:$D$151,4,FALSE())</f>
        <v>92.23</v>
      </c>
      <c r="P270" s="4" t="n">
        <f aca="false">VLOOKUP(E270,DIM_PECA!$A$2:$F$501,6,FALSE())</f>
        <v>111.04</v>
      </c>
      <c r="Q270" s="4" t="n">
        <f aca="false">VLOOKUP(E270,DIM_PECA!$A$2:$F$501,5,FALSE())</f>
        <v>70.27</v>
      </c>
      <c r="R270" s="4" t="n">
        <f aca="false">H270*P270</f>
        <v>444.16</v>
      </c>
      <c r="S270" s="4" t="n">
        <f aca="false">O270*M270</f>
        <v>267.467</v>
      </c>
      <c r="T270" s="4" t="n">
        <f aca="false">R270+S270</f>
        <v>711.627</v>
      </c>
      <c r="U270" s="4" t="n">
        <f aca="false">T270-K270</f>
        <v>228.877</v>
      </c>
      <c r="V270" s="4" t="n">
        <f aca="false">R270+S270-U270</f>
        <v>482.75</v>
      </c>
      <c r="W270" s="5" t="str">
        <f aca="false">IF(ROUND(V270-K270,2)=0,"OK","ERRO")</f>
        <v>OK</v>
      </c>
      <c r="X270" s="5" t="str">
        <f aca="false">VLOOKUP(F270,DIM_SERVICO!$A$2:$D$151,3,FALSE())</f>
        <v>Motor</v>
      </c>
    </row>
    <row r="271" customFormat="false" ht="15" hidden="false" customHeight="false" outlineLevel="0" collapsed="false">
      <c r="A271" s="6" t="n">
        <v>270</v>
      </c>
      <c r="B271" s="6" t="n">
        <v>1017</v>
      </c>
      <c r="C271" s="6" t="n">
        <v>424</v>
      </c>
      <c r="D271" s="6" t="n">
        <v>143</v>
      </c>
      <c r="E271" s="6" t="n">
        <v>121</v>
      </c>
      <c r="F271" s="6" t="n">
        <v>33</v>
      </c>
      <c r="G271" s="6" t="n">
        <v>1275</v>
      </c>
      <c r="H271" s="6" t="n">
        <v>3</v>
      </c>
      <c r="I271" s="7" t="n">
        <v>3386.37</v>
      </c>
      <c r="J271" s="7" t="n">
        <v>538.49</v>
      </c>
      <c r="K271" s="7" t="n">
        <v>5383.1</v>
      </c>
      <c r="L271" s="7" t="n">
        <v>1790.33</v>
      </c>
      <c r="M271" s="6" t="n">
        <v>9.6</v>
      </c>
      <c r="N271" s="6" t="s">
        <v>24</v>
      </c>
      <c r="O271" s="8" t="n">
        <f aca="false">VLOOKUP(F271,DIM_SERVICO!$A$2:$D$151,4,FALSE())</f>
        <v>538.49</v>
      </c>
      <c r="P271" s="8" t="n">
        <f aca="false">VLOOKUP(E271,DIM_PECA!$A$2:$F$501,6,FALSE())</f>
        <v>1614.87</v>
      </c>
      <c r="Q271" s="8" t="n">
        <f aca="false">VLOOKUP(E271,DIM_PECA!$A$2:$F$501,5,FALSE())</f>
        <v>1128.79</v>
      </c>
      <c r="R271" s="8" t="n">
        <f aca="false">H271*P271</f>
        <v>4844.61</v>
      </c>
      <c r="S271" s="8" t="n">
        <f aca="false">O271*M271</f>
        <v>5169.504</v>
      </c>
      <c r="T271" s="8" t="n">
        <f aca="false">R271+S271</f>
        <v>10014.114</v>
      </c>
      <c r="U271" s="8" t="n">
        <f aca="false">T271-K271</f>
        <v>4631.014</v>
      </c>
      <c r="V271" s="8" t="n">
        <f aca="false">R271+S271-U271</f>
        <v>5383.1</v>
      </c>
      <c r="W271" s="9" t="str">
        <f aca="false">IF(ROUND(V271-K271,2)=0,"OK","ERRO")</f>
        <v>OK</v>
      </c>
      <c r="X271" s="9" t="str">
        <f aca="false">VLOOKUP(F271,DIM_SERVICO!$A$2:$D$151,3,FALSE())</f>
        <v>Suspensão</v>
      </c>
    </row>
    <row r="272" customFormat="false" ht="15" hidden="false" customHeight="false" outlineLevel="0" collapsed="false">
      <c r="A272" s="2" t="n">
        <v>271</v>
      </c>
      <c r="B272" s="2" t="n">
        <v>283</v>
      </c>
      <c r="C272" s="2" t="n">
        <v>1205</v>
      </c>
      <c r="D272" s="2" t="n">
        <v>525</v>
      </c>
      <c r="E272" s="2" t="n">
        <v>93</v>
      </c>
      <c r="F272" s="2" t="n">
        <v>92</v>
      </c>
      <c r="G272" s="2" t="n">
        <v>88</v>
      </c>
      <c r="H272" s="2" t="n">
        <v>1</v>
      </c>
      <c r="I272" s="3" t="n">
        <v>833.87</v>
      </c>
      <c r="J272" s="3" t="n">
        <v>1754.32</v>
      </c>
      <c r="K272" s="3" t="n">
        <v>2970.53</v>
      </c>
      <c r="L272" s="3" t="n">
        <v>1391.61</v>
      </c>
      <c r="M272" s="2" t="n">
        <v>4.7</v>
      </c>
      <c r="N272" s="2" t="s">
        <v>24</v>
      </c>
      <c r="O272" s="4" t="n">
        <f aca="false">VLOOKUP(F272,DIM_SERVICO!$A$2:$D$151,4,FALSE())</f>
        <v>1754.32</v>
      </c>
      <c r="P272" s="4" t="n">
        <f aca="false">VLOOKUP(E272,DIM_PECA!$A$2:$F$501,6,FALSE())</f>
        <v>1276.83</v>
      </c>
      <c r="Q272" s="4" t="n">
        <f aca="false">VLOOKUP(E272,DIM_PECA!$A$2:$F$501,5,FALSE())</f>
        <v>833.87</v>
      </c>
      <c r="R272" s="4" t="n">
        <f aca="false">H272*P272</f>
        <v>1276.83</v>
      </c>
      <c r="S272" s="4" t="n">
        <f aca="false">O272*M272</f>
        <v>8245.304</v>
      </c>
      <c r="T272" s="4" t="n">
        <f aca="false">R272+S272</f>
        <v>9522.134</v>
      </c>
      <c r="U272" s="4" t="n">
        <f aca="false">T272-K272</f>
        <v>6551.604</v>
      </c>
      <c r="V272" s="4" t="n">
        <f aca="false">R272+S272-U272</f>
        <v>2970.53</v>
      </c>
      <c r="W272" s="5" t="str">
        <f aca="false">IF(ROUND(V272-K272,2)=0,"OK","ERRO")</f>
        <v>OK</v>
      </c>
      <c r="X272" s="5" t="str">
        <f aca="false">VLOOKUP(F272,DIM_SERVICO!$A$2:$D$151,3,FALSE())</f>
        <v>Revisão</v>
      </c>
    </row>
    <row r="273" customFormat="false" ht="15" hidden="false" customHeight="false" outlineLevel="0" collapsed="false">
      <c r="A273" s="6" t="n">
        <v>272</v>
      </c>
      <c r="B273" s="6" t="n">
        <v>1394</v>
      </c>
      <c r="C273" s="6" t="n">
        <v>973</v>
      </c>
      <c r="D273" s="6" t="n">
        <v>544</v>
      </c>
      <c r="E273" s="6" t="n">
        <v>267</v>
      </c>
      <c r="F273" s="6" t="n">
        <v>97</v>
      </c>
      <c r="G273" s="6" t="n">
        <v>435</v>
      </c>
      <c r="H273" s="6" t="n">
        <v>2</v>
      </c>
      <c r="I273" s="7" t="n">
        <v>1803.16</v>
      </c>
      <c r="J273" s="7" t="n">
        <v>1095.32</v>
      </c>
      <c r="K273" s="7" t="n">
        <v>3825.76</v>
      </c>
      <c r="L273" s="7" t="n">
        <v>1623.63</v>
      </c>
      <c r="M273" s="6" t="n">
        <v>8.4</v>
      </c>
      <c r="N273" s="6" t="s">
        <v>24</v>
      </c>
      <c r="O273" s="8" t="n">
        <f aca="false">VLOOKUP(F273,DIM_SERVICO!$A$2:$D$151,4,FALSE())</f>
        <v>1095.32</v>
      </c>
      <c r="P273" s="8" t="n">
        <f aca="false">VLOOKUP(E273,DIM_PECA!$A$2:$F$501,6,FALSE())</f>
        <v>1465.9</v>
      </c>
      <c r="Q273" s="8" t="n">
        <f aca="false">VLOOKUP(E273,DIM_PECA!$A$2:$F$501,5,FALSE())</f>
        <v>901.58</v>
      </c>
      <c r="R273" s="8" t="n">
        <f aca="false">H273*P273</f>
        <v>2931.8</v>
      </c>
      <c r="S273" s="8" t="n">
        <f aca="false">O273*M273</f>
        <v>9200.688</v>
      </c>
      <c r="T273" s="8" t="n">
        <f aca="false">R273+S273</f>
        <v>12132.488</v>
      </c>
      <c r="U273" s="8" t="n">
        <f aca="false">T273-K273</f>
        <v>8306.728</v>
      </c>
      <c r="V273" s="8" t="n">
        <f aca="false">R273+S273-U273</f>
        <v>3825.76</v>
      </c>
      <c r="W273" s="9" t="str">
        <f aca="false">IF(ROUND(V273-K273,2)=0,"OK","ERRO")</f>
        <v>OK</v>
      </c>
      <c r="X273" s="9" t="str">
        <f aca="false">VLOOKUP(F273,DIM_SERVICO!$A$2:$D$151,3,FALSE())</f>
        <v>Pintura</v>
      </c>
    </row>
    <row r="274" customFormat="false" ht="15" hidden="false" customHeight="false" outlineLevel="0" collapsed="false">
      <c r="A274" s="2" t="n">
        <v>273</v>
      </c>
      <c r="B274" s="2" t="n">
        <v>511</v>
      </c>
      <c r="C274" s="2" t="n">
        <v>1365</v>
      </c>
      <c r="D274" s="2" t="n">
        <v>890</v>
      </c>
      <c r="E274" s="2" t="n">
        <v>343</v>
      </c>
      <c r="F274" s="2" t="n">
        <v>1</v>
      </c>
      <c r="G274" s="2" t="n">
        <v>1607</v>
      </c>
      <c r="H274" s="2" t="n">
        <v>3</v>
      </c>
      <c r="I274" s="3" t="n">
        <v>1285.26</v>
      </c>
      <c r="J274" s="3" t="n">
        <v>412.84</v>
      </c>
      <c r="K274" s="3" t="n">
        <v>3151.28</v>
      </c>
      <c r="L274" s="3" t="n">
        <v>1716.63</v>
      </c>
      <c r="M274" s="2" t="n">
        <v>11.9</v>
      </c>
      <c r="N274" s="2" t="s">
        <v>24</v>
      </c>
      <c r="O274" s="4" t="n">
        <f aca="false">VLOOKUP(F274,DIM_SERVICO!$A$2:$D$151,4,FALSE())</f>
        <v>412.84</v>
      </c>
      <c r="P274" s="4" t="n">
        <f aca="false">VLOOKUP(E274,DIM_PECA!$A$2:$F$501,6,FALSE())</f>
        <v>934.25</v>
      </c>
      <c r="Q274" s="4" t="n">
        <f aca="false">VLOOKUP(E274,DIM_PECA!$A$2:$F$501,5,FALSE())</f>
        <v>428.42</v>
      </c>
      <c r="R274" s="4" t="n">
        <f aca="false">H274*P274</f>
        <v>2802.75</v>
      </c>
      <c r="S274" s="4" t="n">
        <f aca="false">O274*M274</f>
        <v>4912.796</v>
      </c>
      <c r="T274" s="4" t="n">
        <f aca="false">R274+S274</f>
        <v>7715.546</v>
      </c>
      <c r="U274" s="4" t="n">
        <f aca="false">T274-K274</f>
        <v>4564.266</v>
      </c>
      <c r="V274" s="4" t="n">
        <f aca="false">R274+S274-U274</f>
        <v>3151.28</v>
      </c>
      <c r="W274" s="5" t="str">
        <f aca="false">IF(ROUND(V274-K274,2)=0,"OK","ERRO")</f>
        <v>OK</v>
      </c>
      <c r="X274" s="5" t="str">
        <f aca="false">VLOOKUP(F274,DIM_SERVICO!$A$2:$D$151,3,FALSE())</f>
        <v>Elétrica</v>
      </c>
    </row>
    <row r="275" customFormat="false" ht="15" hidden="false" customHeight="false" outlineLevel="0" collapsed="false">
      <c r="A275" s="6" t="n">
        <v>274</v>
      </c>
      <c r="B275" s="6" t="n">
        <v>1239</v>
      </c>
      <c r="C275" s="6" t="n">
        <v>981</v>
      </c>
      <c r="D275" s="6" t="n">
        <v>391</v>
      </c>
      <c r="E275" s="6" t="n">
        <v>268</v>
      </c>
      <c r="F275" s="6" t="n">
        <v>73</v>
      </c>
      <c r="G275" s="6" t="n">
        <v>238</v>
      </c>
      <c r="H275" s="6" t="n">
        <v>1</v>
      </c>
      <c r="I275" s="7" t="n">
        <v>865.34</v>
      </c>
      <c r="J275" s="7" t="n">
        <v>2131.99</v>
      </c>
      <c r="K275" s="7" t="n">
        <v>3321.17</v>
      </c>
      <c r="L275" s="7" t="n">
        <v>1537.06</v>
      </c>
      <c r="M275" s="6" t="n">
        <v>0.8</v>
      </c>
      <c r="N275" s="6" t="s">
        <v>26</v>
      </c>
      <c r="O275" s="8" t="n">
        <f aca="false">VLOOKUP(F275,DIM_SERVICO!$A$2:$D$151,4,FALSE())</f>
        <v>2131.99</v>
      </c>
      <c r="P275" s="8" t="n">
        <f aca="false">VLOOKUP(E275,DIM_PECA!$A$2:$F$501,6,FALSE())</f>
        <v>1363.98</v>
      </c>
      <c r="Q275" s="8" t="n">
        <f aca="false">VLOOKUP(E275,DIM_PECA!$A$2:$F$501,5,FALSE())</f>
        <v>865.34</v>
      </c>
      <c r="R275" s="8" t="n">
        <f aca="false">H275*P275</f>
        <v>1363.98</v>
      </c>
      <c r="S275" s="8" t="n">
        <f aca="false">O275*M275</f>
        <v>1705.592</v>
      </c>
      <c r="T275" s="8" t="n">
        <f aca="false">R275+S275</f>
        <v>3069.572</v>
      </c>
      <c r="U275" s="8" t="n">
        <f aca="false">T275-K275</f>
        <v>-251.598</v>
      </c>
      <c r="V275" s="8" t="n">
        <f aca="false">R275+S275-U275</f>
        <v>3321.17</v>
      </c>
      <c r="W275" s="9" t="str">
        <f aca="false">IF(ROUND(V275-K275,2)=0,"OK","ERRO")</f>
        <v>OK</v>
      </c>
      <c r="X275" s="9" t="str">
        <f aca="false">VLOOKUP(F275,DIM_SERVICO!$A$2:$D$151,3,FALSE())</f>
        <v>Suspensão</v>
      </c>
    </row>
    <row r="276" customFormat="false" ht="15" hidden="false" customHeight="false" outlineLevel="0" collapsed="false">
      <c r="A276" s="2" t="n">
        <v>275</v>
      </c>
      <c r="B276" s="2" t="n">
        <v>103</v>
      </c>
      <c r="C276" s="2" t="n">
        <v>884</v>
      </c>
      <c r="D276" s="2" t="n">
        <v>701</v>
      </c>
      <c r="E276" s="2" t="n">
        <v>424</v>
      </c>
      <c r="F276" s="2" t="n">
        <v>30</v>
      </c>
      <c r="G276" s="2" t="n">
        <v>836</v>
      </c>
      <c r="H276" s="2" t="n">
        <v>1</v>
      </c>
      <c r="I276" s="3" t="n">
        <v>1084.24</v>
      </c>
      <c r="J276" s="3" t="n">
        <v>986.98</v>
      </c>
      <c r="K276" s="3" t="n">
        <v>3022.94</v>
      </c>
      <c r="L276" s="3" t="n">
        <v>1525.58</v>
      </c>
      <c r="M276" s="2" t="n">
        <v>5.6</v>
      </c>
      <c r="N276" s="2" t="s">
        <v>24</v>
      </c>
      <c r="O276" s="4" t="n">
        <f aca="false">VLOOKUP(F276,DIM_SERVICO!$A$2:$D$151,4,FALSE())</f>
        <v>986.98</v>
      </c>
      <c r="P276" s="4" t="n">
        <f aca="false">VLOOKUP(E276,DIM_PECA!$A$2:$F$501,6,FALSE())</f>
        <v>2298.82</v>
      </c>
      <c r="Q276" s="4" t="n">
        <f aca="false">VLOOKUP(E276,DIM_PECA!$A$2:$F$501,5,FALSE())</f>
        <v>1084.24</v>
      </c>
      <c r="R276" s="4" t="n">
        <f aca="false">H276*P276</f>
        <v>2298.82</v>
      </c>
      <c r="S276" s="4" t="n">
        <f aca="false">O276*M276</f>
        <v>5527.088</v>
      </c>
      <c r="T276" s="4" t="n">
        <f aca="false">R276+S276</f>
        <v>7825.908</v>
      </c>
      <c r="U276" s="4" t="n">
        <f aca="false">T276-K276</f>
        <v>4802.968</v>
      </c>
      <c r="V276" s="4" t="n">
        <f aca="false">R276+S276-U276</f>
        <v>3022.94</v>
      </c>
      <c r="W276" s="5" t="str">
        <f aca="false">IF(ROUND(V276-K276,2)=0,"OK","ERRO")</f>
        <v>OK</v>
      </c>
      <c r="X276" s="5" t="str">
        <f aca="false">VLOOKUP(F276,DIM_SERVICO!$A$2:$D$151,3,FALSE())</f>
        <v>Freios</v>
      </c>
    </row>
    <row r="277" customFormat="false" ht="15" hidden="false" customHeight="false" outlineLevel="0" collapsed="false">
      <c r="A277" s="6" t="n">
        <v>276</v>
      </c>
      <c r="B277" s="6" t="n">
        <v>1183</v>
      </c>
      <c r="C277" s="6" t="n">
        <v>832</v>
      </c>
      <c r="D277" s="6" t="n">
        <v>45</v>
      </c>
      <c r="E277" s="6" t="n">
        <v>412</v>
      </c>
      <c r="F277" s="6" t="n">
        <v>43</v>
      </c>
      <c r="G277" s="6" t="n">
        <v>601</v>
      </c>
      <c r="H277" s="6" t="n">
        <v>3</v>
      </c>
      <c r="I277" s="7" t="n">
        <v>1016.82</v>
      </c>
      <c r="J277" s="7" t="n">
        <v>1163.17</v>
      </c>
      <c r="K277" s="7" t="n">
        <v>2475.7</v>
      </c>
      <c r="L277" s="7" t="n">
        <v>964.64</v>
      </c>
      <c r="M277" s="6" t="n">
        <v>5.8</v>
      </c>
      <c r="N277" s="6" t="s">
        <v>25</v>
      </c>
      <c r="O277" s="8" t="n">
        <f aca="false">VLOOKUP(F277,DIM_SERVICO!$A$2:$D$151,4,FALSE())</f>
        <v>1163.17</v>
      </c>
      <c r="P277" s="8" t="n">
        <f aca="false">VLOOKUP(E277,DIM_PECA!$A$2:$F$501,6,FALSE())</f>
        <v>509.27</v>
      </c>
      <c r="Q277" s="8" t="n">
        <f aca="false">VLOOKUP(E277,DIM_PECA!$A$2:$F$501,5,FALSE())</f>
        <v>338.94</v>
      </c>
      <c r="R277" s="8" t="n">
        <f aca="false">H277*P277</f>
        <v>1527.81</v>
      </c>
      <c r="S277" s="8" t="n">
        <f aca="false">O277*M277</f>
        <v>6746.386</v>
      </c>
      <c r="T277" s="8" t="n">
        <f aca="false">R277+S277</f>
        <v>8274.196</v>
      </c>
      <c r="U277" s="8" t="n">
        <f aca="false">T277-K277</f>
        <v>5798.496</v>
      </c>
      <c r="V277" s="8" t="n">
        <f aca="false">R277+S277-U277</f>
        <v>2475.7</v>
      </c>
      <c r="W277" s="9" t="str">
        <f aca="false">IF(ROUND(V277-K277,2)=0,"OK","ERRO")</f>
        <v>OK</v>
      </c>
      <c r="X277" s="9" t="str">
        <f aca="false">VLOOKUP(F277,DIM_SERVICO!$A$2:$D$151,3,FALSE())</f>
        <v>Diagnóstico</v>
      </c>
    </row>
    <row r="278" customFormat="false" ht="15" hidden="false" customHeight="false" outlineLevel="0" collapsed="false">
      <c r="A278" s="2" t="n">
        <v>277</v>
      </c>
      <c r="B278" s="2" t="n">
        <v>1168</v>
      </c>
      <c r="C278" s="2" t="n">
        <v>1209</v>
      </c>
      <c r="D278" s="2" t="n">
        <v>160</v>
      </c>
      <c r="E278" s="2" t="n">
        <v>262</v>
      </c>
      <c r="F278" s="2" t="n">
        <v>22</v>
      </c>
      <c r="G278" s="2" t="n">
        <v>601</v>
      </c>
      <c r="H278" s="2" t="n">
        <v>2</v>
      </c>
      <c r="I278" s="3" t="n">
        <v>468.98</v>
      </c>
      <c r="J278" s="3" t="n">
        <v>1591.95</v>
      </c>
      <c r="K278" s="3" t="n">
        <v>2581.75</v>
      </c>
      <c r="L278" s="3" t="n">
        <v>1313.88</v>
      </c>
      <c r="M278" s="2" t="n">
        <v>5</v>
      </c>
      <c r="N278" s="2" t="s">
        <v>26</v>
      </c>
      <c r="O278" s="4" t="n">
        <f aca="false">VLOOKUP(F278,DIM_SERVICO!$A$2:$D$151,4,FALSE())</f>
        <v>1591.95</v>
      </c>
      <c r="P278" s="4" t="n">
        <f aca="false">VLOOKUP(E278,DIM_PECA!$A$2:$F$501,6,FALSE())</f>
        <v>494.9</v>
      </c>
      <c r="Q278" s="4" t="n">
        <f aca="false">VLOOKUP(E278,DIM_PECA!$A$2:$F$501,5,FALSE())</f>
        <v>234.49</v>
      </c>
      <c r="R278" s="4" t="n">
        <f aca="false">H278*P278</f>
        <v>989.8</v>
      </c>
      <c r="S278" s="4" t="n">
        <f aca="false">O278*M278</f>
        <v>7959.75</v>
      </c>
      <c r="T278" s="4" t="n">
        <f aca="false">R278+S278</f>
        <v>8949.55</v>
      </c>
      <c r="U278" s="4" t="n">
        <f aca="false">T278-K278</f>
        <v>6367.8</v>
      </c>
      <c r="V278" s="4" t="n">
        <f aca="false">R278+S278-U278</f>
        <v>2581.75</v>
      </c>
      <c r="W278" s="5" t="str">
        <f aca="false">IF(ROUND(V278-K278,2)=0,"OK","ERRO")</f>
        <v>OK</v>
      </c>
      <c r="X278" s="5" t="str">
        <f aca="false">VLOOKUP(F278,DIM_SERVICO!$A$2:$D$151,3,FALSE())</f>
        <v>Motor</v>
      </c>
    </row>
    <row r="279" customFormat="false" ht="15" hidden="false" customHeight="false" outlineLevel="0" collapsed="false">
      <c r="A279" s="6" t="n">
        <v>278</v>
      </c>
      <c r="B279" s="6" t="n">
        <v>661</v>
      </c>
      <c r="C279" s="6" t="n">
        <v>1270</v>
      </c>
      <c r="D279" s="6" t="n">
        <v>822</v>
      </c>
      <c r="E279" s="6" t="n">
        <v>169</v>
      </c>
      <c r="F279" s="6" t="n">
        <v>118</v>
      </c>
      <c r="G279" s="6" t="n">
        <v>681</v>
      </c>
      <c r="H279" s="6" t="n">
        <v>3</v>
      </c>
      <c r="I279" s="7" t="n">
        <v>2945.01</v>
      </c>
      <c r="J279" s="7" t="n">
        <v>114.25</v>
      </c>
      <c r="K279" s="7" t="n">
        <v>5943.94</v>
      </c>
      <c r="L279" s="7" t="n">
        <v>2949.96</v>
      </c>
      <c r="M279" s="6" t="n">
        <v>4.9</v>
      </c>
      <c r="N279" s="6" t="s">
        <v>24</v>
      </c>
      <c r="O279" s="8" t="n">
        <f aca="false">VLOOKUP(F279,DIM_SERVICO!$A$2:$D$151,4,FALSE())</f>
        <v>114.25</v>
      </c>
      <c r="P279" s="8" t="n">
        <f aca="false">VLOOKUP(E279,DIM_PECA!$A$2:$F$501,6,FALSE())</f>
        <v>1943.23</v>
      </c>
      <c r="Q279" s="8" t="n">
        <f aca="false">VLOOKUP(E279,DIM_PECA!$A$2:$F$501,5,FALSE())</f>
        <v>981.67</v>
      </c>
      <c r="R279" s="8" t="n">
        <f aca="false">H279*P279</f>
        <v>5829.69</v>
      </c>
      <c r="S279" s="8" t="n">
        <f aca="false">O279*M279</f>
        <v>559.825</v>
      </c>
      <c r="T279" s="8" t="n">
        <f aca="false">R279+S279</f>
        <v>6389.515</v>
      </c>
      <c r="U279" s="8" t="n">
        <f aca="false">T279-K279</f>
        <v>445.575000000001</v>
      </c>
      <c r="V279" s="8" t="n">
        <f aca="false">R279+S279-U279</f>
        <v>5943.94</v>
      </c>
      <c r="W279" s="9" t="str">
        <f aca="false">IF(ROUND(V279-K279,2)=0,"OK","ERRO")</f>
        <v>OK</v>
      </c>
      <c r="X279" s="9" t="str">
        <f aca="false">VLOOKUP(F279,DIM_SERVICO!$A$2:$D$151,3,FALSE())</f>
        <v>Elétrica</v>
      </c>
    </row>
    <row r="280" customFormat="false" ht="15" hidden="false" customHeight="false" outlineLevel="0" collapsed="false">
      <c r="A280" s="2" t="n">
        <v>279</v>
      </c>
      <c r="B280" s="2" t="n">
        <v>56</v>
      </c>
      <c r="C280" s="2" t="n">
        <v>391</v>
      </c>
      <c r="D280" s="2" t="n">
        <v>479</v>
      </c>
      <c r="E280" s="2" t="n">
        <v>397</v>
      </c>
      <c r="F280" s="2" t="n">
        <v>47</v>
      </c>
      <c r="G280" s="2" t="n">
        <v>856</v>
      </c>
      <c r="H280" s="2" t="n">
        <v>1</v>
      </c>
      <c r="I280" s="3" t="n">
        <v>106.65</v>
      </c>
      <c r="J280" s="3" t="n">
        <v>399.81</v>
      </c>
      <c r="K280" s="3" t="n">
        <v>591.31</v>
      </c>
      <c r="L280" s="3" t="n">
        <v>329.19</v>
      </c>
      <c r="M280" s="2" t="n">
        <v>6.5</v>
      </c>
      <c r="N280" s="2" t="s">
        <v>26</v>
      </c>
      <c r="O280" s="4" t="n">
        <f aca="false">VLOOKUP(F280,DIM_SERVICO!$A$2:$D$151,4,FALSE())</f>
        <v>399.81</v>
      </c>
      <c r="P280" s="4" t="n">
        <f aca="false">VLOOKUP(E280,DIM_PECA!$A$2:$F$501,6,FALSE())</f>
        <v>191.5</v>
      </c>
      <c r="Q280" s="4" t="n">
        <f aca="false">VLOOKUP(E280,DIM_PECA!$A$2:$F$501,5,FALSE())</f>
        <v>106.65</v>
      </c>
      <c r="R280" s="4" t="n">
        <f aca="false">H280*P280</f>
        <v>191.5</v>
      </c>
      <c r="S280" s="4" t="n">
        <f aca="false">O280*M280</f>
        <v>2598.765</v>
      </c>
      <c r="T280" s="4" t="n">
        <f aca="false">R280+S280</f>
        <v>2790.265</v>
      </c>
      <c r="U280" s="4" t="n">
        <f aca="false">T280-K280</f>
        <v>2198.955</v>
      </c>
      <c r="V280" s="4" t="n">
        <f aca="false">R280+S280-U280</f>
        <v>591.31</v>
      </c>
      <c r="W280" s="5" t="str">
        <f aca="false">IF(ROUND(V280-K280,2)=0,"OK","ERRO")</f>
        <v>OK</v>
      </c>
      <c r="X280" s="5" t="str">
        <f aca="false">VLOOKUP(F280,DIM_SERVICO!$A$2:$D$151,3,FALSE())</f>
        <v>Funilaria</v>
      </c>
    </row>
    <row r="281" customFormat="false" ht="15" hidden="false" customHeight="false" outlineLevel="0" collapsed="false">
      <c r="A281" s="6" t="n">
        <v>280</v>
      </c>
      <c r="B281" s="6" t="n">
        <v>379</v>
      </c>
      <c r="C281" s="6" t="n">
        <v>323</v>
      </c>
      <c r="D281" s="6" t="n">
        <v>1124</v>
      </c>
      <c r="E281" s="6" t="n">
        <v>159</v>
      </c>
      <c r="F281" s="6" t="n">
        <v>112</v>
      </c>
      <c r="G281" s="6" t="n">
        <v>1206</v>
      </c>
      <c r="H281" s="6" t="n">
        <v>4</v>
      </c>
      <c r="I281" s="7" t="n">
        <v>4585.16</v>
      </c>
      <c r="J281" s="7" t="n">
        <v>899.56</v>
      </c>
      <c r="K281" s="7" t="n">
        <v>10126.61</v>
      </c>
      <c r="L281" s="7" t="n">
        <v>5096</v>
      </c>
      <c r="M281" s="6" t="n">
        <v>8.6</v>
      </c>
      <c r="N281" s="6" t="s">
        <v>25</v>
      </c>
      <c r="O281" s="8" t="n">
        <f aca="false">VLOOKUP(F281,DIM_SERVICO!$A$2:$D$151,4,FALSE())</f>
        <v>899.56</v>
      </c>
      <c r="P281" s="8" t="n">
        <f aca="false">VLOOKUP(E281,DIM_PECA!$A$2:$F$501,6,FALSE())</f>
        <v>2358.43</v>
      </c>
      <c r="Q281" s="8" t="n">
        <f aca="false">VLOOKUP(E281,DIM_PECA!$A$2:$F$501,5,FALSE())</f>
        <v>1146.29</v>
      </c>
      <c r="R281" s="8" t="n">
        <f aca="false">H281*P281</f>
        <v>9433.72</v>
      </c>
      <c r="S281" s="8" t="n">
        <f aca="false">O281*M281</f>
        <v>7736.216</v>
      </c>
      <c r="T281" s="8" t="n">
        <f aca="false">R281+S281</f>
        <v>17169.936</v>
      </c>
      <c r="U281" s="8" t="n">
        <f aca="false">T281-K281</f>
        <v>7043.326</v>
      </c>
      <c r="V281" s="8" t="n">
        <f aca="false">R281+S281-U281</f>
        <v>10126.61</v>
      </c>
      <c r="W281" s="9" t="str">
        <f aca="false">IF(ROUND(V281-K281,2)=0,"OK","ERRO")</f>
        <v>OK</v>
      </c>
      <c r="X281" s="9" t="str">
        <f aca="false">VLOOKUP(F281,DIM_SERVICO!$A$2:$D$151,3,FALSE())</f>
        <v>Elétrica</v>
      </c>
    </row>
    <row r="282" customFormat="false" ht="15" hidden="false" customHeight="false" outlineLevel="0" collapsed="false">
      <c r="A282" s="2" t="n">
        <v>281</v>
      </c>
      <c r="B282" s="2" t="n">
        <v>1177</v>
      </c>
      <c r="C282" s="2" t="n">
        <v>1487</v>
      </c>
      <c r="D282" s="2" t="n">
        <v>207</v>
      </c>
      <c r="E282" s="2" t="n">
        <v>264</v>
      </c>
      <c r="F282" s="2" t="n">
        <v>120</v>
      </c>
      <c r="G282" s="2" t="n">
        <v>1552</v>
      </c>
      <c r="H282" s="2" t="n">
        <v>3</v>
      </c>
      <c r="I282" s="3" t="n">
        <v>1623.18</v>
      </c>
      <c r="J282" s="3" t="n">
        <v>1729.81</v>
      </c>
      <c r="K282" s="3" t="n">
        <v>3891.51</v>
      </c>
      <c r="L282" s="3" t="n">
        <v>1470.55</v>
      </c>
      <c r="M282" s="2" t="n">
        <v>1.7</v>
      </c>
      <c r="N282" s="2" t="s">
        <v>24</v>
      </c>
      <c r="O282" s="4" t="n">
        <f aca="false">VLOOKUP(F282,DIM_SERVICO!$A$2:$D$151,4,FALSE())</f>
        <v>1729.81</v>
      </c>
      <c r="P282" s="4" t="n">
        <f aca="false">VLOOKUP(E282,DIM_PECA!$A$2:$F$501,6,FALSE())</f>
        <v>788.84</v>
      </c>
      <c r="Q282" s="4" t="n">
        <f aca="false">VLOOKUP(E282,DIM_PECA!$A$2:$F$501,5,FALSE())</f>
        <v>541.06</v>
      </c>
      <c r="R282" s="4" t="n">
        <f aca="false">H282*P282</f>
        <v>2366.52</v>
      </c>
      <c r="S282" s="4" t="n">
        <f aca="false">O282*M282</f>
        <v>2940.677</v>
      </c>
      <c r="T282" s="4" t="n">
        <f aca="false">R282+S282</f>
        <v>5307.197</v>
      </c>
      <c r="U282" s="4" t="n">
        <f aca="false">T282-K282</f>
        <v>1415.687</v>
      </c>
      <c r="V282" s="4" t="n">
        <f aca="false">R282+S282-U282</f>
        <v>3891.51</v>
      </c>
      <c r="W282" s="5" t="str">
        <f aca="false">IF(ROUND(V282-K282,2)=0,"OK","ERRO")</f>
        <v>OK</v>
      </c>
      <c r="X282" s="5" t="str">
        <f aca="false">VLOOKUP(F282,DIM_SERVICO!$A$2:$D$151,3,FALSE())</f>
        <v>Suspensão</v>
      </c>
    </row>
    <row r="283" customFormat="false" ht="15" hidden="false" customHeight="false" outlineLevel="0" collapsed="false">
      <c r="A283" s="6" t="n">
        <v>282</v>
      </c>
      <c r="B283" s="6" t="n">
        <v>56</v>
      </c>
      <c r="C283" s="6" t="n">
        <v>1310</v>
      </c>
      <c r="D283" s="6" t="n">
        <v>44</v>
      </c>
      <c r="E283" s="6" t="n">
        <v>99</v>
      </c>
      <c r="F283" s="6" t="n">
        <v>108</v>
      </c>
      <c r="G283" s="6" t="n">
        <v>457</v>
      </c>
      <c r="H283" s="6" t="n">
        <v>3</v>
      </c>
      <c r="I283" s="7" t="n">
        <v>1186.98</v>
      </c>
      <c r="J283" s="7" t="n">
        <v>1178.47</v>
      </c>
      <c r="K283" s="7" t="n">
        <v>3358.51</v>
      </c>
      <c r="L283" s="7" t="n">
        <v>1654.2</v>
      </c>
      <c r="M283" s="6" t="n">
        <v>1.7</v>
      </c>
      <c r="N283" s="6" t="s">
        <v>24</v>
      </c>
      <c r="O283" s="8" t="n">
        <f aca="false">VLOOKUP(F283,DIM_SERVICO!$A$2:$D$151,4,FALSE())</f>
        <v>1178.47</v>
      </c>
      <c r="P283" s="8" t="n">
        <f aca="false">VLOOKUP(E283,DIM_PECA!$A$2:$F$501,6,FALSE())</f>
        <v>785.6</v>
      </c>
      <c r="Q283" s="8" t="n">
        <f aca="false">VLOOKUP(E283,DIM_PECA!$A$2:$F$501,5,FALSE())</f>
        <v>395.66</v>
      </c>
      <c r="R283" s="8" t="n">
        <f aca="false">H283*P283</f>
        <v>2356.8</v>
      </c>
      <c r="S283" s="8" t="n">
        <f aca="false">O283*M283</f>
        <v>2003.399</v>
      </c>
      <c r="T283" s="8" t="n">
        <f aca="false">R283+S283</f>
        <v>4360.199</v>
      </c>
      <c r="U283" s="8" t="n">
        <f aca="false">T283-K283</f>
        <v>1001.689</v>
      </c>
      <c r="V283" s="8" t="n">
        <f aca="false">R283+S283-U283</f>
        <v>3358.51</v>
      </c>
      <c r="W283" s="9" t="str">
        <f aca="false">IF(ROUND(V283-K283,2)=0,"OK","ERRO")</f>
        <v>OK</v>
      </c>
      <c r="X283" s="9" t="str">
        <f aca="false">VLOOKUP(F283,DIM_SERVICO!$A$2:$D$151,3,FALSE())</f>
        <v>Funilaria</v>
      </c>
    </row>
    <row r="284" customFormat="false" ht="15" hidden="false" customHeight="false" outlineLevel="0" collapsed="false">
      <c r="A284" s="2" t="n">
        <v>283</v>
      </c>
      <c r="B284" s="2" t="n">
        <v>1315</v>
      </c>
      <c r="C284" s="2" t="n">
        <v>800</v>
      </c>
      <c r="D284" s="2" t="n">
        <v>212</v>
      </c>
      <c r="E284" s="2" t="n">
        <v>465</v>
      </c>
      <c r="F284" s="2" t="n">
        <v>145</v>
      </c>
      <c r="G284" s="2" t="n">
        <v>1802</v>
      </c>
      <c r="H284" s="2" t="n">
        <v>2</v>
      </c>
      <c r="I284" s="3" t="n">
        <v>1982.42</v>
      </c>
      <c r="J284" s="3" t="n">
        <v>392.14</v>
      </c>
      <c r="K284" s="3" t="n">
        <v>2819.93</v>
      </c>
      <c r="L284" s="3" t="n">
        <v>664.95</v>
      </c>
      <c r="M284" s="2" t="n">
        <v>10.5</v>
      </c>
      <c r="N284" s="2" t="s">
        <v>24</v>
      </c>
      <c r="O284" s="4" t="n">
        <f aca="false">VLOOKUP(F284,DIM_SERVICO!$A$2:$D$151,4,FALSE())</f>
        <v>392.14</v>
      </c>
      <c r="P284" s="4" t="n">
        <f aca="false">VLOOKUP(E284,DIM_PECA!$A$2:$F$501,6,FALSE())</f>
        <v>1370.56</v>
      </c>
      <c r="Q284" s="4" t="n">
        <f aca="false">VLOOKUP(E284,DIM_PECA!$A$2:$F$501,5,FALSE())</f>
        <v>991.21</v>
      </c>
      <c r="R284" s="4" t="n">
        <f aca="false">H284*P284</f>
        <v>2741.12</v>
      </c>
      <c r="S284" s="4" t="n">
        <f aca="false">O284*M284</f>
        <v>4117.47</v>
      </c>
      <c r="T284" s="4" t="n">
        <f aca="false">R284+S284</f>
        <v>6858.59</v>
      </c>
      <c r="U284" s="4" t="n">
        <f aca="false">T284-K284</f>
        <v>4038.66</v>
      </c>
      <c r="V284" s="4" t="n">
        <f aca="false">R284+S284-U284</f>
        <v>2819.93</v>
      </c>
      <c r="W284" s="5" t="str">
        <f aca="false">IF(ROUND(V284-K284,2)=0,"OK","ERRO")</f>
        <v>OK</v>
      </c>
      <c r="X284" s="5" t="str">
        <f aca="false">VLOOKUP(F284,DIM_SERVICO!$A$2:$D$151,3,FALSE())</f>
        <v>Revisão</v>
      </c>
    </row>
    <row r="285" customFormat="false" ht="15" hidden="false" customHeight="false" outlineLevel="0" collapsed="false">
      <c r="A285" s="6" t="n">
        <v>284</v>
      </c>
      <c r="B285" s="6" t="n">
        <v>375</v>
      </c>
      <c r="C285" s="6" t="n">
        <v>324</v>
      </c>
      <c r="D285" s="6" t="n">
        <v>1169</v>
      </c>
      <c r="E285" s="6" t="n">
        <v>381</v>
      </c>
      <c r="F285" s="6" t="n">
        <v>54</v>
      </c>
      <c r="G285" s="6" t="n">
        <v>1801</v>
      </c>
      <c r="H285" s="6" t="n">
        <v>1</v>
      </c>
      <c r="I285" s="7" t="n">
        <v>1084.63</v>
      </c>
      <c r="J285" s="7" t="n">
        <v>952.31</v>
      </c>
      <c r="K285" s="7" t="n">
        <v>2875.3</v>
      </c>
      <c r="L285" s="7" t="n">
        <v>1334.22</v>
      </c>
      <c r="M285" s="6" t="n">
        <v>3.9</v>
      </c>
      <c r="N285" s="6" t="s">
        <v>24</v>
      </c>
      <c r="O285" s="8" t="n">
        <f aca="false">VLOOKUP(F285,DIM_SERVICO!$A$2:$D$151,4,FALSE())</f>
        <v>952.31</v>
      </c>
      <c r="P285" s="8" t="n">
        <f aca="false">VLOOKUP(E285,DIM_PECA!$A$2:$F$501,6,FALSE())</f>
        <v>2074.32</v>
      </c>
      <c r="Q285" s="8" t="n">
        <f aca="false">VLOOKUP(E285,DIM_PECA!$A$2:$F$501,5,FALSE())</f>
        <v>1084.63</v>
      </c>
      <c r="R285" s="8" t="n">
        <f aca="false">H285*P285</f>
        <v>2074.32</v>
      </c>
      <c r="S285" s="8" t="n">
        <f aca="false">O285*M285</f>
        <v>3714.009</v>
      </c>
      <c r="T285" s="8" t="n">
        <f aca="false">R285+S285</f>
        <v>5788.329</v>
      </c>
      <c r="U285" s="8" t="n">
        <f aca="false">T285-K285</f>
        <v>2913.029</v>
      </c>
      <c r="V285" s="8" t="n">
        <f aca="false">R285+S285-U285</f>
        <v>2875.3</v>
      </c>
      <c r="W285" s="9" t="str">
        <f aca="false">IF(ROUND(V285-K285,2)=0,"OK","ERRO")</f>
        <v>OK</v>
      </c>
      <c r="X285" s="9" t="str">
        <f aca="false">VLOOKUP(F285,DIM_SERVICO!$A$2:$D$151,3,FALSE())</f>
        <v>Revisão</v>
      </c>
    </row>
    <row r="286" customFormat="false" ht="15" hidden="false" customHeight="false" outlineLevel="0" collapsed="false">
      <c r="A286" s="2" t="n">
        <v>285</v>
      </c>
      <c r="B286" s="2" t="n">
        <v>1020</v>
      </c>
      <c r="C286" s="2" t="n">
        <v>144</v>
      </c>
      <c r="D286" s="2" t="n">
        <v>299</v>
      </c>
      <c r="E286" s="2" t="n">
        <v>44</v>
      </c>
      <c r="F286" s="2" t="n">
        <v>51</v>
      </c>
      <c r="G286" s="2" t="n">
        <v>563</v>
      </c>
      <c r="H286" s="2" t="n">
        <v>3</v>
      </c>
      <c r="I286" s="3" t="n">
        <v>1622.7</v>
      </c>
      <c r="J286" s="3" t="n">
        <v>876</v>
      </c>
      <c r="K286" s="3" t="n">
        <v>3178.59</v>
      </c>
      <c r="L286" s="3" t="n">
        <v>1103.63</v>
      </c>
      <c r="M286" s="2" t="n">
        <v>7.5</v>
      </c>
      <c r="N286" s="2" t="s">
        <v>25</v>
      </c>
      <c r="O286" s="4" t="n">
        <f aca="false">VLOOKUP(F286,DIM_SERVICO!$A$2:$D$151,4,FALSE())</f>
        <v>876</v>
      </c>
      <c r="P286" s="4" t="n">
        <f aca="false">VLOOKUP(E286,DIM_PECA!$A$2:$F$501,6,FALSE())</f>
        <v>767.53</v>
      </c>
      <c r="Q286" s="4" t="n">
        <f aca="false">VLOOKUP(E286,DIM_PECA!$A$2:$F$501,5,FALSE())</f>
        <v>540.9</v>
      </c>
      <c r="R286" s="4" t="n">
        <f aca="false">H286*P286</f>
        <v>2302.59</v>
      </c>
      <c r="S286" s="4" t="n">
        <f aca="false">O286*M286</f>
        <v>6570</v>
      </c>
      <c r="T286" s="4" t="n">
        <f aca="false">R286+S286</f>
        <v>8872.59</v>
      </c>
      <c r="U286" s="4" t="n">
        <f aca="false">T286-K286</f>
        <v>5694</v>
      </c>
      <c r="V286" s="4" t="n">
        <f aca="false">R286+S286-U286</f>
        <v>3178.59</v>
      </c>
      <c r="W286" s="5" t="str">
        <f aca="false">IF(ROUND(V286-K286,2)=0,"OK","ERRO")</f>
        <v>OK</v>
      </c>
      <c r="X286" s="5" t="str">
        <f aca="false">VLOOKUP(F286,DIM_SERVICO!$A$2:$D$151,3,FALSE())</f>
        <v>Revisão</v>
      </c>
    </row>
    <row r="287" customFormat="false" ht="15" hidden="false" customHeight="false" outlineLevel="0" collapsed="false">
      <c r="A287" s="6" t="n">
        <v>286</v>
      </c>
      <c r="B287" s="6" t="n">
        <v>1354</v>
      </c>
      <c r="C287" s="6" t="n">
        <v>63</v>
      </c>
      <c r="D287" s="6" t="n">
        <v>73</v>
      </c>
      <c r="E287" s="6" t="n">
        <v>244</v>
      </c>
      <c r="F287" s="6" t="n">
        <v>48</v>
      </c>
      <c r="G287" s="6" t="n">
        <v>702</v>
      </c>
      <c r="H287" s="6" t="n">
        <v>4</v>
      </c>
      <c r="I287" s="7" t="n">
        <v>4741.88</v>
      </c>
      <c r="J287" s="7" t="n">
        <v>863.62</v>
      </c>
      <c r="K287" s="7" t="n">
        <v>7562.68</v>
      </c>
      <c r="L287" s="7" t="n">
        <v>2383.52</v>
      </c>
      <c r="M287" s="6" t="n">
        <v>9.2</v>
      </c>
      <c r="N287" s="6" t="s">
        <v>26</v>
      </c>
      <c r="O287" s="8" t="n">
        <f aca="false">VLOOKUP(F287,DIM_SERVICO!$A$2:$D$151,4,FALSE())</f>
        <v>863.62</v>
      </c>
      <c r="P287" s="8" t="n">
        <f aca="false">VLOOKUP(E287,DIM_PECA!$A$2:$F$501,6,FALSE())</f>
        <v>1713.35</v>
      </c>
      <c r="Q287" s="8" t="n">
        <f aca="false">VLOOKUP(E287,DIM_PECA!$A$2:$F$501,5,FALSE())</f>
        <v>1185.47</v>
      </c>
      <c r="R287" s="8" t="n">
        <f aca="false">H287*P287</f>
        <v>6853.4</v>
      </c>
      <c r="S287" s="8" t="n">
        <f aca="false">O287*M287</f>
        <v>7945.304</v>
      </c>
      <c r="T287" s="8" t="n">
        <f aca="false">R287+S287</f>
        <v>14798.704</v>
      </c>
      <c r="U287" s="8" t="n">
        <f aca="false">T287-K287</f>
        <v>7236.024</v>
      </c>
      <c r="V287" s="8" t="n">
        <f aca="false">R287+S287-U287</f>
        <v>7562.68</v>
      </c>
      <c r="W287" s="9" t="str">
        <f aca="false">IF(ROUND(V287-K287,2)=0,"OK","ERRO")</f>
        <v>OK</v>
      </c>
      <c r="X287" s="9" t="str">
        <f aca="false">VLOOKUP(F287,DIM_SERVICO!$A$2:$D$151,3,FALSE())</f>
        <v>Elétrica</v>
      </c>
    </row>
    <row r="288" customFormat="false" ht="15" hidden="false" customHeight="false" outlineLevel="0" collapsed="false">
      <c r="A288" s="2" t="n">
        <v>287</v>
      </c>
      <c r="B288" s="2" t="n">
        <v>630</v>
      </c>
      <c r="C288" s="2" t="n">
        <v>994</v>
      </c>
      <c r="D288" s="2" t="n">
        <v>232</v>
      </c>
      <c r="E288" s="2" t="n">
        <v>481</v>
      </c>
      <c r="F288" s="2" t="n">
        <v>64</v>
      </c>
      <c r="G288" s="2" t="n">
        <v>118</v>
      </c>
      <c r="H288" s="2" t="n">
        <v>4</v>
      </c>
      <c r="I288" s="3" t="n">
        <v>4603.8</v>
      </c>
      <c r="J288" s="3" t="n">
        <v>1447.78</v>
      </c>
      <c r="K288" s="3" t="n">
        <v>9387.99</v>
      </c>
      <c r="L288" s="3" t="n">
        <v>4216.74</v>
      </c>
      <c r="M288" s="2" t="n">
        <v>4.5</v>
      </c>
      <c r="N288" s="2" t="s">
        <v>24</v>
      </c>
      <c r="O288" s="4" t="n">
        <f aca="false">VLOOKUP(F288,DIM_SERVICO!$A$2:$D$151,4,FALSE())</f>
        <v>1447.78</v>
      </c>
      <c r="P288" s="4" t="n">
        <f aca="false">VLOOKUP(E288,DIM_PECA!$A$2:$F$501,6,FALSE())</f>
        <v>2189.14</v>
      </c>
      <c r="Q288" s="4" t="n">
        <f aca="false">VLOOKUP(E288,DIM_PECA!$A$2:$F$501,5,FALSE())</f>
        <v>1150.95</v>
      </c>
      <c r="R288" s="4" t="n">
        <f aca="false">H288*P288</f>
        <v>8756.56</v>
      </c>
      <c r="S288" s="4" t="n">
        <f aca="false">O288*M288</f>
        <v>6515.01</v>
      </c>
      <c r="T288" s="4" t="n">
        <f aca="false">R288+S288</f>
        <v>15271.57</v>
      </c>
      <c r="U288" s="4" t="n">
        <f aca="false">T288-K288</f>
        <v>5883.58</v>
      </c>
      <c r="V288" s="4" t="n">
        <f aca="false">R288+S288-U288</f>
        <v>9387.99</v>
      </c>
      <c r="W288" s="5" t="str">
        <f aca="false">IF(ROUND(V288-K288,2)=0,"OK","ERRO")</f>
        <v>OK</v>
      </c>
      <c r="X288" s="5" t="str">
        <f aca="false">VLOOKUP(F288,DIM_SERVICO!$A$2:$D$151,3,FALSE())</f>
        <v>Pintura</v>
      </c>
    </row>
    <row r="289" customFormat="false" ht="15" hidden="false" customHeight="false" outlineLevel="0" collapsed="false">
      <c r="A289" s="6" t="n">
        <v>288</v>
      </c>
      <c r="B289" s="6" t="n">
        <v>1307</v>
      </c>
      <c r="C289" s="6" t="n">
        <v>1080</v>
      </c>
      <c r="D289" s="6" t="n">
        <v>367</v>
      </c>
      <c r="E289" s="6" t="n">
        <v>227</v>
      </c>
      <c r="F289" s="6" t="n">
        <v>19</v>
      </c>
      <c r="G289" s="6" t="n">
        <v>1326</v>
      </c>
      <c r="H289" s="6" t="n">
        <v>3</v>
      </c>
      <c r="I289" s="7" t="n">
        <v>461.1</v>
      </c>
      <c r="J289" s="7" t="n">
        <v>1822.04</v>
      </c>
      <c r="K289" s="7" t="n">
        <v>2598.77</v>
      </c>
      <c r="L289" s="7" t="n">
        <v>1148.33</v>
      </c>
      <c r="M289" s="6" t="n">
        <v>3.8</v>
      </c>
      <c r="N289" s="6" t="s">
        <v>24</v>
      </c>
      <c r="O289" s="8" t="n">
        <f aca="false">VLOOKUP(F289,DIM_SERVICO!$A$2:$D$151,4,FALSE())</f>
        <v>1822.04</v>
      </c>
      <c r="P289" s="8" t="n">
        <f aca="false">VLOOKUP(E289,DIM_PECA!$A$2:$F$501,6,FALSE())</f>
        <v>258.91</v>
      </c>
      <c r="Q289" s="8" t="n">
        <f aca="false">VLOOKUP(E289,DIM_PECA!$A$2:$F$501,5,FALSE())</f>
        <v>153.7</v>
      </c>
      <c r="R289" s="8" t="n">
        <f aca="false">H289*P289</f>
        <v>776.73</v>
      </c>
      <c r="S289" s="8" t="n">
        <f aca="false">O289*M289</f>
        <v>6923.752</v>
      </c>
      <c r="T289" s="8" t="n">
        <f aca="false">R289+S289</f>
        <v>7700.482</v>
      </c>
      <c r="U289" s="8" t="n">
        <f aca="false">T289-K289</f>
        <v>5101.712</v>
      </c>
      <c r="V289" s="8" t="n">
        <f aca="false">R289+S289-U289</f>
        <v>2598.77</v>
      </c>
      <c r="W289" s="9" t="str">
        <f aca="false">IF(ROUND(V289-K289,2)=0,"OK","ERRO")</f>
        <v>OK</v>
      </c>
      <c r="X289" s="9" t="str">
        <f aca="false">VLOOKUP(F289,DIM_SERVICO!$A$2:$D$151,3,FALSE())</f>
        <v>Pintura</v>
      </c>
    </row>
    <row r="290" customFormat="false" ht="15" hidden="false" customHeight="false" outlineLevel="0" collapsed="false">
      <c r="A290" s="2" t="n">
        <v>289</v>
      </c>
      <c r="B290" s="2" t="n">
        <v>1210</v>
      </c>
      <c r="C290" s="2" t="n">
        <v>484</v>
      </c>
      <c r="D290" s="2" t="n">
        <v>734</v>
      </c>
      <c r="E290" s="2" t="n">
        <v>249</v>
      </c>
      <c r="F290" s="2" t="n">
        <v>117</v>
      </c>
      <c r="G290" s="2" t="n">
        <v>990</v>
      </c>
      <c r="H290" s="2" t="n">
        <v>4</v>
      </c>
      <c r="I290" s="3" t="n">
        <v>4174.4</v>
      </c>
      <c r="J290" s="3" t="n">
        <v>405.55</v>
      </c>
      <c r="K290" s="3" t="n">
        <v>9152.92</v>
      </c>
      <c r="L290" s="3" t="n">
        <v>4787.41</v>
      </c>
      <c r="M290" s="2" t="n">
        <v>7.2</v>
      </c>
      <c r="N290" s="2" t="s">
        <v>26</v>
      </c>
      <c r="O290" s="4" t="n">
        <f aca="false">VLOOKUP(F290,DIM_SERVICO!$A$2:$D$151,4,FALSE())</f>
        <v>405.55</v>
      </c>
      <c r="P290" s="4" t="n">
        <f aca="false">VLOOKUP(E290,DIM_PECA!$A$2:$F$501,6,FALSE())</f>
        <v>2233.54</v>
      </c>
      <c r="Q290" s="4" t="n">
        <f aca="false">VLOOKUP(E290,DIM_PECA!$A$2:$F$501,5,FALSE())</f>
        <v>1043.6</v>
      </c>
      <c r="R290" s="4" t="n">
        <f aca="false">H290*P290</f>
        <v>8934.16</v>
      </c>
      <c r="S290" s="4" t="n">
        <f aca="false">O290*M290</f>
        <v>2919.96</v>
      </c>
      <c r="T290" s="4" t="n">
        <f aca="false">R290+S290</f>
        <v>11854.12</v>
      </c>
      <c r="U290" s="4" t="n">
        <f aca="false">T290-K290</f>
        <v>2701.2</v>
      </c>
      <c r="V290" s="4" t="n">
        <f aca="false">R290+S290-U290</f>
        <v>9152.92</v>
      </c>
      <c r="W290" s="5" t="str">
        <f aca="false">IF(ROUND(V290-K290,2)=0,"OK","ERRO")</f>
        <v>OK</v>
      </c>
      <c r="X290" s="5" t="str">
        <f aca="false">VLOOKUP(F290,DIM_SERVICO!$A$2:$D$151,3,FALSE())</f>
        <v>Freios</v>
      </c>
    </row>
    <row r="291" customFormat="false" ht="15" hidden="false" customHeight="false" outlineLevel="0" collapsed="false">
      <c r="A291" s="6" t="n">
        <v>290</v>
      </c>
      <c r="B291" s="6" t="n">
        <v>1011</v>
      </c>
      <c r="C291" s="6" t="n">
        <v>1420</v>
      </c>
      <c r="D291" s="6" t="n">
        <v>1155</v>
      </c>
      <c r="E291" s="6" t="n">
        <v>104</v>
      </c>
      <c r="F291" s="6" t="n">
        <v>33</v>
      </c>
      <c r="G291" s="6" t="n">
        <v>1474</v>
      </c>
      <c r="H291" s="6" t="n">
        <v>2</v>
      </c>
      <c r="I291" s="7" t="n">
        <v>1694.06</v>
      </c>
      <c r="J291" s="7" t="n">
        <v>538.49</v>
      </c>
      <c r="K291" s="7" t="n">
        <v>3359.87</v>
      </c>
      <c r="L291" s="7" t="n">
        <v>1383.61</v>
      </c>
      <c r="M291" s="6" t="n">
        <v>6</v>
      </c>
      <c r="N291" s="6" t="s">
        <v>24</v>
      </c>
      <c r="O291" s="8" t="n">
        <f aca="false">VLOOKUP(F291,DIM_SERVICO!$A$2:$D$151,4,FALSE())</f>
        <v>538.49</v>
      </c>
      <c r="P291" s="8" t="n">
        <f aca="false">VLOOKUP(E291,DIM_PECA!$A$2:$F$501,6,FALSE())</f>
        <v>1410.69</v>
      </c>
      <c r="Q291" s="8" t="n">
        <f aca="false">VLOOKUP(E291,DIM_PECA!$A$2:$F$501,5,FALSE())</f>
        <v>847.03</v>
      </c>
      <c r="R291" s="8" t="n">
        <f aca="false">H291*P291</f>
        <v>2821.38</v>
      </c>
      <c r="S291" s="8" t="n">
        <f aca="false">O291*M291</f>
        <v>3230.94</v>
      </c>
      <c r="T291" s="8" t="n">
        <f aca="false">R291+S291</f>
        <v>6052.32</v>
      </c>
      <c r="U291" s="8" t="n">
        <f aca="false">T291-K291</f>
        <v>2692.45</v>
      </c>
      <c r="V291" s="8" t="n">
        <f aca="false">R291+S291-U291</f>
        <v>3359.87</v>
      </c>
      <c r="W291" s="9" t="str">
        <f aca="false">IF(ROUND(V291-K291,2)=0,"OK","ERRO")</f>
        <v>OK</v>
      </c>
      <c r="X291" s="9" t="str">
        <f aca="false">VLOOKUP(F291,DIM_SERVICO!$A$2:$D$151,3,FALSE())</f>
        <v>Suspensão</v>
      </c>
    </row>
    <row r="292" customFormat="false" ht="15" hidden="false" customHeight="false" outlineLevel="0" collapsed="false">
      <c r="A292" s="2" t="n">
        <v>291</v>
      </c>
      <c r="B292" s="2" t="n">
        <v>1005</v>
      </c>
      <c r="C292" s="2" t="n">
        <v>959</v>
      </c>
      <c r="D292" s="2" t="n">
        <v>143</v>
      </c>
      <c r="E292" s="2" t="n">
        <v>302</v>
      </c>
      <c r="F292" s="2" t="n">
        <v>108</v>
      </c>
      <c r="G292" s="2" t="n">
        <v>966</v>
      </c>
      <c r="H292" s="2" t="n">
        <v>3</v>
      </c>
      <c r="I292" s="3" t="n">
        <v>1789.11</v>
      </c>
      <c r="J292" s="3" t="n">
        <v>1178.47</v>
      </c>
      <c r="K292" s="3" t="n">
        <v>5038.15</v>
      </c>
      <c r="L292" s="3" t="n">
        <v>2652.86</v>
      </c>
      <c r="M292" s="2" t="n">
        <v>11.8</v>
      </c>
      <c r="N292" s="2" t="s">
        <v>25</v>
      </c>
      <c r="O292" s="4" t="n">
        <f aca="false">VLOOKUP(F292,DIM_SERVICO!$A$2:$D$151,4,FALSE())</f>
        <v>1178.47</v>
      </c>
      <c r="P292" s="4" t="n">
        <f aca="false">VLOOKUP(E292,DIM_PECA!$A$2:$F$501,6,FALSE())</f>
        <v>1286.56</v>
      </c>
      <c r="Q292" s="4" t="n">
        <f aca="false">VLOOKUP(E292,DIM_PECA!$A$2:$F$501,5,FALSE())</f>
        <v>596.37</v>
      </c>
      <c r="R292" s="4" t="n">
        <f aca="false">H292*P292</f>
        <v>3859.68</v>
      </c>
      <c r="S292" s="4" t="n">
        <f aca="false">O292*M292</f>
        <v>13905.946</v>
      </c>
      <c r="T292" s="4" t="n">
        <f aca="false">R292+S292</f>
        <v>17765.626</v>
      </c>
      <c r="U292" s="4" t="n">
        <f aca="false">T292-K292</f>
        <v>12727.476</v>
      </c>
      <c r="V292" s="4" t="n">
        <f aca="false">R292+S292-U292</f>
        <v>5038.15</v>
      </c>
      <c r="W292" s="5" t="str">
        <f aca="false">IF(ROUND(V292-K292,2)=0,"OK","ERRO")</f>
        <v>OK</v>
      </c>
      <c r="X292" s="5" t="str">
        <f aca="false">VLOOKUP(F292,DIM_SERVICO!$A$2:$D$151,3,FALSE())</f>
        <v>Funilaria</v>
      </c>
    </row>
    <row r="293" customFormat="false" ht="15" hidden="false" customHeight="false" outlineLevel="0" collapsed="false">
      <c r="A293" s="6" t="n">
        <v>292</v>
      </c>
      <c r="B293" s="6" t="n">
        <v>1248</v>
      </c>
      <c r="C293" s="6" t="n">
        <v>271</v>
      </c>
      <c r="D293" s="6" t="n">
        <v>58</v>
      </c>
      <c r="E293" s="6" t="n">
        <v>429</v>
      </c>
      <c r="F293" s="6" t="n">
        <v>79</v>
      </c>
      <c r="G293" s="6" t="n">
        <v>686</v>
      </c>
      <c r="H293" s="6" t="n">
        <v>3</v>
      </c>
      <c r="I293" s="7" t="n">
        <v>1602.99</v>
      </c>
      <c r="J293" s="7" t="n">
        <v>748.05</v>
      </c>
      <c r="K293" s="7" t="n">
        <v>3320.67</v>
      </c>
      <c r="L293" s="7" t="n">
        <v>1452.28</v>
      </c>
      <c r="M293" s="6" t="n">
        <v>6.7</v>
      </c>
      <c r="N293" s="6" t="s">
        <v>24</v>
      </c>
      <c r="O293" s="8" t="n">
        <f aca="false">VLOOKUP(F293,DIM_SERVICO!$A$2:$D$151,4,FALSE())</f>
        <v>748.05</v>
      </c>
      <c r="P293" s="8" t="n">
        <f aca="false">VLOOKUP(E293,DIM_PECA!$A$2:$F$501,6,FALSE())</f>
        <v>953.79</v>
      </c>
      <c r="Q293" s="8" t="n">
        <f aca="false">VLOOKUP(E293,DIM_PECA!$A$2:$F$501,5,FALSE())</f>
        <v>534.33</v>
      </c>
      <c r="R293" s="8" t="n">
        <f aca="false">H293*P293</f>
        <v>2861.37</v>
      </c>
      <c r="S293" s="8" t="n">
        <f aca="false">O293*M293</f>
        <v>5011.935</v>
      </c>
      <c r="T293" s="8" t="n">
        <f aca="false">R293+S293</f>
        <v>7873.305</v>
      </c>
      <c r="U293" s="8" t="n">
        <f aca="false">T293-K293</f>
        <v>4552.635</v>
      </c>
      <c r="V293" s="8" t="n">
        <f aca="false">R293+S293-U293</f>
        <v>3320.67</v>
      </c>
      <c r="W293" s="9" t="str">
        <f aca="false">IF(ROUND(V293-K293,2)=0,"OK","ERRO")</f>
        <v>OK</v>
      </c>
      <c r="X293" s="9" t="str">
        <f aca="false">VLOOKUP(F293,DIM_SERVICO!$A$2:$D$151,3,FALSE())</f>
        <v>Freios</v>
      </c>
    </row>
    <row r="294" customFormat="false" ht="15" hidden="false" customHeight="false" outlineLevel="0" collapsed="false">
      <c r="A294" s="2" t="n">
        <v>293</v>
      </c>
      <c r="B294" s="2" t="n">
        <v>1359</v>
      </c>
      <c r="C294" s="2" t="n">
        <v>1280</v>
      </c>
      <c r="D294" s="2" t="n">
        <v>502</v>
      </c>
      <c r="E294" s="2" t="n">
        <v>462</v>
      </c>
      <c r="F294" s="2" t="n">
        <v>77</v>
      </c>
      <c r="G294" s="2" t="n">
        <v>417</v>
      </c>
      <c r="H294" s="2" t="n">
        <v>2</v>
      </c>
      <c r="I294" s="3" t="n">
        <v>1820.16</v>
      </c>
      <c r="J294" s="3" t="n">
        <v>729.21</v>
      </c>
      <c r="K294" s="3" t="n">
        <v>4332</v>
      </c>
      <c r="L294" s="3" t="n">
        <v>2134.04</v>
      </c>
      <c r="M294" s="2" t="n">
        <v>5.1</v>
      </c>
      <c r="N294" s="2" t="s">
        <v>24</v>
      </c>
      <c r="O294" s="4" t="n">
        <f aca="false">VLOOKUP(F294,DIM_SERVICO!$A$2:$D$151,4,FALSE())</f>
        <v>729.21</v>
      </c>
      <c r="P294" s="4" t="n">
        <f aca="false">VLOOKUP(E294,DIM_PECA!$A$2:$F$501,6,FALSE())</f>
        <v>1845.6</v>
      </c>
      <c r="Q294" s="4" t="n">
        <f aca="false">VLOOKUP(E294,DIM_PECA!$A$2:$F$501,5,FALSE())</f>
        <v>910.08</v>
      </c>
      <c r="R294" s="4" t="n">
        <f aca="false">H294*P294</f>
        <v>3691.2</v>
      </c>
      <c r="S294" s="4" t="n">
        <f aca="false">O294*M294</f>
        <v>3718.971</v>
      </c>
      <c r="T294" s="4" t="n">
        <f aca="false">R294+S294</f>
        <v>7410.171</v>
      </c>
      <c r="U294" s="4" t="n">
        <f aca="false">T294-K294</f>
        <v>3078.171</v>
      </c>
      <c r="V294" s="4" t="n">
        <f aca="false">R294+S294-U294</f>
        <v>4332</v>
      </c>
      <c r="W294" s="5" t="str">
        <f aca="false">IF(ROUND(V294-K294,2)=0,"OK","ERRO")</f>
        <v>OK</v>
      </c>
      <c r="X294" s="5" t="str">
        <f aca="false">VLOOKUP(F294,DIM_SERVICO!$A$2:$D$151,3,FALSE())</f>
        <v>Freios</v>
      </c>
    </row>
    <row r="295" customFormat="false" ht="15" hidden="false" customHeight="false" outlineLevel="0" collapsed="false">
      <c r="A295" s="6" t="n">
        <v>294</v>
      </c>
      <c r="B295" s="6" t="n">
        <v>921</v>
      </c>
      <c r="C295" s="6" t="n">
        <v>572</v>
      </c>
      <c r="D295" s="6" t="n">
        <v>212</v>
      </c>
      <c r="E295" s="6" t="n">
        <v>121</v>
      </c>
      <c r="F295" s="6" t="n">
        <v>100</v>
      </c>
      <c r="G295" s="6" t="n">
        <v>793</v>
      </c>
      <c r="H295" s="6" t="n">
        <v>4</v>
      </c>
      <c r="I295" s="7" t="n">
        <v>4515.16</v>
      </c>
      <c r="J295" s="7" t="n">
        <v>2148.55</v>
      </c>
      <c r="K295" s="7" t="n">
        <v>8608.03</v>
      </c>
      <c r="L295" s="7" t="n">
        <v>3011.49</v>
      </c>
      <c r="M295" s="6" t="n">
        <v>5.4</v>
      </c>
      <c r="N295" s="6" t="s">
        <v>25</v>
      </c>
      <c r="O295" s="8" t="n">
        <f aca="false">VLOOKUP(F295,DIM_SERVICO!$A$2:$D$151,4,FALSE())</f>
        <v>2148.55</v>
      </c>
      <c r="P295" s="8" t="n">
        <f aca="false">VLOOKUP(E295,DIM_PECA!$A$2:$F$501,6,FALSE())</f>
        <v>1614.87</v>
      </c>
      <c r="Q295" s="8" t="n">
        <f aca="false">VLOOKUP(E295,DIM_PECA!$A$2:$F$501,5,FALSE())</f>
        <v>1128.79</v>
      </c>
      <c r="R295" s="8" t="n">
        <f aca="false">H295*P295</f>
        <v>6459.48</v>
      </c>
      <c r="S295" s="8" t="n">
        <f aca="false">O295*M295</f>
        <v>11602.17</v>
      </c>
      <c r="T295" s="8" t="n">
        <f aca="false">R295+S295</f>
        <v>18061.65</v>
      </c>
      <c r="U295" s="8" t="n">
        <f aca="false">T295-K295</f>
        <v>9453.62</v>
      </c>
      <c r="V295" s="8" t="n">
        <f aca="false">R295+S295-U295</f>
        <v>8608.03</v>
      </c>
      <c r="W295" s="9" t="str">
        <f aca="false">IF(ROUND(V295-K295,2)=0,"OK","ERRO")</f>
        <v>OK</v>
      </c>
      <c r="X295" s="9" t="str">
        <f aca="false">VLOOKUP(F295,DIM_SERVICO!$A$2:$D$151,3,FALSE())</f>
        <v>Motor</v>
      </c>
    </row>
    <row r="296" customFormat="false" ht="15" hidden="false" customHeight="false" outlineLevel="0" collapsed="false">
      <c r="A296" s="2" t="n">
        <v>295</v>
      </c>
      <c r="B296" s="2" t="n">
        <v>289</v>
      </c>
      <c r="C296" s="2" t="n">
        <v>1037</v>
      </c>
      <c r="D296" s="2" t="n">
        <v>1084</v>
      </c>
      <c r="E296" s="2" t="n">
        <v>299</v>
      </c>
      <c r="F296" s="2" t="n">
        <v>101</v>
      </c>
      <c r="G296" s="2" t="n">
        <v>1234</v>
      </c>
      <c r="H296" s="2" t="n">
        <v>1</v>
      </c>
      <c r="I296" s="3" t="n">
        <v>746.98</v>
      </c>
      <c r="J296" s="3" t="n">
        <v>1690.47</v>
      </c>
      <c r="K296" s="3" t="n">
        <v>2585.53</v>
      </c>
      <c r="L296" s="3" t="n">
        <v>987.9</v>
      </c>
      <c r="M296" s="2" t="n">
        <v>5.4</v>
      </c>
      <c r="N296" s="2" t="s">
        <v>25</v>
      </c>
      <c r="O296" s="4" t="n">
        <f aca="false">VLOOKUP(F296,DIM_SERVICO!$A$2:$D$151,4,FALSE())</f>
        <v>1690.47</v>
      </c>
      <c r="P296" s="4" t="n">
        <f aca="false">VLOOKUP(E296,DIM_PECA!$A$2:$F$501,6,FALSE())</f>
        <v>1031.14</v>
      </c>
      <c r="Q296" s="4" t="n">
        <f aca="false">VLOOKUP(E296,DIM_PECA!$A$2:$F$501,5,FALSE())</f>
        <v>746.98</v>
      </c>
      <c r="R296" s="4" t="n">
        <f aca="false">H296*P296</f>
        <v>1031.14</v>
      </c>
      <c r="S296" s="4" t="n">
        <f aca="false">O296*M296</f>
        <v>9128.538</v>
      </c>
      <c r="T296" s="4" t="n">
        <f aca="false">R296+S296</f>
        <v>10159.678</v>
      </c>
      <c r="U296" s="4" t="n">
        <f aca="false">T296-K296</f>
        <v>7574.148</v>
      </c>
      <c r="V296" s="4" t="n">
        <f aca="false">R296+S296-U296</f>
        <v>2585.53</v>
      </c>
      <c r="W296" s="5" t="str">
        <f aca="false">IF(ROUND(V296-K296,2)=0,"OK","ERRO")</f>
        <v>OK</v>
      </c>
      <c r="X296" s="5" t="str">
        <f aca="false">VLOOKUP(F296,DIM_SERVICO!$A$2:$D$151,3,FALSE())</f>
        <v>Revisão</v>
      </c>
    </row>
    <row r="297" customFormat="false" ht="15" hidden="false" customHeight="false" outlineLevel="0" collapsed="false">
      <c r="A297" s="6" t="n">
        <v>296</v>
      </c>
      <c r="B297" s="6" t="n">
        <v>1397</v>
      </c>
      <c r="C297" s="6" t="n">
        <v>1157</v>
      </c>
      <c r="D297" s="6" t="n">
        <v>141</v>
      </c>
      <c r="E297" s="6" t="n">
        <v>489</v>
      </c>
      <c r="F297" s="6" t="n">
        <v>77</v>
      </c>
      <c r="G297" s="6" t="n">
        <v>251</v>
      </c>
      <c r="H297" s="6" t="n">
        <v>2</v>
      </c>
      <c r="I297" s="7" t="n">
        <v>176.88</v>
      </c>
      <c r="J297" s="7" t="n">
        <v>729.21</v>
      </c>
      <c r="K297" s="7" t="n">
        <v>1073.47</v>
      </c>
      <c r="L297" s="7" t="n">
        <v>556.18</v>
      </c>
      <c r="M297" s="6" t="n">
        <v>8.8</v>
      </c>
      <c r="N297" s="6" t="s">
        <v>27</v>
      </c>
      <c r="O297" s="8" t="n">
        <f aca="false">VLOOKUP(F297,DIM_SERVICO!$A$2:$D$151,4,FALSE())</f>
        <v>729.21</v>
      </c>
      <c r="P297" s="8" t="n">
        <f aca="false">VLOOKUP(E297,DIM_PECA!$A$2:$F$501,6,FALSE())</f>
        <v>172.13</v>
      </c>
      <c r="Q297" s="8" t="n">
        <f aca="false">VLOOKUP(E297,DIM_PECA!$A$2:$F$501,5,FALSE())</f>
        <v>88.44</v>
      </c>
      <c r="R297" s="8" t="n">
        <f aca="false">H297*P297</f>
        <v>344.26</v>
      </c>
      <c r="S297" s="8" t="n">
        <f aca="false">O297*M297</f>
        <v>6417.048</v>
      </c>
      <c r="T297" s="8" t="n">
        <f aca="false">R297+S297</f>
        <v>6761.308</v>
      </c>
      <c r="U297" s="8" t="n">
        <f aca="false">T297-K297</f>
        <v>5687.838</v>
      </c>
      <c r="V297" s="8" t="n">
        <f aca="false">R297+S297-U297</f>
        <v>1073.47</v>
      </c>
      <c r="W297" s="9" t="str">
        <f aca="false">IF(ROUND(V297-K297,2)=0,"OK","ERRO")</f>
        <v>OK</v>
      </c>
      <c r="X297" s="9" t="str">
        <f aca="false">VLOOKUP(F297,DIM_SERVICO!$A$2:$D$151,3,FALSE())</f>
        <v>Freios</v>
      </c>
    </row>
    <row r="298" customFormat="false" ht="15" hidden="false" customHeight="false" outlineLevel="0" collapsed="false">
      <c r="A298" s="2" t="n">
        <v>297</v>
      </c>
      <c r="B298" s="2" t="n">
        <v>466</v>
      </c>
      <c r="C298" s="2" t="n">
        <v>1277</v>
      </c>
      <c r="D298" s="2" t="n">
        <v>520</v>
      </c>
      <c r="E298" s="2" t="n">
        <v>313</v>
      </c>
      <c r="F298" s="2" t="n">
        <v>14</v>
      </c>
      <c r="G298" s="2" t="n">
        <v>1407</v>
      </c>
      <c r="H298" s="2" t="n">
        <v>3</v>
      </c>
      <c r="I298" s="3" t="n">
        <v>258.99</v>
      </c>
      <c r="J298" s="3" t="n">
        <v>1939.75</v>
      </c>
      <c r="K298" s="3" t="n">
        <v>2202.59</v>
      </c>
      <c r="L298" s="3" t="n">
        <v>1151.78</v>
      </c>
      <c r="M298" s="2" t="n">
        <v>3.7</v>
      </c>
      <c r="N298" s="2" t="s">
        <v>24</v>
      </c>
      <c r="O298" s="4" t="n">
        <f aca="false">VLOOKUP(F298,DIM_SERVICO!$A$2:$D$151,4,FALSE())</f>
        <v>1939.75</v>
      </c>
      <c r="P298" s="4" t="n">
        <f aca="false">VLOOKUP(E298,DIM_PECA!$A$2:$F$501,6,FALSE())</f>
        <v>169.19</v>
      </c>
      <c r="Q298" s="4" t="n">
        <f aca="false">VLOOKUP(E298,DIM_PECA!$A$2:$F$501,5,FALSE())</f>
        <v>86.33</v>
      </c>
      <c r="R298" s="4" t="n">
        <f aca="false">H298*P298</f>
        <v>507.57</v>
      </c>
      <c r="S298" s="4" t="n">
        <f aca="false">O298*M298</f>
        <v>7177.075</v>
      </c>
      <c r="T298" s="4" t="n">
        <f aca="false">R298+S298</f>
        <v>7684.645</v>
      </c>
      <c r="U298" s="4" t="n">
        <f aca="false">T298-K298</f>
        <v>5482.055</v>
      </c>
      <c r="V298" s="4" t="n">
        <f aca="false">R298+S298-U298</f>
        <v>2202.59</v>
      </c>
      <c r="W298" s="5" t="str">
        <f aca="false">IF(ROUND(V298-K298,2)=0,"OK","ERRO")</f>
        <v>OK</v>
      </c>
      <c r="X298" s="5" t="str">
        <f aca="false">VLOOKUP(F298,DIM_SERVICO!$A$2:$D$151,3,FALSE())</f>
        <v>Funilaria</v>
      </c>
    </row>
    <row r="299" customFormat="false" ht="15" hidden="false" customHeight="false" outlineLevel="0" collapsed="false">
      <c r="A299" s="6" t="n">
        <v>298</v>
      </c>
      <c r="B299" s="6" t="n">
        <v>599</v>
      </c>
      <c r="C299" s="6" t="n">
        <v>939</v>
      </c>
      <c r="D299" s="6" t="n">
        <v>96</v>
      </c>
      <c r="E299" s="6" t="n">
        <v>232</v>
      </c>
      <c r="F299" s="6" t="n">
        <v>36</v>
      </c>
      <c r="G299" s="6" t="n">
        <v>742</v>
      </c>
      <c r="H299" s="6" t="n">
        <v>3</v>
      </c>
      <c r="I299" s="7" t="n">
        <v>230.43</v>
      </c>
      <c r="J299" s="7" t="n">
        <v>1564.33</v>
      </c>
      <c r="K299" s="7" t="n">
        <v>1998.82</v>
      </c>
      <c r="L299" s="7" t="n">
        <v>1113.38</v>
      </c>
      <c r="M299" s="6" t="n">
        <v>6</v>
      </c>
      <c r="N299" s="6" t="s">
        <v>24</v>
      </c>
      <c r="O299" s="8" t="n">
        <f aca="false">VLOOKUP(F299,DIM_SERVICO!$A$2:$D$151,4,FALSE())</f>
        <v>1564.33</v>
      </c>
      <c r="P299" s="8" t="n">
        <f aca="false">VLOOKUP(E299,DIM_PECA!$A$2:$F$501,6,FALSE())</f>
        <v>144.83</v>
      </c>
      <c r="Q299" s="8" t="n">
        <f aca="false">VLOOKUP(E299,DIM_PECA!$A$2:$F$501,5,FALSE())</f>
        <v>76.81</v>
      </c>
      <c r="R299" s="8" t="n">
        <f aca="false">H299*P299</f>
        <v>434.49</v>
      </c>
      <c r="S299" s="8" t="n">
        <f aca="false">O299*M299</f>
        <v>9385.98</v>
      </c>
      <c r="T299" s="8" t="n">
        <f aca="false">R299+S299</f>
        <v>9820.47</v>
      </c>
      <c r="U299" s="8" t="n">
        <f aca="false">T299-K299</f>
        <v>7821.65</v>
      </c>
      <c r="V299" s="8" t="n">
        <f aca="false">R299+S299-U299</f>
        <v>1998.82</v>
      </c>
      <c r="W299" s="9" t="str">
        <f aca="false">IF(ROUND(V299-K299,2)=0,"OK","ERRO")</f>
        <v>OK</v>
      </c>
      <c r="X299" s="9" t="str">
        <f aca="false">VLOOKUP(F299,DIM_SERVICO!$A$2:$D$151,3,FALSE())</f>
        <v>Pintura</v>
      </c>
    </row>
    <row r="300" customFormat="false" ht="15" hidden="false" customHeight="false" outlineLevel="0" collapsed="false">
      <c r="A300" s="2" t="n">
        <v>299</v>
      </c>
      <c r="B300" s="2" t="n">
        <v>1285</v>
      </c>
      <c r="C300" s="2" t="n">
        <v>844</v>
      </c>
      <c r="D300" s="2" t="n">
        <v>117</v>
      </c>
      <c r="E300" s="2" t="n">
        <v>32</v>
      </c>
      <c r="F300" s="2" t="n">
        <v>86</v>
      </c>
      <c r="G300" s="2" t="n">
        <v>518</v>
      </c>
      <c r="H300" s="2" t="n">
        <v>4</v>
      </c>
      <c r="I300" s="3" t="n">
        <v>1645.28</v>
      </c>
      <c r="J300" s="3" t="n">
        <v>147.26</v>
      </c>
      <c r="K300" s="3" t="n">
        <v>2270.18</v>
      </c>
      <c r="L300" s="3" t="n">
        <v>554.24</v>
      </c>
      <c r="M300" s="2" t="n">
        <v>6</v>
      </c>
      <c r="N300" s="2" t="s">
        <v>25</v>
      </c>
      <c r="O300" s="4" t="n">
        <f aca="false">VLOOKUP(F300,DIM_SERVICO!$A$2:$D$151,4,FALSE())</f>
        <v>147.26</v>
      </c>
      <c r="P300" s="4" t="n">
        <f aca="false">VLOOKUP(E300,DIM_PECA!$A$2:$F$501,6,FALSE())</f>
        <v>593.79</v>
      </c>
      <c r="Q300" s="4" t="n">
        <f aca="false">VLOOKUP(E300,DIM_PECA!$A$2:$F$501,5,FALSE())</f>
        <v>411.32</v>
      </c>
      <c r="R300" s="4" t="n">
        <f aca="false">H300*P300</f>
        <v>2375.16</v>
      </c>
      <c r="S300" s="4" t="n">
        <f aca="false">O300*M300</f>
        <v>883.56</v>
      </c>
      <c r="T300" s="4" t="n">
        <f aca="false">R300+S300</f>
        <v>3258.72</v>
      </c>
      <c r="U300" s="4" t="n">
        <f aca="false">T300-K300</f>
        <v>988.54</v>
      </c>
      <c r="V300" s="4" t="n">
        <f aca="false">R300+S300-U300</f>
        <v>2270.18</v>
      </c>
      <c r="W300" s="5" t="str">
        <f aca="false">IF(ROUND(V300-K300,2)=0,"OK","ERRO")</f>
        <v>OK</v>
      </c>
      <c r="X300" s="5" t="str">
        <f aca="false">VLOOKUP(F300,DIM_SERVICO!$A$2:$D$151,3,FALSE())</f>
        <v>Suspensão</v>
      </c>
    </row>
    <row r="301" customFormat="false" ht="15" hidden="false" customHeight="false" outlineLevel="0" collapsed="false">
      <c r="A301" s="6" t="n">
        <v>300</v>
      </c>
      <c r="B301" s="6" t="n">
        <v>725</v>
      </c>
      <c r="C301" s="6" t="n">
        <v>113</v>
      </c>
      <c r="D301" s="6" t="n">
        <v>831</v>
      </c>
      <c r="E301" s="6" t="n">
        <v>163</v>
      </c>
      <c r="F301" s="6" t="n">
        <v>24</v>
      </c>
      <c r="G301" s="6" t="n">
        <v>1787</v>
      </c>
      <c r="H301" s="6" t="n">
        <v>2</v>
      </c>
      <c r="I301" s="7" t="n">
        <v>620.78</v>
      </c>
      <c r="J301" s="7" t="n">
        <v>1124.34</v>
      </c>
      <c r="K301" s="7" t="n">
        <v>2241.54</v>
      </c>
      <c r="L301" s="7" t="n">
        <v>1199.38</v>
      </c>
      <c r="M301" s="6" t="n">
        <v>4.9</v>
      </c>
      <c r="N301" s="6" t="s">
        <v>24</v>
      </c>
      <c r="O301" s="8" t="n">
        <f aca="false">VLOOKUP(F301,DIM_SERVICO!$A$2:$D$151,4,FALSE())</f>
        <v>1124.34</v>
      </c>
      <c r="P301" s="8" t="n">
        <f aca="false">VLOOKUP(E301,DIM_PECA!$A$2:$F$501,6,FALSE())</f>
        <v>617.59</v>
      </c>
      <c r="Q301" s="8" t="n">
        <f aca="false">VLOOKUP(E301,DIM_PECA!$A$2:$F$501,5,FALSE())</f>
        <v>310.39</v>
      </c>
      <c r="R301" s="8" t="n">
        <f aca="false">H301*P301</f>
        <v>1235.18</v>
      </c>
      <c r="S301" s="8" t="n">
        <f aca="false">O301*M301</f>
        <v>5509.266</v>
      </c>
      <c r="T301" s="8" t="n">
        <f aca="false">R301+S301</f>
        <v>6744.446</v>
      </c>
      <c r="U301" s="8" t="n">
        <f aca="false">T301-K301</f>
        <v>4502.906</v>
      </c>
      <c r="V301" s="8" t="n">
        <f aca="false">R301+S301-U301</f>
        <v>2241.54</v>
      </c>
      <c r="W301" s="9" t="str">
        <f aca="false">IF(ROUND(V301-K301,2)=0,"OK","ERRO")</f>
        <v>OK</v>
      </c>
      <c r="X301" s="9" t="str">
        <f aca="false">VLOOKUP(F301,DIM_SERVICO!$A$2:$D$151,3,FALSE())</f>
        <v>Elétrica</v>
      </c>
    </row>
    <row r="302" customFormat="false" ht="15" hidden="false" customHeight="false" outlineLevel="0" collapsed="false">
      <c r="A302" s="2" t="n">
        <v>301</v>
      </c>
      <c r="B302" s="2" t="n">
        <v>731</v>
      </c>
      <c r="C302" s="2" t="n">
        <v>15</v>
      </c>
      <c r="D302" s="2" t="n">
        <v>434</v>
      </c>
      <c r="E302" s="2" t="n">
        <v>230</v>
      </c>
      <c r="F302" s="2" t="n">
        <v>140</v>
      </c>
      <c r="G302" s="2" t="n">
        <v>345</v>
      </c>
      <c r="H302" s="2" t="n">
        <v>1</v>
      </c>
      <c r="I302" s="3" t="n">
        <v>1062.85</v>
      </c>
      <c r="J302" s="3" t="n">
        <v>1109.33</v>
      </c>
      <c r="K302" s="3" t="n">
        <v>3324.82</v>
      </c>
      <c r="L302" s="3" t="n">
        <v>1804.01</v>
      </c>
      <c r="M302" s="2" t="n">
        <v>11.4</v>
      </c>
      <c r="N302" s="2" t="s">
        <v>25</v>
      </c>
      <c r="O302" s="4" t="n">
        <f aca="false">VLOOKUP(F302,DIM_SERVICO!$A$2:$D$151,4,FALSE())</f>
        <v>1109.33</v>
      </c>
      <c r="P302" s="4" t="n">
        <f aca="false">VLOOKUP(E302,DIM_PECA!$A$2:$F$501,6,FALSE())</f>
        <v>2215.49</v>
      </c>
      <c r="Q302" s="4" t="n">
        <f aca="false">VLOOKUP(E302,DIM_PECA!$A$2:$F$501,5,FALSE())</f>
        <v>1062.85</v>
      </c>
      <c r="R302" s="4" t="n">
        <f aca="false">H302*P302</f>
        <v>2215.49</v>
      </c>
      <c r="S302" s="4" t="n">
        <f aca="false">O302*M302</f>
        <v>12646.362</v>
      </c>
      <c r="T302" s="4" t="n">
        <f aca="false">R302+S302</f>
        <v>14861.852</v>
      </c>
      <c r="U302" s="4" t="n">
        <f aca="false">T302-K302</f>
        <v>11537.032</v>
      </c>
      <c r="V302" s="4" t="n">
        <f aca="false">R302+S302-U302</f>
        <v>3324.82</v>
      </c>
      <c r="W302" s="5" t="str">
        <f aca="false">IF(ROUND(V302-K302,2)=0,"OK","ERRO")</f>
        <v>OK</v>
      </c>
      <c r="X302" s="5" t="str">
        <f aca="false">VLOOKUP(F302,DIM_SERVICO!$A$2:$D$151,3,FALSE())</f>
        <v>Revisão</v>
      </c>
    </row>
    <row r="303" customFormat="false" ht="15" hidden="false" customHeight="false" outlineLevel="0" collapsed="false">
      <c r="A303" s="6" t="n">
        <v>302</v>
      </c>
      <c r="B303" s="6" t="n">
        <v>499</v>
      </c>
      <c r="C303" s="6" t="n">
        <v>1248</v>
      </c>
      <c r="D303" s="6" t="n">
        <v>205</v>
      </c>
      <c r="E303" s="6" t="n">
        <v>347</v>
      </c>
      <c r="F303" s="6" t="n">
        <v>5</v>
      </c>
      <c r="G303" s="6" t="n">
        <v>1147</v>
      </c>
      <c r="H303" s="6" t="n">
        <v>3</v>
      </c>
      <c r="I303" s="7" t="n">
        <v>1583.31</v>
      </c>
      <c r="J303" s="7" t="n">
        <v>1161.51</v>
      </c>
      <c r="K303" s="7" t="n">
        <v>3875.14</v>
      </c>
      <c r="L303" s="7" t="n">
        <v>1770.36</v>
      </c>
      <c r="M303" s="6" t="n">
        <v>0.5</v>
      </c>
      <c r="N303" s="6" t="s">
        <v>24</v>
      </c>
      <c r="O303" s="8" t="n">
        <f aca="false">VLOOKUP(F303,DIM_SERVICO!$A$2:$D$151,4,FALSE())</f>
        <v>1161.51</v>
      </c>
      <c r="P303" s="8" t="n">
        <f aca="false">VLOOKUP(E303,DIM_PECA!$A$2:$F$501,6,FALSE())</f>
        <v>972.53</v>
      </c>
      <c r="Q303" s="8" t="n">
        <f aca="false">VLOOKUP(E303,DIM_PECA!$A$2:$F$501,5,FALSE())</f>
        <v>527.77</v>
      </c>
      <c r="R303" s="8" t="n">
        <f aca="false">H303*P303</f>
        <v>2917.59</v>
      </c>
      <c r="S303" s="8" t="n">
        <f aca="false">O303*M303</f>
        <v>580.755</v>
      </c>
      <c r="T303" s="8" t="n">
        <f aca="false">R303+S303</f>
        <v>3498.345</v>
      </c>
      <c r="U303" s="8" t="n">
        <f aca="false">T303-K303</f>
        <v>-376.795</v>
      </c>
      <c r="V303" s="8" t="n">
        <f aca="false">R303+S303-U303</f>
        <v>3875.14</v>
      </c>
      <c r="W303" s="9" t="str">
        <f aca="false">IF(ROUND(V303-K303,2)=0,"OK","ERRO")</f>
        <v>OK</v>
      </c>
      <c r="X303" s="9" t="str">
        <f aca="false">VLOOKUP(F303,DIM_SERVICO!$A$2:$D$151,3,FALSE())</f>
        <v>Funilaria</v>
      </c>
    </row>
    <row r="304" customFormat="false" ht="15" hidden="false" customHeight="false" outlineLevel="0" collapsed="false">
      <c r="A304" s="2" t="n">
        <v>303</v>
      </c>
      <c r="B304" s="2" t="n">
        <v>402</v>
      </c>
      <c r="C304" s="2" t="n">
        <v>1474</v>
      </c>
      <c r="D304" s="2" t="n">
        <v>851</v>
      </c>
      <c r="E304" s="2" t="n">
        <v>184</v>
      </c>
      <c r="F304" s="2" t="n">
        <v>8</v>
      </c>
      <c r="G304" s="2" t="n">
        <v>218</v>
      </c>
      <c r="H304" s="2" t="n">
        <v>2</v>
      </c>
      <c r="I304" s="3" t="n">
        <v>1611.12</v>
      </c>
      <c r="J304" s="3" t="n">
        <v>812.52</v>
      </c>
      <c r="K304" s="3" t="n">
        <v>3851.68</v>
      </c>
      <c r="L304" s="3" t="n">
        <v>1849.89</v>
      </c>
      <c r="M304" s="2" t="n">
        <v>3</v>
      </c>
      <c r="N304" s="2" t="s">
        <v>25</v>
      </c>
      <c r="O304" s="4" t="n">
        <f aca="false">VLOOKUP(F304,DIM_SERVICO!$A$2:$D$151,4,FALSE())</f>
        <v>812.52</v>
      </c>
      <c r="P304" s="4" t="n">
        <f aca="false">VLOOKUP(E304,DIM_PECA!$A$2:$F$501,6,FALSE())</f>
        <v>1620.94</v>
      </c>
      <c r="Q304" s="4" t="n">
        <f aca="false">VLOOKUP(E304,DIM_PECA!$A$2:$F$501,5,FALSE())</f>
        <v>805.56</v>
      </c>
      <c r="R304" s="4" t="n">
        <f aca="false">H304*P304</f>
        <v>3241.88</v>
      </c>
      <c r="S304" s="4" t="n">
        <f aca="false">O304*M304</f>
        <v>2437.56</v>
      </c>
      <c r="T304" s="4" t="n">
        <f aca="false">R304+S304</f>
        <v>5679.44</v>
      </c>
      <c r="U304" s="4" t="n">
        <f aca="false">T304-K304</f>
        <v>1827.76</v>
      </c>
      <c r="V304" s="4" t="n">
        <f aca="false">R304+S304-U304</f>
        <v>3851.68</v>
      </c>
      <c r="W304" s="5" t="str">
        <f aca="false">IF(ROUND(V304-K304,2)=0,"OK","ERRO")</f>
        <v>OK</v>
      </c>
      <c r="X304" s="5" t="str">
        <f aca="false">VLOOKUP(F304,DIM_SERVICO!$A$2:$D$151,3,FALSE())</f>
        <v>Motor</v>
      </c>
    </row>
    <row r="305" customFormat="false" ht="15" hidden="false" customHeight="false" outlineLevel="0" collapsed="false">
      <c r="A305" s="6" t="n">
        <v>304</v>
      </c>
      <c r="B305" s="6" t="n">
        <v>1346</v>
      </c>
      <c r="C305" s="6" t="n">
        <v>1231</v>
      </c>
      <c r="D305" s="6" t="n">
        <v>1118</v>
      </c>
      <c r="E305" s="6" t="n">
        <v>89</v>
      </c>
      <c r="F305" s="6" t="n">
        <v>83</v>
      </c>
      <c r="G305" s="6" t="n">
        <v>807</v>
      </c>
      <c r="H305" s="6" t="n">
        <v>4</v>
      </c>
      <c r="I305" s="7" t="n">
        <v>2073.04</v>
      </c>
      <c r="J305" s="7" t="n">
        <v>2098.93</v>
      </c>
      <c r="K305" s="7" t="n">
        <v>4922.79</v>
      </c>
      <c r="L305" s="7" t="n">
        <v>1858.23</v>
      </c>
      <c r="M305" s="6" t="n">
        <v>8.5</v>
      </c>
      <c r="N305" s="6" t="s">
        <v>24</v>
      </c>
      <c r="O305" s="8" t="n">
        <f aca="false">VLOOKUP(F305,DIM_SERVICO!$A$2:$D$151,4,FALSE())</f>
        <v>2098.93</v>
      </c>
      <c r="P305" s="8" t="n">
        <f aca="false">VLOOKUP(E305,DIM_PECA!$A$2:$F$501,6,FALSE())</f>
        <v>842.71</v>
      </c>
      <c r="Q305" s="8" t="n">
        <f aca="false">VLOOKUP(E305,DIM_PECA!$A$2:$F$501,5,FALSE())</f>
        <v>518.26</v>
      </c>
      <c r="R305" s="8" t="n">
        <f aca="false">H305*P305</f>
        <v>3370.84</v>
      </c>
      <c r="S305" s="8" t="n">
        <f aca="false">O305*M305</f>
        <v>17840.905</v>
      </c>
      <c r="T305" s="8" t="n">
        <f aca="false">R305+S305</f>
        <v>21211.745</v>
      </c>
      <c r="U305" s="8" t="n">
        <f aca="false">T305-K305</f>
        <v>16288.955</v>
      </c>
      <c r="V305" s="8" t="n">
        <f aca="false">R305+S305-U305</f>
        <v>4922.79</v>
      </c>
      <c r="W305" s="9" t="str">
        <f aca="false">IF(ROUND(V305-K305,2)=0,"OK","ERRO")</f>
        <v>OK</v>
      </c>
      <c r="X305" s="9" t="str">
        <f aca="false">VLOOKUP(F305,DIM_SERVICO!$A$2:$D$151,3,FALSE())</f>
        <v>Pintura</v>
      </c>
    </row>
    <row r="306" customFormat="false" ht="15" hidden="false" customHeight="false" outlineLevel="0" collapsed="false">
      <c r="A306" s="2" t="n">
        <v>305</v>
      </c>
      <c r="B306" s="2" t="n">
        <v>566</v>
      </c>
      <c r="C306" s="2" t="n">
        <v>624</v>
      </c>
      <c r="D306" s="2" t="n">
        <v>727</v>
      </c>
      <c r="E306" s="2" t="n">
        <v>418</v>
      </c>
      <c r="F306" s="2" t="n">
        <v>63</v>
      </c>
      <c r="G306" s="2" t="n">
        <v>189</v>
      </c>
      <c r="H306" s="2" t="n">
        <v>4</v>
      </c>
      <c r="I306" s="3" t="n">
        <v>608.92</v>
      </c>
      <c r="J306" s="3" t="n">
        <v>263.48</v>
      </c>
      <c r="K306" s="3" t="n">
        <v>1238.65</v>
      </c>
      <c r="L306" s="3" t="n">
        <v>512.09</v>
      </c>
      <c r="M306" s="2" t="n">
        <v>5.1</v>
      </c>
      <c r="N306" s="2" t="s">
        <v>25</v>
      </c>
      <c r="O306" s="4" t="n">
        <f aca="false">VLOOKUP(F306,DIM_SERVICO!$A$2:$D$151,4,FALSE())</f>
        <v>263.48</v>
      </c>
      <c r="P306" s="4" t="n">
        <f aca="false">VLOOKUP(E306,DIM_PECA!$A$2:$F$501,6,FALSE())</f>
        <v>278.2</v>
      </c>
      <c r="Q306" s="4" t="n">
        <f aca="false">VLOOKUP(E306,DIM_PECA!$A$2:$F$501,5,FALSE())</f>
        <v>152.23</v>
      </c>
      <c r="R306" s="4" t="n">
        <f aca="false">H306*P306</f>
        <v>1112.8</v>
      </c>
      <c r="S306" s="4" t="n">
        <f aca="false">O306*M306</f>
        <v>1343.748</v>
      </c>
      <c r="T306" s="4" t="n">
        <f aca="false">R306+S306</f>
        <v>2456.548</v>
      </c>
      <c r="U306" s="4" t="n">
        <f aca="false">T306-K306</f>
        <v>1217.898</v>
      </c>
      <c r="V306" s="4" t="n">
        <f aca="false">R306+S306-U306</f>
        <v>1238.65</v>
      </c>
      <c r="W306" s="5" t="str">
        <f aca="false">IF(ROUND(V306-K306,2)=0,"OK","ERRO")</f>
        <v>OK</v>
      </c>
      <c r="X306" s="5" t="str">
        <f aca="false">VLOOKUP(F306,DIM_SERVICO!$A$2:$D$151,3,FALSE())</f>
        <v>Funilaria</v>
      </c>
    </row>
    <row r="307" customFormat="false" ht="15" hidden="false" customHeight="false" outlineLevel="0" collapsed="false">
      <c r="A307" s="6" t="n">
        <v>306</v>
      </c>
      <c r="B307" s="6" t="n">
        <v>796</v>
      </c>
      <c r="C307" s="6" t="n">
        <v>833</v>
      </c>
      <c r="D307" s="6" t="n">
        <v>750</v>
      </c>
      <c r="E307" s="6" t="n">
        <v>375</v>
      </c>
      <c r="F307" s="6" t="n">
        <v>113</v>
      </c>
      <c r="G307" s="6" t="n">
        <v>1505</v>
      </c>
      <c r="H307" s="6" t="n">
        <v>4</v>
      </c>
      <c r="I307" s="7" t="n">
        <v>544.84</v>
      </c>
      <c r="J307" s="7" t="n">
        <v>1709.25</v>
      </c>
      <c r="K307" s="7" t="n">
        <v>2476.77</v>
      </c>
      <c r="L307" s="7" t="n">
        <v>1195.67</v>
      </c>
      <c r="M307" s="6" t="n">
        <v>9.6</v>
      </c>
      <c r="N307" s="6" t="s">
        <v>24</v>
      </c>
      <c r="O307" s="8" t="n">
        <f aca="false">VLOOKUP(F307,DIM_SERVICO!$A$2:$D$151,4,FALSE())</f>
        <v>1709.25</v>
      </c>
      <c r="P307" s="8" t="n">
        <f aca="false">VLOOKUP(E307,DIM_PECA!$A$2:$F$501,6,FALSE())</f>
        <v>191.88</v>
      </c>
      <c r="Q307" s="8" t="n">
        <f aca="false">VLOOKUP(E307,DIM_PECA!$A$2:$F$501,5,FALSE())</f>
        <v>136.21</v>
      </c>
      <c r="R307" s="8" t="n">
        <f aca="false">H307*P307</f>
        <v>767.52</v>
      </c>
      <c r="S307" s="8" t="n">
        <f aca="false">O307*M307</f>
        <v>16408.8</v>
      </c>
      <c r="T307" s="8" t="n">
        <f aca="false">R307+S307</f>
        <v>17176.32</v>
      </c>
      <c r="U307" s="8" t="n">
        <f aca="false">T307-K307</f>
        <v>14699.55</v>
      </c>
      <c r="V307" s="8" t="n">
        <f aca="false">R307+S307-U307</f>
        <v>2476.77</v>
      </c>
      <c r="W307" s="9" t="str">
        <f aca="false">IF(ROUND(V307-K307,2)=0,"OK","ERRO")</f>
        <v>OK</v>
      </c>
      <c r="X307" s="9" t="str">
        <f aca="false">VLOOKUP(F307,DIM_SERVICO!$A$2:$D$151,3,FALSE())</f>
        <v>Pintura</v>
      </c>
    </row>
    <row r="308" customFormat="false" ht="15" hidden="false" customHeight="false" outlineLevel="0" collapsed="false">
      <c r="A308" s="2" t="n">
        <v>307</v>
      </c>
      <c r="B308" s="2" t="n">
        <v>890</v>
      </c>
      <c r="C308" s="2" t="n">
        <v>1151</v>
      </c>
      <c r="D308" s="2" t="n">
        <v>724</v>
      </c>
      <c r="E308" s="2" t="n">
        <v>107</v>
      </c>
      <c r="F308" s="2" t="n">
        <v>137</v>
      </c>
      <c r="G308" s="2" t="n">
        <v>245</v>
      </c>
      <c r="H308" s="2" t="n">
        <v>2</v>
      </c>
      <c r="I308" s="3" t="n">
        <v>1040.98</v>
      </c>
      <c r="J308" s="3" t="n">
        <v>1147.35</v>
      </c>
      <c r="K308" s="3" t="n">
        <v>3235.55</v>
      </c>
      <c r="L308" s="3" t="n">
        <v>1577.65</v>
      </c>
      <c r="M308" s="2" t="n">
        <v>9.1</v>
      </c>
      <c r="N308" s="2" t="s">
        <v>24</v>
      </c>
      <c r="O308" s="4" t="n">
        <f aca="false">VLOOKUP(F308,DIM_SERVICO!$A$2:$D$151,4,FALSE())</f>
        <v>1147.35</v>
      </c>
      <c r="P308" s="4" t="n">
        <f aca="false">VLOOKUP(E308,DIM_PECA!$A$2:$F$501,6,FALSE())</f>
        <v>1044.1</v>
      </c>
      <c r="Q308" s="4" t="n">
        <f aca="false">VLOOKUP(E308,DIM_PECA!$A$2:$F$501,5,FALSE())</f>
        <v>520.49</v>
      </c>
      <c r="R308" s="4" t="n">
        <f aca="false">H308*P308</f>
        <v>2088.2</v>
      </c>
      <c r="S308" s="4" t="n">
        <f aca="false">O308*M308</f>
        <v>10440.885</v>
      </c>
      <c r="T308" s="4" t="n">
        <f aca="false">R308+S308</f>
        <v>12529.085</v>
      </c>
      <c r="U308" s="4" t="n">
        <f aca="false">T308-K308</f>
        <v>9293.535</v>
      </c>
      <c r="V308" s="4" t="n">
        <f aca="false">R308+S308-U308</f>
        <v>3235.55</v>
      </c>
      <c r="W308" s="5" t="str">
        <f aca="false">IF(ROUND(V308-K308,2)=0,"OK","ERRO")</f>
        <v>OK</v>
      </c>
      <c r="X308" s="5" t="str">
        <f aca="false">VLOOKUP(F308,DIM_SERVICO!$A$2:$D$151,3,FALSE())</f>
        <v>Diagnóstico</v>
      </c>
    </row>
    <row r="309" customFormat="false" ht="15" hidden="false" customHeight="false" outlineLevel="0" collapsed="false">
      <c r="A309" s="6" t="n">
        <v>308</v>
      </c>
      <c r="B309" s="6" t="n">
        <v>639</v>
      </c>
      <c r="C309" s="6" t="n">
        <v>840</v>
      </c>
      <c r="D309" s="6" t="n">
        <v>226</v>
      </c>
      <c r="E309" s="6" t="n">
        <v>156</v>
      </c>
      <c r="F309" s="6" t="n">
        <v>133</v>
      </c>
      <c r="G309" s="6" t="n">
        <v>863</v>
      </c>
      <c r="H309" s="6" t="n">
        <v>3</v>
      </c>
      <c r="I309" s="7" t="n">
        <v>225.33</v>
      </c>
      <c r="J309" s="7" t="n">
        <v>1635.43</v>
      </c>
      <c r="K309" s="7" t="n">
        <v>1945.24</v>
      </c>
      <c r="L309" s="7" t="n">
        <v>947.97</v>
      </c>
      <c r="M309" s="6" t="n">
        <v>5.1</v>
      </c>
      <c r="N309" s="6" t="s">
        <v>24</v>
      </c>
      <c r="O309" s="8" t="n">
        <f aca="false">VLOOKUP(F309,DIM_SERVICO!$A$2:$D$151,4,FALSE())</f>
        <v>1635.43</v>
      </c>
      <c r="P309" s="8" t="n">
        <f aca="false">VLOOKUP(E309,DIM_PECA!$A$2:$F$501,6,FALSE())</f>
        <v>103.27</v>
      </c>
      <c r="Q309" s="8" t="n">
        <f aca="false">VLOOKUP(E309,DIM_PECA!$A$2:$F$501,5,FALSE())</f>
        <v>75.11</v>
      </c>
      <c r="R309" s="8" t="n">
        <f aca="false">H309*P309</f>
        <v>309.81</v>
      </c>
      <c r="S309" s="8" t="n">
        <f aca="false">O309*M309</f>
        <v>8340.693</v>
      </c>
      <c r="T309" s="8" t="n">
        <f aca="false">R309+S309</f>
        <v>8650.503</v>
      </c>
      <c r="U309" s="8" t="n">
        <f aca="false">T309-K309</f>
        <v>6705.263</v>
      </c>
      <c r="V309" s="8" t="n">
        <f aca="false">R309+S309-U309</f>
        <v>1945.24</v>
      </c>
      <c r="W309" s="9" t="str">
        <f aca="false">IF(ROUND(V309-K309,2)=0,"OK","ERRO")</f>
        <v>OK</v>
      </c>
      <c r="X309" s="9" t="str">
        <f aca="false">VLOOKUP(F309,DIM_SERVICO!$A$2:$D$151,3,FALSE())</f>
        <v>Suspensão</v>
      </c>
    </row>
    <row r="310" customFormat="false" ht="15" hidden="false" customHeight="false" outlineLevel="0" collapsed="false">
      <c r="A310" s="2" t="n">
        <v>309</v>
      </c>
      <c r="B310" s="2" t="n">
        <v>48</v>
      </c>
      <c r="C310" s="2" t="n">
        <v>567</v>
      </c>
      <c r="D310" s="2" t="n">
        <v>1014</v>
      </c>
      <c r="E310" s="2" t="n">
        <v>250</v>
      </c>
      <c r="F310" s="2" t="n">
        <v>116</v>
      </c>
      <c r="G310" s="2" t="n">
        <v>63</v>
      </c>
      <c r="H310" s="2" t="n">
        <v>3</v>
      </c>
      <c r="I310" s="3" t="n">
        <v>1812.75</v>
      </c>
      <c r="J310" s="3" t="n">
        <v>1593.06</v>
      </c>
      <c r="K310" s="3" t="n">
        <v>4149.9</v>
      </c>
      <c r="L310" s="3" t="n">
        <v>1654</v>
      </c>
      <c r="M310" s="2" t="n">
        <v>11.6</v>
      </c>
      <c r="N310" s="2" t="s">
        <v>24</v>
      </c>
      <c r="O310" s="4" t="n">
        <f aca="false">VLOOKUP(F310,DIM_SERVICO!$A$2:$D$151,4,FALSE())</f>
        <v>1593.06</v>
      </c>
      <c r="P310" s="4" t="n">
        <f aca="false">VLOOKUP(E310,DIM_PECA!$A$2:$F$501,6,FALSE())</f>
        <v>852.28</v>
      </c>
      <c r="Q310" s="4" t="n">
        <f aca="false">VLOOKUP(E310,DIM_PECA!$A$2:$F$501,5,FALSE())</f>
        <v>604.25</v>
      </c>
      <c r="R310" s="4" t="n">
        <f aca="false">H310*P310</f>
        <v>2556.84</v>
      </c>
      <c r="S310" s="4" t="n">
        <f aca="false">O310*M310</f>
        <v>18479.496</v>
      </c>
      <c r="T310" s="4" t="n">
        <f aca="false">R310+S310</f>
        <v>21036.336</v>
      </c>
      <c r="U310" s="4" t="n">
        <f aca="false">T310-K310</f>
        <v>16886.436</v>
      </c>
      <c r="V310" s="4" t="n">
        <f aca="false">R310+S310-U310</f>
        <v>4149.9</v>
      </c>
      <c r="W310" s="5" t="str">
        <f aca="false">IF(ROUND(V310-K310,2)=0,"OK","ERRO")</f>
        <v>OK</v>
      </c>
      <c r="X310" s="5" t="str">
        <f aca="false">VLOOKUP(F310,DIM_SERVICO!$A$2:$D$151,3,FALSE())</f>
        <v>Motor</v>
      </c>
    </row>
    <row r="311" customFormat="false" ht="15" hidden="false" customHeight="false" outlineLevel="0" collapsed="false">
      <c r="A311" s="6" t="n">
        <v>310</v>
      </c>
      <c r="B311" s="6" t="n">
        <v>1210</v>
      </c>
      <c r="C311" s="6" t="n">
        <v>509</v>
      </c>
      <c r="D311" s="6" t="n">
        <v>460</v>
      </c>
      <c r="E311" s="6" t="n">
        <v>495</v>
      </c>
      <c r="F311" s="6" t="n">
        <v>145</v>
      </c>
      <c r="G311" s="6" t="n">
        <v>1331</v>
      </c>
      <c r="H311" s="6" t="n">
        <v>3</v>
      </c>
      <c r="I311" s="7" t="n">
        <v>2215.68</v>
      </c>
      <c r="J311" s="7" t="n">
        <v>392.14</v>
      </c>
      <c r="K311" s="7" t="n">
        <v>3479.23</v>
      </c>
      <c r="L311" s="7" t="n">
        <v>1118.21</v>
      </c>
      <c r="M311" s="6" t="n">
        <v>8</v>
      </c>
      <c r="N311" s="6" t="s">
        <v>24</v>
      </c>
      <c r="O311" s="8" t="n">
        <f aca="false">VLOOKUP(F311,DIM_SERVICO!$A$2:$D$151,4,FALSE())</f>
        <v>392.14</v>
      </c>
      <c r="P311" s="8" t="n">
        <f aca="false">VLOOKUP(E311,DIM_PECA!$A$2:$F$501,6,FALSE())</f>
        <v>1029.03</v>
      </c>
      <c r="Q311" s="8" t="n">
        <f aca="false">VLOOKUP(E311,DIM_PECA!$A$2:$F$501,5,FALSE())</f>
        <v>738.56</v>
      </c>
      <c r="R311" s="8" t="n">
        <f aca="false">H311*P311</f>
        <v>3087.09</v>
      </c>
      <c r="S311" s="8" t="n">
        <f aca="false">O311*M311</f>
        <v>3137.12</v>
      </c>
      <c r="T311" s="8" t="n">
        <f aca="false">R311+S311</f>
        <v>6224.21</v>
      </c>
      <c r="U311" s="8" t="n">
        <f aca="false">T311-K311</f>
        <v>2744.98</v>
      </c>
      <c r="V311" s="8" t="n">
        <f aca="false">R311+S311-U311</f>
        <v>3479.23</v>
      </c>
      <c r="W311" s="9" t="str">
        <f aca="false">IF(ROUND(V311-K311,2)=0,"OK","ERRO")</f>
        <v>OK</v>
      </c>
      <c r="X311" s="9" t="str">
        <f aca="false">VLOOKUP(F311,DIM_SERVICO!$A$2:$D$151,3,FALSE())</f>
        <v>Revisão</v>
      </c>
    </row>
    <row r="312" customFormat="false" ht="15" hidden="false" customHeight="false" outlineLevel="0" collapsed="false">
      <c r="A312" s="2" t="n">
        <v>311</v>
      </c>
      <c r="B312" s="2" t="n">
        <v>385</v>
      </c>
      <c r="C312" s="2" t="n">
        <v>779</v>
      </c>
      <c r="D312" s="2" t="n">
        <v>310</v>
      </c>
      <c r="E312" s="2" t="n">
        <v>25</v>
      </c>
      <c r="F312" s="2" t="n">
        <v>139</v>
      </c>
      <c r="G312" s="2" t="n">
        <v>1336</v>
      </c>
      <c r="H312" s="2" t="n">
        <v>1</v>
      </c>
      <c r="I312" s="3" t="n">
        <v>828.59</v>
      </c>
      <c r="J312" s="3" t="n">
        <v>2138.46</v>
      </c>
      <c r="K312" s="3" t="n">
        <v>3062.6</v>
      </c>
      <c r="L312" s="3" t="n">
        <v>1452.93</v>
      </c>
      <c r="M312" s="2" t="n">
        <v>10.4</v>
      </c>
      <c r="N312" s="2" t="s">
        <v>24</v>
      </c>
      <c r="O312" s="4" t="n">
        <f aca="false">VLOOKUP(F312,DIM_SERVICO!$A$2:$D$151,4,FALSE())</f>
        <v>2138.46</v>
      </c>
      <c r="P312" s="4" t="n">
        <f aca="false">VLOOKUP(E312,DIM_PECA!$A$2:$F$501,6,FALSE())</f>
        <v>1264.43</v>
      </c>
      <c r="Q312" s="4" t="n">
        <f aca="false">VLOOKUP(E312,DIM_PECA!$A$2:$F$501,5,FALSE())</f>
        <v>828.59</v>
      </c>
      <c r="R312" s="4" t="n">
        <f aca="false">H312*P312</f>
        <v>1264.43</v>
      </c>
      <c r="S312" s="4" t="n">
        <f aca="false">O312*M312</f>
        <v>22239.984</v>
      </c>
      <c r="T312" s="4" t="n">
        <f aca="false">R312+S312</f>
        <v>23504.414</v>
      </c>
      <c r="U312" s="4" t="n">
        <f aca="false">T312-K312</f>
        <v>20441.814</v>
      </c>
      <c r="V312" s="4" t="n">
        <f aca="false">R312+S312-U312</f>
        <v>3062.6</v>
      </c>
      <c r="W312" s="5" t="str">
        <f aca="false">IF(ROUND(V312-K312,2)=0,"OK","ERRO")</f>
        <v>OK</v>
      </c>
      <c r="X312" s="5" t="str">
        <f aca="false">VLOOKUP(F312,DIM_SERVICO!$A$2:$D$151,3,FALSE())</f>
        <v>Revisão</v>
      </c>
    </row>
    <row r="313" customFormat="false" ht="15" hidden="false" customHeight="false" outlineLevel="0" collapsed="false">
      <c r="A313" s="6" t="n">
        <v>312</v>
      </c>
      <c r="B313" s="6" t="n">
        <v>181</v>
      </c>
      <c r="C313" s="6" t="n">
        <v>1262</v>
      </c>
      <c r="D313" s="6" t="n">
        <v>450</v>
      </c>
      <c r="E313" s="6" t="n">
        <v>460</v>
      </c>
      <c r="F313" s="6" t="n">
        <v>66</v>
      </c>
      <c r="G313" s="6" t="n">
        <v>1040</v>
      </c>
      <c r="H313" s="6" t="n">
        <v>2</v>
      </c>
      <c r="I313" s="7" t="n">
        <v>1770.8</v>
      </c>
      <c r="J313" s="7" t="n">
        <v>1805.9</v>
      </c>
      <c r="K313" s="7" t="n">
        <v>4749.37</v>
      </c>
      <c r="L313" s="7" t="n">
        <v>2343.2</v>
      </c>
      <c r="M313" s="6" t="n">
        <v>9.6</v>
      </c>
      <c r="N313" s="6" t="s">
        <v>24</v>
      </c>
      <c r="O313" s="8" t="n">
        <f aca="false">VLOOKUP(F313,DIM_SERVICO!$A$2:$D$151,4,FALSE())</f>
        <v>1805.9</v>
      </c>
      <c r="P313" s="8" t="n">
        <f aca="false">VLOOKUP(E313,DIM_PECA!$A$2:$F$501,6,FALSE())</f>
        <v>1596.72</v>
      </c>
      <c r="Q313" s="8" t="n">
        <f aca="false">VLOOKUP(E313,DIM_PECA!$A$2:$F$501,5,FALSE())</f>
        <v>885.4</v>
      </c>
      <c r="R313" s="8" t="n">
        <f aca="false">H313*P313</f>
        <v>3193.44</v>
      </c>
      <c r="S313" s="8" t="n">
        <f aca="false">O313*M313</f>
        <v>17336.64</v>
      </c>
      <c r="T313" s="8" t="n">
        <f aca="false">R313+S313</f>
        <v>20530.08</v>
      </c>
      <c r="U313" s="8" t="n">
        <f aca="false">T313-K313</f>
        <v>15780.71</v>
      </c>
      <c r="V313" s="8" t="n">
        <f aca="false">R313+S313-U313</f>
        <v>4749.37</v>
      </c>
      <c r="W313" s="9" t="str">
        <f aca="false">IF(ROUND(V313-K313,2)=0,"OK","ERRO")</f>
        <v>OK</v>
      </c>
      <c r="X313" s="9" t="str">
        <f aca="false">VLOOKUP(F313,DIM_SERVICO!$A$2:$D$151,3,FALSE())</f>
        <v>Pintura</v>
      </c>
    </row>
    <row r="314" customFormat="false" ht="15" hidden="false" customHeight="false" outlineLevel="0" collapsed="false">
      <c r="A314" s="2" t="n">
        <v>313</v>
      </c>
      <c r="B314" s="2" t="n">
        <v>1102</v>
      </c>
      <c r="C314" s="2" t="n">
        <v>1207</v>
      </c>
      <c r="D314" s="2" t="n">
        <v>296</v>
      </c>
      <c r="E314" s="2" t="n">
        <v>422</v>
      </c>
      <c r="F314" s="2" t="n">
        <v>5</v>
      </c>
      <c r="G314" s="2" t="n">
        <v>728</v>
      </c>
      <c r="H314" s="2" t="n">
        <v>2</v>
      </c>
      <c r="I314" s="3" t="n">
        <v>1195.82</v>
      </c>
      <c r="J314" s="3" t="n">
        <v>1161.51</v>
      </c>
      <c r="K314" s="3" t="n">
        <v>2999.96</v>
      </c>
      <c r="L314" s="3" t="n">
        <v>1308.1</v>
      </c>
      <c r="M314" s="2" t="n">
        <v>3.8</v>
      </c>
      <c r="N314" s="2" t="s">
        <v>24</v>
      </c>
      <c r="O314" s="4" t="n">
        <f aca="false">VLOOKUP(F314,DIM_SERVICO!$A$2:$D$151,4,FALSE())</f>
        <v>1161.51</v>
      </c>
      <c r="P314" s="4" t="n">
        <f aca="false">VLOOKUP(E314,DIM_PECA!$A$2:$F$501,6,FALSE())</f>
        <v>1085.89</v>
      </c>
      <c r="Q314" s="4" t="n">
        <f aca="false">VLOOKUP(E314,DIM_PECA!$A$2:$F$501,5,FALSE())</f>
        <v>597.91</v>
      </c>
      <c r="R314" s="4" t="n">
        <f aca="false">H314*P314</f>
        <v>2171.78</v>
      </c>
      <c r="S314" s="4" t="n">
        <f aca="false">O314*M314</f>
        <v>4413.738</v>
      </c>
      <c r="T314" s="4" t="n">
        <f aca="false">R314+S314</f>
        <v>6585.518</v>
      </c>
      <c r="U314" s="4" t="n">
        <f aca="false">T314-K314</f>
        <v>3585.558</v>
      </c>
      <c r="V314" s="4" t="n">
        <f aca="false">R314+S314-U314</f>
        <v>2999.96</v>
      </c>
      <c r="W314" s="5" t="str">
        <f aca="false">IF(ROUND(V314-K314,2)=0,"OK","ERRO")</f>
        <v>OK</v>
      </c>
      <c r="X314" s="5" t="str">
        <f aca="false">VLOOKUP(F314,DIM_SERVICO!$A$2:$D$151,3,FALSE())</f>
        <v>Funilaria</v>
      </c>
    </row>
    <row r="315" customFormat="false" ht="15" hidden="false" customHeight="false" outlineLevel="0" collapsed="false">
      <c r="A315" s="6" t="n">
        <v>314</v>
      </c>
      <c r="B315" s="6" t="n">
        <v>335</v>
      </c>
      <c r="C315" s="6" t="n">
        <v>727</v>
      </c>
      <c r="D315" s="6" t="n">
        <v>734</v>
      </c>
      <c r="E315" s="6" t="n">
        <v>269</v>
      </c>
      <c r="F315" s="6" t="n">
        <v>110</v>
      </c>
      <c r="G315" s="6" t="n">
        <v>1268</v>
      </c>
      <c r="H315" s="6" t="n">
        <v>4</v>
      </c>
      <c r="I315" s="7" t="n">
        <v>4370.96</v>
      </c>
      <c r="J315" s="7" t="n">
        <v>587.35</v>
      </c>
      <c r="K315" s="7" t="n">
        <v>8194.12</v>
      </c>
      <c r="L315" s="7" t="n">
        <v>3612.96</v>
      </c>
      <c r="M315" s="6" t="n">
        <v>7.4</v>
      </c>
      <c r="N315" s="6" t="s">
        <v>24</v>
      </c>
      <c r="O315" s="8" t="n">
        <f aca="false">VLOOKUP(F315,DIM_SERVICO!$A$2:$D$151,4,FALSE())</f>
        <v>587.35</v>
      </c>
      <c r="P315" s="8" t="n">
        <f aca="false">VLOOKUP(E315,DIM_PECA!$A$2:$F$501,6,FALSE())</f>
        <v>2009.51</v>
      </c>
      <c r="Q315" s="8" t="n">
        <f aca="false">VLOOKUP(E315,DIM_PECA!$A$2:$F$501,5,FALSE())</f>
        <v>1092.74</v>
      </c>
      <c r="R315" s="8" t="n">
        <f aca="false">H315*P315</f>
        <v>8038.04</v>
      </c>
      <c r="S315" s="8" t="n">
        <f aca="false">O315*M315</f>
        <v>4346.39</v>
      </c>
      <c r="T315" s="8" t="n">
        <f aca="false">R315+S315</f>
        <v>12384.43</v>
      </c>
      <c r="U315" s="8" t="n">
        <f aca="false">T315-K315</f>
        <v>4190.31</v>
      </c>
      <c r="V315" s="8" t="n">
        <f aca="false">R315+S315-U315</f>
        <v>8194.12</v>
      </c>
      <c r="W315" s="9" t="str">
        <f aca="false">IF(ROUND(V315-K315,2)=0,"OK","ERRO")</f>
        <v>OK</v>
      </c>
      <c r="X315" s="9" t="str">
        <f aca="false">VLOOKUP(F315,DIM_SERVICO!$A$2:$D$151,3,FALSE())</f>
        <v>Funilaria</v>
      </c>
    </row>
    <row r="316" customFormat="false" ht="15" hidden="false" customHeight="false" outlineLevel="0" collapsed="false">
      <c r="A316" s="2" t="n">
        <v>315</v>
      </c>
      <c r="B316" s="2" t="n">
        <v>281</v>
      </c>
      <c r="C316" s="2" t="n">
        <v>448</v>
      </c>
      <c r="D316" s="2" t="n">
        <v>348</v>
      </c>
      <c r="E316" s="2" t="n">
        <v>46</v>
      </c>
      <c r="F316" s="2" t="n">
        <v>81</v>
      </c>
      <c r="G316" s="2" t="n">
        <v>273</v>
      </c>
      <c r="H316" s="2" t="n">
        <v>3</v>
      </c>
      <c r="I316" s="3" t="n">
        <v>726.3</v>
      </c>
      <c r="J316" s="3" t="n">
        <v>2146.9</v>
      </c>
      <c r="K316" s="3" t="n">
        <v>3206.74</v>
      </c>
      <c r="L316" s="3" t="n">
        <v>1321.29</v>
      </c>
      <c r="M316" s="2" t="n">
        <v>11.2</v>
      </c>
      <c r="N316" s="2" t="s">
        <v>24</v>
      </c>
      <c r="O316" s="4" t="n">
        <f aca="false">VLOOKUP(F316,DIM_SERVICO!$A$2:$D$151,4,FALSE())</f>
        <v>2146.9</v>
      </c>
      <c r="P316" s="4" t="n">
        <f aca="false">VLOOKUP(E316,DIM_PECA!$A$2:$F$501,6,FALSE())</f>
        <v>353.28</v>
      </c>
      <c r="Q316" s="4" t="n">
        <f aca="false">VLOOKUP(E316,DIM_PECA!$A$2:$F$501,5,FALSE())</f>
        <v>242.1</v>
      </c>
      <c r="R316" s="4" t="n">
        <f aca="false">H316*P316</f>
        <v>1059.84</v>
      </c>
      <c r="S316" s="4" t="n">
        <f aca="false">O316*M316</f>
        <v>24045.28</v>
      </c>
      <c r="T316" s="4" t="n">
        <f aca="false">R316+S316</f>
        <v>25105.12</v>
      </c>
      <c r="U316" s="4" t="n">
        <f aca="false">T316-K316</f>
        <v>21898.38</v>
      </c>
      <c r="V316" s="4" t="n">
        <f aca="false">R316+S316-U316</f>
        <v>3206.74</v>
      </c>
      <c r="W316" s="5" t="str">
        <f aca="false">IF(ROUND(V316-K316,2)=0,"OK","ERRO")</f>
        <v>OK</v>
      </c>
      <c r="X316" s="5" t="str">
        <f aca="false">VLOOKUP(F316,DIM_SERVICO!$A$2:$D$151,3,FALSE())</f>
        <v>Revisão</v>
      </c>
    </row>
    <row r="317" customFormat="false" ht="15" hidden="false" customHeight="false" outlineLevel="0" collapsed="false">
      <c r="A317" s="6" t="n">
        <v>316</v>
      </c>
      <c r="B317" s="6" t="n">
        <v>174</v>
      </c>
      <c r="C317" s="6" t="n">
        <v>1306</v>
      </c>
      <c r="D317" s="6" t="n">
        <v>831</v>
      </c>
      <c r="E317" s="6" t="n">
        <v>168</v>
      </c>
      <c r="F317" s="6" t="n">
        <v>132</v>
      </c>
      <c r="G317" s="6" t="n">
        <v>1413</v>
      </c>
      <c r="H317" s="6" t="n">
        <v>3</v>
      </c>
      <c r="I317" s="7" t="n">
        <v>2241.87</v>
      </c>
      <c r="J317" s="7" t="n">
        <v>746.69</v>
      </c>
      <c r="K317" s="7" t="n">
        <v>3688.57</v>
      </c>
      <c r="L317" s="7" t="n">
        <v>1065.66</v>
      </c>
      <c r="M317" s="6" t="n">
        <v>5.4</v>
      </c>
      <c r="N317" s="6" t="s">
        <v>24</v>
      </c>
      <c r="O317" s="8" t="n">
        <f aca="false">VLOOKUP(F317,DIM_SERVICO!$A$2:$D$151,4,FALSE())</f>
        <v>746.69</v>
      </c>
      <c r="P317" s="8" t="n">
        <f aca="false">VLOOKUP(E317,DIM_PECA!$A$2:$F$501,6,FALSE())</f>
        <v>1087.54</v>
      </c>
      <c r="Q317" s="8" t="n">
        <f aca="false">VLOOKUP(E317,DIM_PECA!$A$2:$F$501,5,FALSE())</f>
        <v>747.29</v>
      </c>
      <c r="R317" s="8" t="n">
        <f aca="false">H317*P317</f>
        <v>3262.62</v>
      </c>
      <c r="S317" s="8" t="n">
        <f aca="false">O317*M317</f>
        <v>4032.126</v>
      </c>
      <c r="T317" s="8" t="n">
        <f aca="false">R317+S317</f>
        <v>7294.746</v>
      </c>
      <c r="U317" s="8" t="n">
        <f aca="false">T317-K317</f>
        <v>3606.176</v>
      </c>
      <c r="V317" s="8" t="n">
        <f aca="false">R317+S317-U317</f>
        <v>3688.57</v>
      </c>
      <c r="W317" s="9" t="str">
        <f aca="false">IF(ROUND(V317-K317,2)=0,"OK","ERRO")</f>
        <v>OK</v>
      </c>
      <c r="X317" s="9" t="str">
        <f aca="false">VLOOKUP(F317,DIM_SERVICO!$A$2:$D$151,3,FALSE())</f>
        <v>Motor</v>
      </c>
    </row>
    <row r="318" customFormat="false" ht="15" hidden="false" customHeight="false" outlineLevel="0" collapsed="false">
      <c r="A318" s="2" t="n">
        <v>317</v>
      </c>
      <c r="B318" s="2" t="n">
        <v>1455</v>
      </c>
      <c r="C318" s="2" t="n">
        <v>855</v>
      </c>
      <c r="D318" s="2" t="n">
        <v>168</v>
      </c>
      <c r="E318" s="2" t="n">
        <v>334</v>
      </c>
      <c r="F318" s="2" t="n">
        <v>45</v>
      </c>
      <c r="G318" s="2" t="n">
        <v>984</v>
      </c>
      <c r="H318" s="2" t="n">
        <v>4</v>
      </c>
      <c r="I318" s="3" t="n">
        <v>2336.76</v>
      </c>
      <c r="J318" s="3" t="n">
        <v>510.5</v>
      </c>
      <c r="K318" s="3" t="n">
        <v>3712.81</v>
      </c>
      <c r="L318" s="3" t="n">
        <v>1103.73</v>
      </c>
      <c r="M318" s="2" t="n">
        <v>7.1</v>
      </c>
      <c r="N318" s="2" t="s">
        <v>26</v>
      </c>
      <c r="O318" s="4" t="n">
        <f aca="false">VLOOKUP(F318,DIM_SERVICO!$A$2:$D$151,4,FALSE())</f>
        <v>510.5</v>
      </c>
      <c r="P318" s="4" t="n">
        <f aca="false">VLOOKUP(E318,DIM_PECA!$A$2:$F$501,6,FALSE())</f>
        <v>903.71</v>
      </c>
      <c r="Q318" s="4" t="n">
        <f aca="false">VLOOKUP(E318,DIM_PECA!$A$2:$F$501,5,FALSE())</f>
        <v>584.19</v>
      </c>
      <c r="R318" s="4" t="n">
        <f aca="false">H318*P318</f>
        <v>3614.84</v>
      </c>
      <c r="S318" s="4" t="n">
        <f aca="false">O318*M318</f>
        <v>3624.55</v>
      </c>
      <c r="T318" s="4" t="n">
        <f aca="false">R318+S318</f>
        <v>7239.39</v>
      </c>
      <c r="U318" s="4" t="n">
        <f aca="false">T318-K318</f>
        <v>3526.58</v>
      </c>
      <c r="V318" s="4" t="n">
        <f aca="false">R318+S318-U318</f>
        <v>3712.81</v>
      </c>
      <c r="W318" s="5" t="str">
        <f aca="false">IF(ROUND(V318-K318,2)=0,"OK","ERRO")</f>
        <v>OK</v>
      </c>
      <c r="X318" s="5" t="str">
        <f aca="false">VLOOKUP(F318,DIM_SERVICO!$A$2:$D$151,3,FALSE())</f>
        <v>Revisão</v>
      </c>
    </row>
    <row r="319" customFormat="false" ht="15" hidden="false" customHeight="false" outlineLevel="0" collapsed="false">
      <c r="A319" s="6" t="n">
        <v>318</v>
      </c>
      <c r="B319" s="6" t="n">
        <v>775</v>
      </c>
      <c r="C319" s="6" t="n">
        <v>405</v>
      </c>
      <c r="D319" s="6" t="n">
        <v>437</v>
      </c>
      <c r="E319" s="6" t="n">
        <v>116</v>
      </c>
      <c r="F319" s="6" t="n">
        <v>62</v>
      </c>
      <c r="G319" s="6" t="n">
        <v>1698</v>
      </c>
      <c r="H319" s="6" t="n">
        <v>3</v>
      </c>
      <c r="I319" s="7" t="n">
        <v>2174.31</v>
      </c>
      <c r="J319" s="7" t="n">
        <v>709.8</v>
      </c>
      <c r="K319" s="7" t="n">
        <v>4447.19</v>
      </c>
      <c r="L319" s="7" t="n">
        <v>1891.2</v>
      </c>
      <c r="M319" s="6" t="n">
        <v>4.1</v>
      </c>
      <c r="N319" s="6" t="s">
        <v>25</v>
      </c>
      <c r="O319" s="8" t="n">
        <f aca="false">VLOOKUP(F319,DIM_SERVICO!$A$2:$D$151,4,FALSE())</f>
        <v>709.8</v>
      </c>
      <c r="P319" s="8" t="n">
        <f aca="false">VLOOKUP(E319,DIM_PECA!$A$2:$F$501,6,FALSE())</f>
        <v>1276.05</v>
      </c>
      <c r="Q319" s="8" t="n">
        <f aca="false">VLOOKUP(E319,DIM_PECA!$A$2:$F$501,5,FALSE())</f>
        <v>724.77</v>
      </c>
      <c r="R319" s="8" t="n">
        <f aca="false">H319*P319</f>
        <v>3828.15</v>
      </c>
      <c r="S319" s="8" t="n">
        <f aca="false">O319*M319</f>
        <v>2910.18</v>
      </c>
      <c r="T319" s="8" t="n">
        <f aca="false">R319+S319</f>
        <v>6738.33</v>
      </c>
      <c r="U319" s="8" t="n">
        <f aca="false">T319-K319</f>
        <v>2291.14</v>
      </c>
      <c r="V319" s="8" t="n">
        <f aca="false">R319+S319-U319</f>
        <v>4447.19</v>
      </c>
      <c r="W319" s="9" t="str">
        <f aca="false">IF(ROUND(V319-K319,2)=0,"OK","ERRO")</f>
        <v>OK</v>
      </c>
      <c r="X319" s="9" t="str">
        <f aca="false">VLOOKUP(F319,DIM_SERVICO!$A$2:$D$151,3,FALSE())</f>
        <v>Pintura</v>
      </c>
    </row>
    <row r="320" customFormat="false" ht="15" hidden="false" customHeight="false" outlineLevel="0" collapsed="false">
      <c r="A320" s="2" t="n">
        <v>319</v>
      </c>
      <c r="B320" s="2" t="n">
        <v>886</v>
      </c>
      <c r="C320" s="2" t="n">
        <v>317</v>
      </c>
      <c r="D320" s="2" t="n">
        <v>44</v>
      </c>
      <c r="E320" s="2" t="n">
        <v>48</v>
      </c>
      <c r="F320" s="2" t="n">
        <v>142</v>
      </c>
      <c r="G320" s="2" t="n">
        <v>549</v>
      </c>
      <c r="H320" s="2" t="n">
        <v>3</v>
      </c>
      <c r="I320" s="3" t="n">
        <v>2861.91</v>
      </c>
      <c r="J320" s="3" t="n">
        <v>1867.45</v>
      </c>
      <c r="K320" s="3" t="n">
        <v>6840.3</v>
      </c>
      <c r="L320" s="3" t="n">
        <v>3205.09</v>
      </c>
      <c r="M320" s="2" t="n">
        <v>11.6</v>
      </c>
      <c r="N320" s="2" t="s">
        <v>24</v>
      </c>
      <c r="O320" s="4" t="n">
        <f aca="false">VLOOKUP(F320,DIM_SERVICO!$A$2:$D$151,4,FALSE())</f>
        <v>1867.45</v>
      </c>
      <c r="P320" s="4" t="n">
        <f aca="false">VLOOKUP(E320,DIM_PECA!$A$2:$F$501,6,FALSE())</f>
        <v>1910.96</v>
      </c>
      <c r="Q320" s="4" t="n">
        <f aca="false">VLOOKUP(E320,DIM_PECA!$A$2:$F$501,5,FALSE())</f>
        <v>953.97</v>
      </c>
      <c r="R320" s="4" t="n">
        <f aca="false">H320*P320</f>
        <v>5732.88</v>
      </c>
      <c r="S320" s="4" t="n">
        <f aca="false">O320*M320</f>
        <v>21662.42</v>
      </c>
      <c r="T320" s="4" t="n">
        <f aca="false">R320+S320</f>
        <v>27395.3</v>
      </c>
      <c r="U320" s="4" t="n">
        <f aca="false">T320-K320</f>
        <v>20555</v>
      </c>
      <c r="V320" s="4" t="n">
        <f aca="false">R320+S320-U320</f>
        <v>6840.3</v>
      </c>
      <c r="W320" s="5" t="str">
        <f aca="false">IF(ROUND(V320-K320,2)=0,"OK","ERRO")</f>
        <v>OK</v>
      </c>
      <c r="X320" s="5" t="str">
        <f aca="false">VLOOKUP(F320,DIM_SERVICO!$A$2:$D$151,3,FALSE())</f>
        <v>Elétrica</v>
      </c>
    </row>
    <row r="321" customFormat="false" ht="15" hidden="false" customHeight="false" outlineLevel="0" collapsed="false">
      <c r="A321" s="6" t="n">
        <v>320</v>
      </c>
      <c r="B321" s="6" t="n">
        <v>179</v>
      </c>
      <c r="C321" s="6" t="n">
        <v>172</v>
      </c>
      <c r="D321" s="6" t="n">
        <v>760</v>
      </c>
      <c r="E321" s="6" t="n">
        <v>445</v>
      </c>
      <c r="F321" s="6" t="n">
        <v>45</v>
      </c>
      <c r="G321" s="6" t="n">
        <v>1811</v>
      </c>
      <c r="H321" s="6" t="n">
        <v>3</v>
      </c>
      <c r="I321" s="7" t="n">
        <v>1727.4</v>
      </c>
      <c r="J321" s="7" t="n">
        <v>510.5</v>
      </c>
      <c r="K321" s="7" t="n">
        <v>3210.17</v>
      </c>
      <c r="L321" s="7" t="n">
        <v>1229.42</v>
      </c>
      <c r="M321" s="6" t="n">
        <v>1.3</v>
      </c>
      <c r="N321" s="6" t="s">
        <v>24</v>
      </c>
      <c r="O321" s="8" t="n">
        <f aca="false">VLOOKUP(F321,DIM_SERVICO!$A$2:$D$151,4,FALSE())</f>
        <v>510.5</v>
      </c>
      <c r="P321" s="8" t="n">
        <f aca="false">VLOOKUP(E321,DIM_PECA!$A$2:$F$501,6,FALSE())</f>
        <v>899.89</v>
      </c>
      <c r="Q321" s="8" t="n">
        <f aca="false">VLOOKUP(E321,DIM_PECA!$A$2:$F$501,5,FALSE())</f>
        <v>575.8</v>
      </c>
      <c r="R321" s="8" t="n">
        <f aca="false">H321*P321</f>
        <v>2699.67</v>
      </c>
      <c r="S321" s="8" t="n">
        <f aca="false">O321*M321</f>
        <v>663.65</v>
      </c>
      <c r="T321" s="8" t="n">
        <f aca="false">R321+S321</f>
        <v>3363.32</v>
      </c>
      <c r="U321" s="8" t="n">
        <f aca="false">T321-K321</f>
        <v>153.15</v>
      </c>
      <c r="V321" s="8" t="n">
        <f aca="false">R321+S321-U321</f>
        <v>3210.17</v>
      </c>
      <c r="W321" s="9" t="str">
        <f aca="false">IF(ROUND(V321-K321,2)=0,"OK","ERRO")</f>
        <v>OK</v>
      </c>
      <c r="X321" s="9" t="str">
        <f aca="false">VLOOKUP(F321,DIM_SERVICO!$A$2:$D$151,3,FALSE())</f>
        <v>Revisão</v>
      </c>
    </row>
    <row r="322" customFormat="false" ht="15" hidden="false" customHeight="false" outlineLevel="0" collapsed="false">
      <c r="A322" s="2" t="n">
        <v>321</v>
      </c>
      <c r="B322" s="2" t="n">
        <v>399</v>
      </c>
      <c r="C322" s="2" t="n">
        <v>438</v>
      </c>
      <c r="D322" s="2" t="n">
        <v>139</v>
      </c>
      <c r="E322" s="2" t="n">
        <v>274</v>
      </c>
      <c r="F322" s="2" t="n">
        <v>79</v>
      </c>
      <c r="G322" s="2" t="n">
        <v>130</v>
      </c>
      <c r="H322" s="2" t="n">
        <v>4</v>
      </c>
      <c r="I322" s="3" t="n">
        <v>3854.6</v>
      </c>
      <c r="J322" s="3" t="n">
        <v>748.05</v>
      </c>
      <c r="K322" s="3" t="n">
        <v>7571.41</v>
      </c>
      <c r="L322" s="3" t="n">
        <v>3355</v>
      </c>
      <c r="M322" s="2" t="n">
        <v>5.2</v>
      </c>
      <c r="N322" s="2" t="s">
        <v>27</v>
      </c>
      <c r="O322" s="4" t="n">
        <f aca="false">VLOOKUP(F322,DIM_SERVICO!$A$2:$D$151,4,FALSE())</f>
        <v>748.05</v>
      </c>
      <c r="P322" s="4" t="n">
        <f aca="false">VLOOKUP(E322,DIM_PECA!$A$2:$F$501,6,FALSE())</f>
        <v>1705.84</v>
      </c>
      <c r="Q322" s="4" t="n">
        <f aca="false">VLOOKUP(E322,DIM_PECA!$A$2:$F$501,5,FALSE())</f>
        <v>963.65</v>
      </c>
      <c r="R322" s="4" t="n">
        <f aca="false">H322*P322</f>
        <v>6823.36</v>
      </c>
      <c r="S322" s="4" t="n">
        <f aca="false">O322*M322</f>
        <v>3889.86</v>
      </c>
      <c r="T322" s="4" t="n">
        <f aca="false">R322+S322</f>
        <v>10713.22</v>
      </c>
      <c r="U322" s="4" t="n">
        <f aca="false">T322-K322</f>
        <v>3141.81</v>
      </c>
      <c r="V322" s="4" t="n">
        <f aca="false">R322+S322-U322</f>
        <v>7571.41</v>
      </c>
      <c r="W322" s="5" t="str">
        <f aca="false">IF(ROUND(V322-K322,2)=0,"OK","ERRO")</f>
        <v>OK</v>
      </c>
      <c r="X322" s="5" t="str">
        <f aca="false">VLOOKUP(F322,DIM_SERVICO!$A$2:$D$151,3,FALSE())</f>
        <v>Freios</v>
      </c>
    </row>
    <row r="323" customFormat="false" ht="15" hidden="false" customHeight="false" outlineLevel="0" collapsed="false">
      <c r="A323" s="6" t="n">
        <v>322</v>
      </c>
      <c r="B323" s="6" t="n">
        <v>528</v>
      </c>
      <c r="C323" s="6" t="n">
        <v>288</v>
      </c>
      <c r="D323" s="6" t="n">
        <v>395</v>
      </c>
      <c r="E323" s="6" t="n">
        <v>131</v>
      </c>
      <c r="F323" s="6" t="n">
        <v>110</v>
      </c>
      <c r="G323" s="6" t="n">
        <v>757</v>
      </c>
      <c r="H323" s="6" t="n">
        <v>3</v>
      </c>
      <c r="I323" s="7" t="n">
        <v>1772.88</v>
      </c>
      <c r="J323" s="7" t="n">
        <v>587.35</v>
      </c>
      <c r="K323" s="7" t="n">
        <v>3187.18</v>
      </c>
      <c r="L323" s="7" t="n">
        <v>1158.28</v>
      </c>
      <c r="M323" s="6" t="n">
        <v>2</v>
      </c>
      <c r="N323" s="6" t="s">
        <v>24</v>
      </c>
      <c r="O323" s="8" t="n">
        <f aca="false">VLOOKUP(F323,DIM_SERVICO!$A$2:$D$151,4,FALSE())</f>
        <v>587.35</v>
      </c>
      <c r="P323" s="8" t="n">
        <f aca="false">VLOOKUP(E323,DIM_PECA!$A$2:$F$501,6,FALSE())</f>
        <v>866.61</v>
      </c>
      <c r="Q323" s="8" t="n">
        <f aca="false">VLOOKUP(E323,DIM_PECA!$A$2:$F$501,5,FALSE())</f>
        <v>590.96</v>
      </c>
      <c r="R323" s="8" t="n">
        <f aca="false">H323*P323</f>
        <v>2599.83</v>
      </c>
      <c r="S323" s="8" t="n">
        <f aca="false">O323*M323</f>
        <v>1174.7</v>
      </c>
      <c r="T323" s="8" t="n">
        <f aca="false">R323+S323</f>
        <v>3774.53</v>
      </c>
      <c r="U323" s="8" t="n">
        <f aca="false">T323-K323</f>
        <v>587.35</v>
      </c>
      <c r="V323" s="8" t="n">
        <f aca="false">R323+S323-U323</f>
        <v>3187.18</v>
      </c>
      <c r="W323" s="9" t="str">
        <f aca="false">IF(ROUND(V323-K323,2)=0,"OK","ERRO")</f>
        <v>OK</v>
      </c>
      <c r="X323" s="9" t="str">
        <f aca="false">VLOOKUP(F323,DIM_SERVICO!$A$2:$D$151,3,FALSE())</f>
        <v>Funilaria</v>
      </c>
    </row>
    <row r="324" customFormat="false" ht="15" hidden="false" customHeight="false" outlineLevel="0" collapsed="false">
      <c r="A324" s="2" t="n">
        <v>323</v>
      </c>
      <c r="B324" s="2" t="n">
        <v>569</v>
      </c>
      <c r="C324" s="2" t="n">
        <v>1350</v>
      </c>
      <c r="D324" s="2" t="n">
        <v>115</v>
      </c>
      <c r="E324" s="2" t="n">
        <v>113</v>
      </c>
      <c r="F324" s="2" t="n">
        <v>139</v>
      </c>
      <c r="G324" s="2" t="n">
        <v>575</v>
      </c>
      <c r="H324" s="2" t="n">
        <v>4</v>
      </c>
      <c r="I324" s="3" t="n">
        <v>3361.56</v>
      </c>
      <c r="J324" s="3" t="n">
        <v>2138.46</v>
      </c>
      <c r="K324" s="3" t="n">
        <v>7295.34</v>
      </c>
      <c r="L324" s="3" t="n">
        <v>2896.45</v>
      </c>
      <c r="M324" s="2" t="n">
        <v>3.5</v>
      </c>
      <c r="N324" s="2" t="s">
        <v>24</v>
      </c>
      <c r="O324" s="4" t="n">
        <f aca="false">VLOOKUP(F324,DIM_SERVICO!$A$2:$D$151,4,FALSE())</f>
        <v>2138.46</v>
      </c>
      <c r="P324" s="4" t="n">
        <f aca="false">VLOOKUP(E324,DIM_PECA!$A$2:$F$501,6,FALSE())</f>
        <v>1326.44</v>
      </c>
      <c r="Q324" s="4" t="n">
        <f aca="false">VLOOKUP(E324,DIM_PECA!$A$2:$F$501,5,FALSE())</f>
        <v>840.39</v>
      </c>
      <c r="R324" s="4" t="n">
        <f aca="false">H324*P324</f>
        <v>5305.76</v>
      </c>
      <c r="S324" s="4" t="n">
        <f aca="false">O324*M324</f>
        <v>7484.61</v>
      </c>
      <c r="T324" s="4" t="n">
        <f aca="false">R324+S324</f>
        <v>12790.37</v>
      </c>
      <c r="U324" s="4" t="n">
        <f aca="false">T324-K324</f>
        <v>5495.03</v>
      </c>
      <c r="V324" s="4" t="n">
        <f aca="false">R324+S324-U324</f>
        <v>7295.34</v>
      </c>
      <c r="W324" s="5" t="str">
        <f aca="false">IF(ROUND(V324-K324,2)=0,"OK","ERRO")</f>
        <v>OK</v>
      </c>
      <c r="X324" s="5" t="str">
        <f aca="false">VLOOKUP(F324,DIM_SERVICO!$A$2:$D$151,3,FALSE())</f>
        <v>Revisão</v>
      </c>
    </row>
    <row r="325" customFormat="false" ht="15" hidden="false" customHeight="false" outlineLevel="0" collapsed="false">
      <c r="A325" s="6" t="n">
        <v>324</v>
      </c>
      <c r="B325" s="6" t="n">
        <v>1392</v>
      </c>
      <c r="C325" s="6" t="n">
        <v>1383</v>
      </c>
      <c r="D325" s="6" t="n">
        <v>95</v>
      </c>
      <c r="E325" s="6" t="n">
        <v>39</v>
      </c>
      <c r="F325" s="6" t="n">
        <v>132</v>
      </c>
      <c r="G325" s="6" t="n">
        <v>1265</v>
      </c>
      <c r="H325" s="6" t="n">
        <v>2</v>
      </c>
      <c r="I325" s="7" t="n">
        <v>2270.2</v>
      </c>
      <c r="J325" s="7" t="n">
        <v>746.69</v>
      </c>
      <c r="K325" s="7" t="n">
        <v>3772.97</v>
      </c>
      <c r="L325" s="7" t="n">
        <v>1094.23</v>
      </c>
      <c r="M325" s="6" t="n">
        <v>1.8</v>
      </c>
      <c r="N325" s="6" t="s">
        <v>25</v>
      </c>
      <c r="O325" s="8" t="n">
        <f aca="false">VLOOKUP(F325,DIM_SERVICO!$A$2:$D$151,4,FALSE())</f>
        <v>746.69</v>
      </c>
      <c r="P325" s="8" t="n">
        <f aca="false">VLOOKUP(E325,DIM_PECA!$A$2:$F$501,6,FALSE())</f>
        <v>1677.18</v>
      </c>
      <c r="Q325" s="8" t="n">
        <f aca="false">VLOOKUP(E325,DIM_PECA!$A$2:$F$501,5,FALSE())</f>
        <v>1135.1</v>
      </c>
      <c r="R325" s="8" t="n">
        <f aca="false">H325*P325</f>
        <v>3354.36</v>
      </c>
      <c r="S325" s="8" t="n">
        <f aca="false">O325*M325</f>
        <v>1344.042</v>
      </c>
      <c r="T325" s="8" t="n">
        <f aca="false">R325+S325</f>
        <v>4698.402</v>
      </c>
      <c r="U325" s="8" t="n">
        <f aca="false">T325-K325</f>
        <v>925.432</v>
      </c>
      <c r="V325" s="8" t="n">
        <f aca="false">R325+S325-U325</f>
        <v>3772.97</v>
      </c>
      <c r="W325" s="9" t="str">
        <f aca="false">IF(ROUND(V325-K325,2)=0,"OK","ERRO")</f>
        <v>OK</v>
      </c>
      <c r="X325" s="9" t="str">
        <f aca="false">VLOOKUP(F325,DIM_SERVICO!$A$2:$D$151,3,FALSE())</f>
        <v>Motor</v>
      </c>
    </row>
    <row r="326" customFormat="false" ht="15" hidden="false" customHeight="false" outlineLevel="0" collapsed="false">
      <c r="A326" s="2" t="n">
        <v>325</v>
      </c>
      <c r="B326" s="2" t="n">
        <v>680</v>
      </c>
      <c r="C326" s="2" t="n">
        <v>615</v>
      </c>
      <c r="D326" s="2" t="n">
        <v>391</v>
      </c>
      <c r="E326" s="2" t="n">
        <v>424</v>
      </c>
      <c r="F326" s="2" t="n">
        <v>86</v>
      </c>
      <c r="G326" s="2" t="n">
        <v>435</v>
      </c>
      <c r="H326" s="2" t="n">
        <v>3</v>
      </c>
      <c r="I326" s="3" t="n">
        <v>3252.72</v>
      </c>
      <c r="J326" s="3" t="n">
        <v>147.26</v>
      </c>
      <c r="K326" s="3" t="n">
        <v>6339.35</v>
      </c>
      <c r="L326" s="3" t="n">
        <v>3016.22</v>
      </c>
      <c r="M326" s="2" t="n">
        <v>2.6</v>
      </c>
      <c r="N326" s="2" t="s">
        <v>26</v>
      </c>
      <c r="O326" s="4" t="n">
        <f aca="false">VLOOKUP(F326,DIM_SERVICO!$A$2:$D$151,4,FALSE())</f>
        <v>147.26</v>
      </c>
      <c r="P326" s="4" t="n">
        <f aca="false">VLOOKUP(E326,DIM_PECA!$A$2:$F$501,6,FALSE())</f>
        <v>2298.82</v>
      </c>
      <c r="Q326" s="4" t="n">
        <f aca="false">VLOOKUP(E326,DIM_PECA!$A$2:$F$501,5,FALSE())</f>
        <v>1084.24</v>
      </c>
      <c r="R326" s="4" t="n">
        <f aca="false">H326*P326</f>
        <v>6896.46</v>
      </c>
      <c r="S326" s="4" t="n">
        <f aca="false">O326*M326</f>
        <v>382.876</v>
      </c>
      <c r="T326" s="4" t="n">
        <f aca="false">R326+S326</f>
        <v>7279.336</v>
      </c>
      <c r="U326" s="4" t="n">
        <f aca="false">T326-K326</f>
        <v>939.986000000001</v>
      </c>
      <c r="V326" s="4" t="n">
        <f aca="false">R326+S326-U326</f>
        <v>6339.35</v>
      </c>
      <c r="W326" s="5" t="str">
        <f aca="false">IF(ROUND(V326-K326,2)=0,"OK","ERRO")</f>
        <v>OK</v>
      </c>
      <c r="X326" s="5" t="str">
        <f aca="false">VLOOKUP(F326,DIM_SERVICO!$A$2:$D$151,3,FALSE())</f>
        <v>Suspensão</v>
      </c>
    </row>
    <row r="327" customFormat="false" ht="15" hidden="false" customHeight="false" outlineLevel="0" collapsed="false">
      <c r="A327" s="6" t="n">
        <v>326</v>
      </c>
      <c r="B327" s="6" t="n">
        <v>704</v>
      </c>
      <c r="C327" s="6" t="n">
        <v>1290</v>
      </c>
      <c r="D327" s="6" t="n">
        <v>787</v>
      </c>
      <c r="E327" s="6" t="n">
        <v>65</v>
      </c>
      <c r="F327" s="6" t="n">
        <v>137</v>
      </c>
      <c r="G327" s="6" t="n">
        <v>1369</v>
      </c>
      <c r="H327" s="6" t="n">
        <v>4</v>
      </c>
      <c r="I327" s="7" t="n">
        <v>197.12</v>
      </c>
      <c r="J327" s="7" t="n">
        <v>1147.35</v>
      </c>
      <c r="K327" s="7" t="n">
        <v>1287.86</v>
      </c>
      <c r="L327" s="7" t="n">
        <v>517.54</v>
      </c>
      <c r="M327" s="6" t="n">
        <v>6.2</v>
      </c>
      <c r="N327" s="6" t="s">
        <v>24</v>
      </c>
      <c r="O327" s="8" t="n">
        <f aca="false">VLOOKUP(F327,DIM_SERVICO!$A$2:$D$151,4,FALSE())</f>
        <v>1147.35</v>
      </c>
      <c r="P327" s="8" t="n">
        <f aca="false">VLOOKUP(E327,DIM_PECA!$A$2:$F$501,6,FALSE())</f>
        <v>70.9</v>
      </c>
      <c r="Q327" s="8" t="n">
        <f aca="false">VLOOKUP(E327,DIM_PECA!$A$2:$F$501,5,FALSE())</f>
        <v>49.28</v>
      </c>
      <c r="R327" s="8" t="n">
        <f aca="false">H327*P327</f>
        <v>283.6</v>
      </c>
      <c r="S327" s="8" t="n">
        <f aca="false">O327*M327</f>
        <v>7113.57</v>
      </c>
      <c r="T327" s="8" t="n">
        <f aca="false">R327+S327</f>
        <v>7397.17</v>
      </c>
      <c r="U327" s="8" t="n">
        <f aca="false">T327-K327</f>
        <v>6109.31</v>
      </c>
      <c r="V327" s="8" t="n">
        <f aca="false">R327+S327-U327</f>
        <v>1287.86</v>
      </c>
      <c r="W327" s="9" t="str">
        <f aca="false">IF(ROUND(V327-K327,2)=0,"OK","ERRO")</f>
        <v>OK</v>
      </c>
      <c r="X327" s="9" t="str">
        <f aca="false">VLOOKUP(F327,DIM_SERVICO!$A$2:$D$151,3,FALSE())</f>
        <v>Diagnóstico</v>
      </c>
    </row>
    <row r="328" customFormat="false" ht="15" hidden="false" customHeight="false" outlineLevel="0" collapsed="false">
      <c r="A328" s="2" t="n">
        <v>327</v>
      </c>
      <c r="B328" s="2" t="n">
        <v>538</v>
      </c>
      <c r="C328" s="2" t="n">
        <v>1047</v>
      </c>
      <c r="D328" s="2" t="n">
        <v>149</v>
      </c>
      <c r="E328" s="2" t="n">
        <v>428</v>
      </c>
      <c r="F328" s="2" t="n">
        <v>64</v>
      </c>
      <c r="G328" s="2" t="n">
        <v>1602</v>
      </c>
      <c r="H328" s="2" t="n">
        <v>3</v>
      </c>
      <c r="I328" s="3" t="n">
        <v>200.1</v>
      </c>
      <c r="J328" s="3" t="n">
        <v>1447.78</v>
      </c>
      <c r="K328" s="3" t="n">
        <v>1631.86</v>
      </c>
      <c r="L328" s="3" t="n">
        <v>793.4</v>
      </c>
      <c r="M328" s="2" t="n">
        <v>10.2</v>
      </c>
      <c r="N328" s="2" t="s">
        <v>24</v>
      </c>
      <c r="O328" s="4" t="n">
        <f aca="false">VLOOKUP(F328,DIM_SERVICO!$A$2:$D$151,4,FALSE())</f>
        <v>1447.78</v>
      </c>
      <c r="P328" s="4" t="n">
        <f aca="false">VLOOKUP(E328,DIM_PECA!$A$2:$F$501,6,FALSE())</f>
        <v>108.66</v>
      </c>
      <c r="Q328" s="4" t="n">
        <f aca="false">VLOOKUP(E328,DIM_PECA!$A$2:$F$501,5,FALSE())</f>
        <v>66.7</v>
      </c>
      <c r="R328" s="4" t="n">
        <f aca="false">H328*P328</f>
        <v>325.98</v>
      </c>
      <c r="S328" s="4" t="n">
        <f aca="false">O328*M328</f>
        <v>14767.356</v>
      </c>
      <c r="T328" s="4" t="n">
        <f aca="false">R328+S328</f>
        <v>15093.336</v>
      </c>
      <c r="U328" s="4" t="n">
        <f aca="false">T328-K328</f>
        <v>13461.476</v>
      </c>
      <c r="V328" s="4" t="n">
        <f aca="false">R328+S328-U328</f>
        <v>1631.86</v>
      </c>
      <c r="W328" s="5" t="str">
        <f aca="false">IF(ROUND(V328-K328,2)=0,"OK","ERRO")</f>
        <v>OK</v>
      </c>
      <c r="X328" s="5" t="str">
        <f aca="false">VLOOKUP(F328,DIM_SERVICO!$A$2:$D$151,3,FALSE())</f>
        <v>Pintura</v>
      </c>
    </row>
    <row r="329" customFormat="false" ht="15" hidden="false" customHeight="false" outlineLevel="0" collapsed="false">
      <c r="A329" s="6" t="n">
        <v>328</v>
      </c>
      <c r="B329" s="6" t="n">
        <v>234</v>
      </c>
      <c r="C329" s="6" t="n">
        <v>502</v>
      </c>
      <c r="D329" s="6" t="n">
        <v>462</v>
      </c>
      <c r="E329" s="6" t="n">
        <v>397</v>
      </c>
      <c r="F329" s="6" t="n">
        <v>12</v>
      </c>
      <c r="G329" s="6" t="n">
        <v>949</v>
      </c>
      <c r="H329" s="6" t="n">
        <v>3</v>
      </c>
      <c r="I329" s="7" t="n">
        <v>319.95</v>
      </c>
      <c r="J329" s="7" t="n">
        <v>1399.41</v>
      </c>
      <c r="K329" s="7" t="n">
        <v>1875.21</v>
      </c>
      <c r="L329" s="7" t="n">
        <v>1040.78</v>
      </c>
      <c r="M329" s="6" t="n">
        <v>9</v>
      </c>
      <c r="N329" s="6" t="s">
        <v>26</v>
      </c>
      <c r="O329" s="8" t="n">
        <f aca="false">VLOOKUP(F329,DIM_SERVICO!$A$2:$D$151,4,FALSE())</f>
        <v>1399.41</v>
      </c>
      <c r="P329" s="8" t="n">
        <f aca="false">VLOOKUP(E329,DIM_PECA!$A$2:$F$501,6,FALSE())</f>
        <v>191.5</v>
      </c>
      <c r="Q329" s="8" t="n">
        <f aca="false">VLOOKUP(E329,DIM_PECA!$A$2:$F$501,5,FALSE())</f>
        <v>106.65</v>
      </c>
      <c r="R329" s="8" t="n">
        <f aca="false">H329*P329</f>
        <v>574.5</v>
      </c>
      <c r="S329" s="8" t="n">
        <f aca="false">O329*M329</f>
        <v>12594.69</v>
      </c>
      <c r="T329" s="8" t="n">
        <f aca="false">R329+S329</f>
        <v>13169.19</v>
      </c>
      <c r="U329" s="8" t="n">
        <f aca="false">T329-K329</f>
        <v>11293.98</v>
      </c>
      <c r="V329" s="8" t="n">
        <f aca="false">R329+S329-U329</f>
        <v>1875.21</v>
      </c>
      <c r="W329" s="9" t="str">
        <f aca="false">IF(ROUND(V329-K329,2)=0,"OK","ERRO")</f>
        <v>OK</v>
      </c>
      <c r="X329" s="9" t="str">
        <f aca="false">VLOOKUP(F329,DIM_SERVICO!$A$2:$D$151,3,FALSE())</f>
        <v>Revisão</v>
      </c>
    </row>
    <row r="330" customFormat="false" ht="15" hidden="false" customHeight="false" outlineLevel="0" collapsed="false">
      <c r="A330" s="2" t="n">
        <v>329</v>
      </c>
      <c r="B330" s="2" t="n">
        <v>1315</v>
      </c>
      <c r="C330" s="2" t="n">
        <v>38</v>
      </c>
      <c r="D330" s="2" t="n">
        <v>694</v>
      </c>
      <c r="E330" s="2" t="n">
        <v>358</v>
      </c>
      <c r="F330" s="2" t="n">
        <v>138</v>
      </c>
      <c r="G330" s="2" t="n">
        <v>1812</v>
      </c>
      <c r="H330" s="2" t="n">
        <v>2</v>
      </c>
      <c r="I330" s="3" t="n">
        <v>2278.64</v>
      </c>
      <c r="J330" s="3" t="n">
        <v>836.68</v>
      </c>
      <c r="K330" s="3" t="n">
        <v>4187.86</v>
      </c>
      <c r="L330" s="3" t="n">
        <v>1572.8</v>
      </c>
      <c r="M330" s="2" t="n">
        <v>4.5</v>
      </c>
      <c r="N330" s="2" t="s">
        <v>26</v>
      </c>
      <c r="O330" s="4" t="n">
        <f aca="false">VLOOKUP(F330,DIM_SERVICO!$A$2:$D$151,4,FALSE())</f>
        <v>836.68</v>
      </c>
      <c r="P330" s="4" t="n">
        <f aca="false">VLOOKUP(E330,DIM_PECA!$A$2:$F$501,6,FALSE())</f>
        <v>1857.67</v>
      </c>
      <c r="Q330" s="4" t="n">
        <f aca="false">VLOOKUP(E330,DIM_PECA!$A$2:$F$501,5,FALSE())</f>
        <v>1139.32</v>
      </c>
      <c r="R330" s="4" t="n">
        <f aca="false">H330*P330</f>
        <v>3715.34</v>
      </c>
      <c r="S330" s="4" t="n">
        <f aca="false">O330*M330</f>
        <v>3765.06</v>
      </c>
      <c r="T330" s="4" t="n">
        <f aca="false">R330+S330</f>
        <v>7480.4</v>
      </c>
      <c r="U330" s="4" t="n">
        <f aca="false">T330-K330</f>
        <v>3292.54</v>
      </c>
      <c r="V330" s="4" t="n">
        <f aca="false">R330+S330-U330</f>
        <v>4187.86</v>
      </c>
      <c r="W330" s="5" t="str">
        <f aca="false">IF(ROUND(V330-K330,2)=0,"OK","ERRO")</f>
        <v>OK</v>
      </c>
      <c r="X330" s="5" t="str">
        <f aca="false">VLOOKUP(F330,DIM_SERVICO!$A$2:$D$151,3,FALSE())</f>
        <v>Funilaria</v>
      </c>
    </row>
    <row r="331" customFormat="false" ht="15" hidden="false" customHeight="false" outlineLevel="0" collapsed="false">
      <c r="A331" s="6" t="n">
        <v>330</v>
      </c>
      <c r="B331" s="6" t="n">
        <v>386</v>
      </c>
      <c r="C331" s="6" t="n">
        <v>646</v>
      </c>
      <c r="D331" s="6" t="n">
        <v>480</v>
      </c>
      <c r="E331" s="6" t="n">
        <v>214</v>
      </c>
      <c r="F331" s="6" t="n">
        <v>90</v>
      </c>
      <c r="G331" s="6" t="n">
        <v>160</v>
      </c>
      <c r="H331" s="6" t="n">
        <v>2</v>
      </c>
      <c r="I331" s="7" t="n">
        <v>849.04</v>
      </c>
      <c r="J331" s="7" t="n">
        <v>702.32</v>
      </c>
      <c r="K331" s="7" t="n">
        <v>2244.54</v>
      </c>
      <c r="L331" s="7" t="n">
        <v>1093.29</v>
      </c>
      <c r="M331" s="6" t="n">
        <v>8.1</v>
      </c>
      <c r="N331" s="6" t="s">
        <v>24</v>
      </c>
      <c r="O331" s="8" t="n">
        <f aca="false">VLOOKUP(F331,DIM_SERVICO!$A$2:$D$151,4,FALSE())</f>
        <v>702.32</v>
      </c>
      <c r="P331" s="8" t="n">
        <f aca="false">VLOOKUP(E331,DIM_PECA!$A$2:$F$501,6,FALSE())</f>
        <v>771.11</v>
      </c>
      <c r="Q331" s="8" t="n">
        <f aca="false">VLOOKUP(E331,DIM_PECA!$A$2:$F$501,5,FALSE())</f>
        <v>424.52</v>
      </c>
      <c r="R331" s="8" t="n">
        <f aca="false">H331*P331</f>
        <v>1542.22</v>
      </c>
      <c r="S331" s="8" t="n">
        <f aca="false">O331*M331</f>
        <v>5688.792</v>
      </c>
      <c r="T331" s="8" t="n">
        <f aca="false">R331+S331</f>
        <v>7231.012</v>
      </c>
      <c r="U331" s="8" t="n">
        <f aca="false">T331-K331</f>
        <v>4986.472</v>
      </c>
      <c r="V331" s="8" t="n">
        <f aca="false">R331+S331-U331</f>
        <v>2244.54</v>
      </c>
      <c r="W331" s="9" t="str">
        <f aca="false">IF(ROUND(V331-K331,2)=0,"OK","ERRO")</f>
        <v>OK</v>
      </c>
      <c r="X331" s="9" t="str">
        <f aca="false">VLOOKUP(F331,DIM_SERVICO!$A$2:$D$151,3,FALSE())</f>
        <v>Diagnóstico</v>
      </c>
    </row>
    <row r="332" customFormat="false" ht="15" hidden="false" customHeight="false" outlineLevel="0" collapsed="false">
      <c r="A332" s="2" t="n">
        <v>331</v>
      </c>
      <c r="B332" s="2" t="n">
        <v>495</v>
      </c>
      <c r="C332" s="2" t="n">
        <v>1321</v>
      </c>
      <c r="D332" s="2" t="n">
        <v>788</v>
      </c>
      <c r="E332" s="2" t="n">
        <v>56</v>
      </c>
      <c r="F332" s="2" t="n">
        <v>25</v>
      </c>
      <c r="G332" s="2" t="n">
        <v>1279</v>
      </c>
      <c r="H332" s="2" t="n">
        <v>3</v>
      </c>
      <c r="I332" s="3" t="n">
        <v>1130.52</v>
      </c>
      <c r="J332" s="3" t="n">
        <v>1419.73</v>
      </c>
      <c r="K332" s="3" t="n">
        <v>3011.51</v>
      </c>
      <c r="L332" s="3" t="n">
        <v>1216.03</v>
      </c>
      <c r="M332" s="2" t="n">
        <v>7.9</v>
      </c>
      <c r="N332" s="2" t="s">
        <v>24</v>
      </c>
      <c r="O332" s="4" t="n">
        <f aca="false">VLOOKUP(F332,DIM_SERVICO!$A$2:$D$151,4,FALSE())</f>
        <v>1419.73</v>
      </c>
      <c r="P332" s="4" t="n">
        <f aca="false">VLOOKUP(E332,DIM_PECA!$A$2:$F$501,6,FALSE())</f>
        <v>642.13</v>
      </c>
      <c r="Q332" s="4" t="n">
        <f aca="false">VLOOKUP(E332,DIM_PECA!$A$2:$F$501,5,FALSE())</f>
        <v>376.84</v>
      </c>
      <c r="R332" s="4" t="n">
        <f aca="false">H332*P332</f>
        <v>1926.39</v>
      </c>
      <c r="S332" s="4" t="n">
        <f aca="false">O332*M332</f>
        <v>11215.867</v>
      </c>
      <c r="T332" s="4" t="n">
        <f aca="false">R332+S332</f>
        <v>13142.257</v>
      </c>
      <c r="U332" s="4" t="n">
        <f aca="false">T332-K332</f>
        <v>10130.747</v>
      </c>
      <c r="V332" s="4" t="n">
        <f aca="false">R332+S332-U332</f>
        <v>3011.51</v>
      </c>
      <c r="W332" s="5" t="str">
        <f aca="false">IF(ROUND(V332-K332,2)=0,"OK","ERRO")</f>
        <v>OK</v>
      </c>
      <c r="X332" s="5" t="str">
        <f aca="false">VLOOKUP(F332,DIM_SERVICO!$A$2:$D$151,3,FALSE())</f>
        <v>Motor</v>
      </c>
    </row>
    <row r="333" customFormat="false" ht="15" hidden="false" customHeight="false" outlineLevel="0" collapsed="false">
      <c r="A333" s="6" t="n">
        <v>332</v>
      </c>
      <c r="B333" s="6" t="n">
        <v>763</v>
      </c>
      <c r="C333" s="6" t="n">
        <v>319</v>
      </c>
      <c r="D333" s="6" t="n">
        <v>594</v>
      </c>
      <c r="E333" s="6" t="n">
        <v>123</v>
      </c>
      <c r="F333" s="6" t="n">
        <v>1</v>
      </c>
      <c r="G333" s="6" t="n">
        <v>476</v>
      </c>
      <c r="H333" s="6" t="n">
        <v>1</v>
      </c>
      <c r="I333" s="7" t="n">
        <v>872.55</v>
      </c>
      <c r="J333" s="7" t="n">
        <v>412.84</v>
      </c>
      <c r="K333" s="7" t="n">
        <v>2257.28</v>
      </c>
      <c r="L333" s="7" t="n">
        <v>1196.05</v>
      </c>
      <c r="M333" s="6" t="n">
        <v>4.1</v>
      </c>
      <c r="N333" s="6" t="s">
        <v>24</v>
      </c>
      <c r="O333" s="8" t="n">
        <f aca="false">VLOOKUP(F333,DIM_SERVICO!$A$2:$D$151,4,FALSE())</f>
        <v>412.84</v>
      </c>
      <c r="P333" s="8" t="n">
        <f aca="false">VLOOKUP(E333,DIM_PECA!$A$2:$F$501,6,FALSE())</f>
        <v>1844.44</v>
      </c>
      <c r="Q333" s="8" t="n">
        <f aca="false">VLOOKUP(E333,DIM_PECA!$A$2:$F$501,5,FALSE())</f>
        <v>872.55</v>
      </c>
      <c r="R333" s="8" t="n">
        <f aca="false">H333*P333</f>
        <v>1844.44</v>
      </c>
      <c r="S333" s="8" t="n">
        <f aca="false">O333*M333</f>
        <v>1692.644</v>
      </c>
      <c r="T333" s="8" t="n">
        <f aca="false">R333+S333</f>
        <v>3537.084</v>
      </c>
      <c r="U333" s="8" t="n">
        <f aca="false">T333-K333</f>
        <v>1279.804</v>
      </c>
      <c r="V333" s="8" t="n">
        <f aca="false">R333+S333-U333</f>
        <v>2257.28</v>
      </c>
      <c r="W333" s="9" t="str">
        <f aca="false">IF(ROUND(V333-K333,2)=0,"OK","ERRO")</f>
        <v>OK</v>
      </c>
      <c r="X333" s="9" t="str">
        <f aca="false">VLOOKUP(F333,DIM_SERVICO!$A$2:$D$151,3,FALSE())</f>
        <v>Elétrica</v>
      </c>
    </row>
    <row r="334" customFormat="false" ht="15" hidden="false" customHeight="false" outlineLevel="0" collapsed="false">
      <c r="A334" s="2" t="n">
        <v>333</v>
      </c>
      <c r="B334" s="2" t="n">
        <v>138</v>
      </c>
      <c r="C334" s="2" t="n">
        <v>1221</v>
      </c>
      <c r="D334" s="2" t="n">
        <v>451</v>
      </c>
      <c r="E334" s="2" t="n">
        <v>139</v>
      </c>
      <c r="F334" s="2" t="n">
        <v>33</v>
      </c>
      <c r="G334" s="2" t="n">
        <v>1121</v>
      </c>
      <c r="H334" s="2" t="n">
        <v>1</v>
      </c>
      <c r="I334" s="3" t="n">
        <v>1091.22</v>
      </c>
      <c r="J334" s="3" t="n">
        <v>538.49</v>
      </c>
      <c r="K334" s="3" t="n">
        <v>1937.09</v>
      </c>
      <c r="L334" s="3" t="n">
        <v>622.89</v>
      </c>
      <c r="M334" s="2" t="n">
        <v>0.7</v>
      </c>
      <c r="N334" s="2" t="s">
        <v>27</v>
      </c>
      <c r="O334" s="4" t="n">
        <f aca="false">VLOOKUP(F334,DIM_SERVICO!$A$2:$D$151,4,FALSE())</f>
        <v>538.49</v>
      </c>
      <c r="P334" s="4" t="n">
        <f aca="false">VLOOKUP(E334,DIM_PECA!$A$2:$F$501,6,FALSE())</f>
        <v>1567.04</v>
      </c>
      <c r="Q334" s="4" t="n">
        <f aca="false">VLOOKUP(E334,DIM_PECA!$A$2:$F$501,5,FALSE())</f>
        <v>1091.22</v>
      </c>
      <c r="R334" s="4" t="n">
        <f aca="false">H334*P334</f>
        <v>1567.04</v>
      </c>
      <c r="S334" s="4" t="n">
        <f aca="false">O334*M334</f>
        <v>376.943</v>
      </c>
      <c r="T334" s="4" t="n">
        <f aca="false">R334+S334</f>
        <v>1943.983</v>
      </c>
      <c r="U334" s="4" t="n">
        <f aca="false">T334-K334</f>
        <v>6.89300000000003</v>
      </c>
      <c r="V334" s="4" t="n">
        <f aca="false">R334+S334-U334</f>
        <v>1937.09</v>
      </c>
      <c r="W334" s="5" t="str">
        <f aca="false">IF(ROUND(V334-K334,2)=0,"OK","ERRO")</f>
        <v>OK</v>
      </c>
      <c r="X334" s="5" t="str">
        <f aca="false">VLOOKUP(F334,DIM_SERVICO!$A$2:$D$151,3,FALSE())</f>
        <v>Suspensão</v>
      </c>
    </row>
    <row r="335" customFormat="false" ht="15" hidden="false" customHeight="false" outlineLevel="0" collapsed="false">
      <c r="A335" s="6" t="n">
        <v>334</v>
      </c>
      <c r="B335" s="6" t="n">
        <v>698</v>
      </c>
      <c r="C335" s="6" t="n">
        <v>1197</v>
      </c>
      <c r="D335" s="6" t="n">
        <v>303</v>
      </c>
      <c r="E335" s="6" t="n">
        <v>400</v>
      </c>
      <c r="F335" s="6" t="n">
        <v>54</v>
      </c>
      <c r="G335" s="6" t="n">
        <v>221</v>
      </c>
      <c r="H335" s="6" t="n">
        <v>3</v>
      </c>
      <c r="I335" s="7" t="n">
        <v>932.16</v>
      </c>
      <c r="J335" s="7" t="n">
        <v>952.31</v>
      </c>
      <c r="K335" s="7" t="n">
        <v>2640.56</v>
      </c>
      <c r="L335" s="7" t="n">
        <v>1193.04</v>
      </c>
      <c r="M335" s="6" t="n">
        <v>6.2</v>
      </c>
      <c r="N335" s="6" t="s">
        <v>25</v>
      </c>
      <c r="O335" s="8" t="n">
        <f aca="false">VLOOKUP(F335,DIM_SERVICO!$A$2:$D$151,4,FALSE())</f>
        <v>952.31</v>
      </c>
      <c r="P335" s="8" t="n">
        <f aca="false">VLOOKUP(E335,DIM_PECA!$A$2:$F$501,6,FALSE())</f>
        <v>562.75</v>
      </c>
      <c r="Q335" s="8" t="n">
        <f aca="false">VLOOKUP(E335,DIM_PECA!$A$2:$F$501,5,FALSE())</f>
        <v>310.72</v>
      </c>
      <c r="R335" s="8" t="n">
        <f aca="false">H335*P335</f>
        <v>1688.25</v>
      </c>
      <c r="S335" s="8" t="n">
        <f aca="false">O335*M335</f>
        <v>5904.322</v>
      </c>
      <c r="T335" s="8" t="n">
        <f aca="false">R335+S335</f>
        <v>7592.572</v>
      </c>
      <c r="U335" s="8" t="n">
        <f aca="false">T335-K335</f>
        <v>4952.012</v>
      </c>
      <c r="V335" s="8" t="n">
        <f aca="false">R335+S335-U335</f>
        <v>2640.56</v>
      </c>
      <c r="W335" s="9" t="str">
        <f aca="false">IF(ROUND(V335-K335,2)=0,"OK","ERRO")</f>
        <v>OK</v>
      </c>
      <c r="X335" s="9" t="str">
        <f aca="false">VLOOKUP(F335,DIM_SERVICO!$A$2:$D$151,3,FALSE())</f>
        <v>Revisão</v>
      </c>
    </row>
    <row r="336" customFormat="false" ht="15" hidden="false" customHeight="false" outlineLevel="0" collapsed="false">
      <c r="A336" s="2" t="n">
        <v>335</v>
      </c>
      <c r="B336" s="2" t="n">
        <v>341</v>
      </c>
      <c r="C336" s="2" t="n">
        <v>31</v>
      </c>
      <c r="D336" s="2" t="n">
        <v>622</v>
      </c>
      <c r="E336" s="2" t="n">
        <v>351</v>
      </c>
      <c r="F336" s="2" t="n">
        <v>49</v>
      </c>
      <c r="G336" s="2" t="n">
        <v>1192</v>
      </c>
      <c r="H336" s="2" t="n">
        <v>1</v>
      </c>
      <c r="I336" s="3" t="n">
        <v>203.44</v>
      </c>
      <c r="J336" s="3" t="n">
        <v>1883.63</v>
      </c>
      <c r="K336" s="3" t="n">
        <v>2020.4</v>
      </c>
      <c r="L336" s="3" t="n">
        <v>1143.39</v>
      </c>
      <c r="M336" s="2" t="n">
        <v>3.6</v>
      </c>
      <c r="N336" s="2" t="s">
        <v>26</v>
      </c>
      <c r="O336" s="4" t="n">
        <f aca="false">VLOOKUP(F336,DIM_SERVICO!$A$2:$D$151,4,FALSE())</f>
        <v>1883.63</v>
      </c>
      <c r="P336" s="4" t="n">
        <f aca="false">VLOOKUP(E336,DIM_PECA!$A$2:$F$501,6,FALSE())</f>
        <v>361.26</v>
      </c>
      <c r="Q336" s="4" t="n">
        <f aca="false">VLOOKUP(E336,DIM_PECA!$A$2:$F$501,5,FALSE())</f>
        <v>203.44</v>
      </c>
      <c r="R336" s="4" t="n">
        <f aca="false">H336*P336</f>
        <v>361.26</v>
      </c>
      <c r="S336" s="4" t="n">
        <f aca="false">O336*M336</f>
        <v>6781.068</v>
      </c>
      <c r="T336" s="4" t="n">
        <f aca="false">R336+S336</f>
        <v>7142.328</v>
      </c>
      <c r="U336" s="4" t="n">
        <f aca="false">T336-K336</f>
        <v>5121.928</v>
      </c>
      <c r="V336" s="4" t="n">
        <f aca="false">R336+S336-U336</f>
        <v>2020.4</v>
      </c>
      <c r="W336" s="5" t="str">
        <f aca="false">IF(ROUND(V336-K336,2)=0,"OK","ERRO")</f>
        <v>OK</v>
      </c>
      <c r="X336" s="5" t="str">
        <f aca="false">VLOOKUP(F336,DIM_SERVICO!$A$2:$D$151,3,FALSE())</f>
        <v>Suspensão</v>
      </c>
    </row>
    <row r="337" customFormat="false" ht="15" hidden="false" customHeight="false" outlineLevel="0" collapsed="false">
      <c r="A337" s="6" t="n">
        <v>336</v>
      </c>
      <c r="B337" s="6" t="n">
        <v>708</v>
      </c>
      <c r="C337" s="6" t="n">
        <v>1498</v>
      </c>
      <c r="D337" s="6" t="n">
        <v>1129</v>
      </c>
      <c r="E337" s="6" t="n">
        <v>108</v>
      </c>
      <c r="F337" s="6" t="n">
        <v>48</v>
      </c>
      <c r="G337" s="6" t="n">
        <v>1528</v>
      </c>
      <c r="H337" s="6" t="n">
        <v>2</v>
      </c>
      <c r="I337" s="7" t="n">
        <v>2284.26</v>
      </c>
      <c r="J337" s="7" t="n">
        <v>863.62</v>
      </c>
      <c r="K337" s="7" t="n">
        <v>5460.46</v>
      </c>
      <c r="L337" s="7" t="n">
        <v>2849.37</v>
      </c>
      <c r="M337" s="6" t="n">
        <v>8.3</v>
      </c>
      <c r="N337" s="6" t="s">
        <v>24</v>
      </c>
      <c r="O337" s="8" t="n">
        <f aca="false">VLOOKUP(F337,DIM_SERVICO!$A$2:$D$151,4,FALSE())</f>
        <v>863.62</v>
      </c>
      <c r="P337" s="8" t="n">
        <f aca="false">VLOOKUP(E337,DIM_PECA!$A$2:$F$501,6,FALSE())</f>
        <v>2354.14</v>
      </c>
      <c r="Q337" s="8" t="n">
        <f aca="false">VLOOKUP(E337,DIM_PECA!$A$2:$F$501,5,FALSE())</f>
        <v>1142.13</v>
      </c>
      <c r="R337" s="8" t="n">
        <f aca="false">H337*P337</f>
        <v>4708.28</v>
      </c>
      <c r="S337" s="8" t="n">
        <f aca="false">O337*M337</f>
        <v>7168.046</v>
      </c>
      <c r="T337" s="8" t="n">
        <f aca="false">R337+S337</f>
        <v>11876.326</v>
      </c>
      <c r="U337" s="8" t="n">
        <f aca="false">T337-K337</f>
        <v>6415.866</v>
      </c>
      <c r="V337" s="8" t="n">
        <f aca="false">R337+S337-U337</f>
        <v>5460.46</v>
      </c>
      <c r="W337" s="9" t="str">
        <f aca="false">IF(ROUND(V337-K337,2)=0,"OK","ERRO")</f>
        <v>OK</v>
      </c>
      <c r="X337" s="9" t="str">
        <f aca="false">VLOOKUP(F337,DIM_SERVICO!$A$2:$D$151,3,FALSE())</f>
        <v>Elétrica</v>
      </c>
    </row>
    <row r="338" customFormat="false" ht="15" hidden="false" customHeight="false" outlineLevel="0" collapsed="false">
      <c r="A338" s="2" t="n">
        <v>337</v>
      </c>
      <c r="B338" s="2" t="n">
        <v>339</v>
      </c>
      <c r="C338" s="2" t="n">
        <v>1453</v>
      </c>
      <c r="D338" s="2" t="n">
        <v>680</v>
      </c>
      <c r="E338" s="2" t="n">
        <v>362</v>
      </c>
      <c r="F338" s="2" t="n">
        <v>89</v>
      </c>
      <c r="G338" s="2" t="n">
        <v>1485</v>
      </c>
      <c r="H338" s="2" t="n">
        <v>4</v>
      </c>
      <c r="I338" s="3" t="n">
        <v>740.6</v>
      </c>
      <c r="J338" s="3" t="n">
        <v>310.79</v>
      </c>
      <c r="K338" s="3" t="n">
        <v>1720.14</v>
      </c>
      <c r="L338" s="3" t="n">
        <v>861.58</v>
      </c>
      <c r="M338" s="2" t="n">
        <v>4</v>
      </c>
      <c r="N338" s="2" t="s">
        <v>25</v>
      </c>
      <c r="O338" s="4" t="n">
        <f aca="false">VLOOKUP(F338,DIM_SERVICO!$A$2:$D$151,4,FALSE())</f>
        <v>310.79</v>
      </c>
      <c r="P338" s="4" t="n">
        <f aca="false">VLOOKUP(E338,DIM_PECA!$A$2:$F$501,6,FALSE())</f>
        <v>400.12</v>
      </c>
      <c r="Q338" s="4" t="n">
        <f aca="false">VLOOKUP(E338,DIM_PECA!$A$2:$F$501,5,FALSE())</f>
        <v>185.15</v>
      </c>
      <c r="R338" s="4" t="n">
        <f aca="false">H338*P338</f>
        <v>1600.48</v>
      </c>
      <c r="S338" s="4" t="n">
        <f aca="false">O338*M338</f>
        <v>1243.16</v>
      </c>
      <c r="T338" s="4" t="n">
        <f aca="false">R338+S338</f>
        <v>2843.64</v>
      </c>
      <c r="U338" s="4" t="n">
        <f aca="false">T338-K338</f>
        <v>1123.5</v>
      </c>
      <c r="V338" s="4" t="n">
        <f aca="false">R338+S338-U338</f>
        <v>1720.14</v>
      </c>
      <c r="W338" s="5" t="str">
        <f aca="false">IF(ROUND(V338-K338,2)=0,"OK","ERRO")</f>
        <v>OK</v>
      </c>
      <c r="X338" s="5" t="str">
        <f aca="false">VLOOKUP(F338,DIM_SERVICO!$A$2:$D$151,3,FALSE())</f>
        <v>Elétrica</v>
      </c>
    </row>
    <row r="339" customFormat="false" ht="15" hidden="false" customHeight="false" outlineLevel="0" collapsed="false">
      <c r="A339" s="6" t="n">
        <v>338</v>
      </c>
      <c r="B339" s="6" t="n">
        <v>1426</v>
      </c>
      <c r="C339" s="6" t="n">
        <v>1020</v>
      </c>
      <c r="D339" s="6" t="n">
        <v>687</v>
      </c>
      <c r="E339" s="6" t="n">
        <v>197</v>
      </c>
      <c r="F339" s="6" t="n">
        <v>89</v>
      </c>
      <c r="G339" s="6" t="n">
        <v>1502</v>
      </c>
      <c r="H339" s="6" t="n">
        <v>4</v>
      </c>
      <c r="I339" s="7" t="n">
        <v>502.24</v>
      </c>
      <c r="J339" s="7" t="n">
        <v>310.79</v>
      </c>
      <c r="K339" s="7" t="n">
        <v>981.68</v>
      </c>
      <c r="L339" s="7" t="n">
        <v>327.68</v>
      </c>
      <c r="M339" s="6" t="n">
        <v>11.8</v>
      </c>
      <c r="N339" s="6" t="s">
        <v>26</v>
      </c>
      <c r="O339" s="8" t="n">
        <f aca="false">VLOOKUP(F339,DIM_SERVICO!$A$2:$D$151,4,FALSE())</f>
        <v>310.79</v>
      </c>
      <c r="P339" s="8" t="n">
        <f aca="false">VLOOKUP(E339,DIM_PECA!$A$2:$F$501,6,FALSE())</f>
        <v>180.64</v>
      </c>
      <c r="Q339" s="8" t="n">
        <f aca="false">VLOOKUP(E339,DIM_PECA!$A$2:$F$501,5,FALSE())</f>
        <v>125.56</v>
      </c>
      <c r="R339" s="8" t="n">
        <f aca="false">H339*P339</f>
        <v>722.56</v>
      </c>
      <c r="S339" s="8" t="n">
        <f aca="false">O339*M339</f>
        <v>3667.322</v>
      </c>
      <c r="T339" s="8" t="n">
        <f aca="false">R339+S339</f>
        <v>4389.882</v>
      </c>
      <c r="U339" s="8" t="n">
        <f aca="false">T339-K339</f>
        <v>3408.202</v>
      </c>
      <c r="V339" s="8" t="n">
        <f aca="false">R339+S339-U339</f>
        <v>981.68</v>
      </c>
      <c r="W339" s="9" t="str">
        <f aca="false">IF(ROUND(V339-K339,2)=0,"OK","ERRO")</f>
        <v>OK</v>
      </c>
      <c r="X339" s="9" t="str">
        <f aca="false">VLOOKUP(F339,DIM_SERVICO!$A$2:$D$151,3,FALSE())</f>
        <v>Elétrica</v>
      </c>
    </row>
    <row r="340" customFormat="false" ht="15" hidden="false" customHeight="false" outlineLevel="0" collapsed="false">
      <c r="A340" s="2" t="n">
        <v>339</v>
      </c>
      <c r="B340" s="2" t="n">
        <v>379</v>
      </c>
      <c r="C340" s="2" t="n">
        <v>470</v>
      </c>
      <c r="D340" s="2" t="n">
        <v>1070</v>
      </c>
      <c r="E340" s="2" t="n">
        <v>125</v>
      </c>
      <c r="F340" s="2" t="n">
        <v>149</v>
      </c>
      <c r="G340" s="2" t="n">
        <v>1583</v>
      </c>
      <c r="H340" s="2" t="n">
        <v>3</v>
      </c>
      <c r="I340" s="3" t="n">
        <v>1859.91</v>
      </c>
      <c r="J340" s="3" t="n">
        <v>142.63</v>
      </c>
      <c r="K340" s="3" t="n">
        <v>3495.73</v>
      </c>
      <c r="L340" s="3" t="n">
        <v>1583.86</v>
      </c>
      <c r="M340" s="2" t="n">
        <v>8.3</v>
      </c>
      <c r="N340" s="2" t="s">
        <v>25</v>
      </c>
      <c r="O340" s="4" t="n">
        <f aca="false">VLOOKUP(F340,DIM_SERVICO!$A$2:$D$151,4,FALSE())</f>
        <v>142.63</v>
      </c>
      <c r="P340" s="4" t="n">
        <f aca="false">VLOOKUP(E340,DIM_PECA!$A$2:$F$501,6,FALSE())</f>
        <v>1117.7</v>
      </c>
      <c r="Q340" s="4" t="n">
        <f aca="false">VLOOKUP(E340,DIM_PECA!$A$2:$F$501,5,FALSE())</f>
        <v>619.97</v>
      </c>
      <c r="R340" s="4" t="n">
        <f aca="false">H340*P340</f>
        <v>3353.1</v>
      </c>
      <c r="S340" s="4" t="n">
        <f aca="false">O340*M340</f>
        <v>1183.829</v>
      </c>
      <c r="T340" s="4" t="n">
        <f aca="false">R340+S340</f>
        <v>4536.929</v>
      </c>
      <c r="U340" s="4" t="n">
        <f aca="false">T340-K340</f>
        <v>1041.199</v>
      </c>
      <c r="V340" s="4" t="n">
        <f aca="false">R340+S340-U340</f>
        <v>3495.73</v>
      </c>
      <c r="W340" s="5" t="str">
        <f aca="false">IF(ROUND(V340-K340,2)=0,"OK","ERRO")</f>
        <v>OK</v>
      </c>
      <c r="X340" s="5" t="str">
        <f aca="false">VLOOKUP(F340,DIM_SERVICO!$A$2:$D$151,3,FALSE())</f>
        <v>Motor</v>
      </c>
    </row>
    <row r="341" customFormat="false" ht="15" hidden="false" customHeight="false" outlineLevel="0" collapsed="false">
      <c r="A341" s="6" t="n">
        <v>340</v>
      </c>
      <c r="B341" s="6" t="n">
        <v>301</v>
      </c>
      <c r="C341" s="6" t="n">
        <v>163</v>
      </c>
      <c r="D341" s="6" t="n">
        <v>973</v>
      </c>
      <c r="E341" s="6" t="n">
        <v>259</v>
      </c>
      <c r="F341" s="6" t="n">
        <v>131</v>
      </c>
      <c r="G341" s="6" t="n">
        <v>724</v>
      </c>
      <c r="H341" s="6" t="n">
        <v>4</v>
      </c>
      <c r="I341" s="7" t="n">
        <v>2048.04</v>
      </c>
      <c r="J341" s="7" t="n">
        <v>419.61</v>
      </c>
      <c r="K341" s="7" t="n">
        <v>3629.66</v>
      </c>
      <c r="L341" s="7" t="n">
        <v>1397.84</v>
      </c>
      <c r="M341" s="6" t="n">
        <v>9.5</v>
      </c>
      <c r="N341" s="6" t="s">
        <v>24</v>
      </c>
      <c r="O341" s="8" t="n">
        <f aca="false">VLOOKUP(F341,DIM_SERVICO!$A$2:$D$151,4,FALSE())</f>
        <v>419.61</v>
      </c>
      <c r="P341" s="8" t="n">
        <f aca="false">VLOOKUP(E341,DIM_PECA!$A$2:$F$501,6,FALSE())</f>
        <v>850.27</v>
      </c>
      <c r="Q341" s="8" t="n">
        <f aca="false">VLOOKUP(E341,DIM_PECA!$A$2:$F$501,5,FALSE())</f>
        <v>512.01</v>
      </c>
      <c r="R341" s="8" t="n">
        <f aca="false">H341*P341</f>
        <v>3401.08</v>
      </c>
      <c r="S341" s="8" t="n">
        <f aca="false">O341*M341</f>
        <v>3986.295</v>
      </c>
      <c r="T341" s="8" t="n">
        <f aca="false">R341+S341</f>
        <v>7387.375</v>
      </c>
      <c r="U341" s="8" t="n">
        <f aca="false">T341-K341</f>
        <v>3757.715</v>
      </c>
      <c r="V341" s="8" t="n">
        <f aca="false">R341+S341-U341</f>
        <v>3629.66</v>
      </c>
      <c r="W341" s="9" t="str">
        <f aca="false">IF(ROUND(V341-K341,2)=0,"OK","ERRO")</f>
        <v>OK</v>
      </c>
      <c r="X341" s="9" t="str">
        <f aca="false">VLOOKUP(F341,DIM_SERVICO!$A$2:$D$151,3,FALSE())</f>
        <v>Freios</v>
      </c>
    </row>
    <row r="342" customFormat="false" ht="15" hidden="false" customHeight="false" outlineLevel="0" collapsed="false">
      <c r="A342" s="2" t="n">
        <v>341</v>
      </c>
      <c r="B342" s="2" t="n">
        <v>1295</v>
      </c>
      <c r="C342" s="2" t="n">
        <v>1085</v>
      </c>
      <c r="D342" s="2" t="n">
        <v>32</v>
      </c>
      <c r="E342" s="2" t="n">
        <v>348</v>
      </c>
      <c r="F342" s="2" t="n">
        <v>145</v>
      </c>
      <c r="G342" s="2" t="n">
        <v>697</v>
      </c>
      <c r="H342" s="2" t="n">
        <v>4</v>
      </c>
      <c r="I342" s="3" t="n">
        <v>2780.56</v>
      </c>
      <c r="J342" s="3" t="n">
        <v>392.14</v>
      </c>
      <c r="K342" s="3" t="n">
        <v>6337.26</v>
      </c>
      <c r="L342" s="3" t="n">
        <v>3362.51</v>
      </c>
      <c r="M342" s="2" t="n">
        <v>6.4</v>
      </c>
      <c r="N342" s="2" t="s">
        <v>26</v>
      </c>
      <c r="O342" s="4" t="n">
        <f aca="false">VLOOKUP(F342,DIM_SERVICO!$A$2:$D$151,4,FALSE())</f>
        <v>392.14</v>
      </c>
      <c r="P342" s="4" t="n">
        <f aca="false">VLOOKUP(E342,DIM_PECA!$A$2:$F$501,6,FALSE())</f>
        <v>1486.28</v>
      </c>
      <c r="Q342" s="4" t="n">
        <f aca="false">VLOOKUP(E342,DIM_PECA!$A$2:$F$501,5,FALSE())</f>
        <v>695.14</v>
      </c>
      <c r="R342" s="4" t="n">
        <f aca="false">H342*P342</f>
        <v>5945.12</v>
      </c>
      <c r="S342" s="4" t="n">
        <f aca="false">O342*M342</f>
        <v>2509.696</v>
      </c>
      <c r="T342" s="4" t="n">
        <f aca="false">R342+S342</f>
        <v>8454.816</v>
      </c>
      <c r="U342" s="4" t="n">
        <f aca="false">T342-K342</f>
        <v>2117.556</v>
      </c>
      <c r="V342" s="4" t="n">
        <f aca="false">R342+S342-U342</f>
        <v>6337.26</v>
      </c>
      <c r="W342" s="5" t="str">
        <f aca="false">IF(ROUND(V342-K342,2)=0,"OK","ERRO")</f>
        <v>OK</v>
      </c>
      <c r="X342" s="5" t="str">
        <f aca="false">VLOOKUP(F342,DIM_SERVICO!$A$2:$D$151,3,FALSE())</f>
        <v>Revisão</v>
      </c>
    </row>
    <row r="343" customFormat="false" ht="15" hidden="false" customHeight="false" outlineLevel="0" collapsed="false">
      <c r="A343" s="6" t="n">
        <v>342</v>
      </c>
      <c r="B343" s="6" t="n">
        <v>994</v>
      </c>
      <c r="C343" s="6" t="n">
        <v>1237</v>
      </c>
      <c r="D343" s="6" t="n">
        <v>814</v>
      </c>
      <c r="E343" s="6" t="n">
        <v>266</v>
      </c>
      <c r="F343" s="6" t="n">
        <v>51</v>
      </c>
      <c r="G343" s="6" t="n">
        <v>25</v>
      </c>
      <c r="H343" s="6" t="n">
        <v>1</v>
      </c>
      <c r="I343" s="7" t="n">
        <v>983.17</v>
      </c>
      <c r="J343" s="7" t="n">
        <v>876</v>
      </c>
      <c r="K343" s="7" t="n">
        <v>2217.85</v>
      </c>
      <c r="L343" s="7" t="n">
        <v>822.52</v>
      </c>
      <c r="M343" s="6" t="n">
        <v>9.9</v>
      </c>
      <c r="N343" s="6" t="s">
        <v>24</v>
      </c>
      <c r="O343" s="8" t="n">
        <f aca="false">VLOOKUP(F343,DIM_SERVICO!$A$2:$D$151,4,FALSE())</f>
        <v>876</v>
      </c>
      <c r="P343" s="8" t="n">
        <f aca="false">VLOOKUP(E343,DIM_PECA!$A$2:$F$501,6,FALSE())</f>
        <v>1458.58</v>
      </c>
      <c r="Q343" s="8" t="n">
        <f aca="false">VLOOKUP(E343,DIM_PECA!$A$2:$F$501,5,FALSE())</f>
        <v>983.17</v>
      </c>
      <c r="R343" s="8" t="n">
        <f aca="false">H343*P343</f>
        <v>1458.58</v>
      </c>
      <c r="S343" s="8" t="n">
        <f aca="false">O343*M343</f>
        <v>8672.4</v>
      </c>
      <c r="T343" s="8" t="n">
        <f aca="false">R343+S343</f>
        <v>10130.98</v>
      </c>
      <c r="U343" s="8" t="n">
        <f aca="false">T343-K343</f>
        <v>7913.13</v>
      </c>
      <c r="V343" s="8" t="n">
        <f aca="false">R343+S343-U343</f>
        <v>2217.85</v>
      </c>
      <c r="W343" s="9" t="str">
        <f aca="false">IF(ROUND(V343-K343,2)=0,"OK","ERRO")</f>
        <v>OK</v>
      </c>
      <c r="X343" s="9" t="str">
        <f aca="false">VLOOKUP(F343,DIM_SERVICO!$A$2:$D$151,3,FALSE())</f>
        <v>Revisão</v>
      </c>
    </row>
    <row r="344" customFormat="false" ht="15" hidden="false" customHeight="false" outlineLevel="0" collapsed="false">
      <c r="A344" s="2" t="n">
        <v>343</v>
      </c>
      <c r="B344" s="2" t="n">
        <v>1384</v>
      </c>
      <c r="C344" s="2" t="n">
        <v>1293</v>
      </c>
      <c r="D344" s="2" t="n">
        <v>1154</v>
      </c>
      <c r="E344" s="2" t="n">
        <v>302</v>
      </c>
      <c r="F344" s="2" t="n">
        <v>134</v>
      </c>
      <c r="G344" s="2" t="n">
        <v>599</v>
      </c>
      <c r="H344" s="2" t="n">
        <v>4</v>
      </c>
      <c r="I344" s="3" t="n">
        <v>2385.48</v>
      </c>
      <c r="J344" s="3" t="n">
        <v>1364.67</v>
      </c>
      <c r="K344" s="3" t="n">
        <v>5859.82</v>
      </c>
      <c r="L344" s="3" t="n">
        <v>2780.14</v>
      </c>
      <c r="M344" s="2" t="n">
        <v>8.9</v>
      </c>
      <c r="N344" s="2" t="s">
        <v>27</v>
      </c>
      <c r="O344" s="4" t="n">
        <f aca="false">VLOOKUP(F344,DIM_SERVICO!$A$2:$D$151,4,FALSE())</f>
        <v>1364.67</v>
      </c>
      <c r="P344" s="4" t="n">
        <f aca="false">VLOOKUP(E344,DIM_PECA!$A$2:$F$501,6,FALSE())</f>
        <v>1286.56</v>
      </c>
      <c r="Q344" s="4" t="n">
        <f aca="false">VLOOKUP(E344,DIM_PECA!$A$2:$F$501,5,FALSE())</f>
        <v>596.37</v>
      </c>
      <c r="R344" s="4" t="n">
        <f aca="false">H344*P344</f>
        <v>5146.24</v>
      </c>
      <c r="S344" s="4" t="n">
        <f aca="false">O344*M344</f>
        <v>12145.563</v>
      </c>
      <c r="T344" s="4" t="n">
        <f aca="false">R344+S344</f>
        <v>17291.803</v>
      </c>
      <c r="U344" s="4" t="n">
        <f aca="false">T344-K344</f>
        <v>11431.983</v>
      </c>
      <c r="V344" s="4" t="n">
        <f aca="false">R344+S344-U344</f>
        <v>5859.82</v>
      </c>
      <c r="W344" s="5" t="str">
        <f aca="false">IF(ROUND(V344-K344,2)=0,"OK","ERRO")</f>
        <v>OK</v>
      </c>
      <c r="X344" s="5" t="str">
        <f aca="false">VLOOKUP(F344,DIM_SERVICO!$A$2:$D$151,3,FALSE())</f>
        <v>Elétrica</v>
      </c>
    </row>
    <row r="345" customFormat="false" ht="15" hidden="false" customHeight="false" outlineLevel="0" collapsed="false">
      <c r="A345" s="6" t="n">
        <v>344</v>
      </c>
      <c r="B345" s="6" t="n">
        <v>564</v>
      </c>
      <c r="C345" s="6" t="n">
        <v>924</v>
      </c>
      <c r="D345" s="6" t="n">
        <v>530</v>
      </c>
      <c r="E345" s="6" t="n">
        <v>175</v>
      </c>
      <c r="F345" s="6" t="n">
        <v>108</v>
      </c>
      <c r="G345" s="6" t="n">
        <v>323</v>
      </c>
      <c r="H345" s="6" t="n">
        <v>3</v>
      </c>
      <c r="I345" s="7" t="n">
        <v>56.07</v>
      </c>
      <c r="J345" s="7" t="n">
        <v>1178.47</v>
      </c>
      <c r="K345" s="7" t="n">
        <v>1173.31</v>
      </c>
      <c r="L345" s="7" t="n">
        <v>528.84</v>
      </c>
      <c r="M345" s="6" t="n">
        <v>5.9</v>
      </c>
      <c r="N345" s="6" t="s">
        <v>27</v>
      </c>
      <c r="O345" s="8" t="n">
        <f aca="false">VLOOKUP(F345,DIM_SERVICO!$A$2:$D$151,4,FALSE())</f>
        <v>1178.47</v>
      </c>
      <c r="P345" s="8" t="n">
        <f aca="false">VLOOKUP(E345,DIM_PECA!$A$2:$F$501,6,FALSE())</f>
        <v>32.29</v>
      </c>
      <c r="Q345" s="8" t="n">
        <f aca="false">VLOOKUP(E345,DIM_PECA!$A$2:$F$501,5,FALSE())</f>
        <v>18.69</v>
      </c>
      <c r="R345" s="8" t="n">
        <f aca="false">H345*P345</f>
        <v>96.87</v>
      </c>
      <c r="S345" s="8" t="n">
        <f aca="false">O345*M345</f>
        <v>6952.973</v>
      </c>
      <c r="T345" s="8" t="n">
        <f aca="false">R345+S345</f>
        <v>7049.843</v>
      </c>
      <c r="U345" s="8" t="n">
        <f aca="false">T345-K345</f>
        <v>5876.533</v>
      </c>
      <c r="V345" s="8" t="n">
        <f aca="false">R345+S345-U345</f>
        <v>1173.31</v>
      </c>
      <c r="W345" s="9" t="str">
        <f aca="false">IF(ROUND(V345-K345,2)=0,"OK","ERRO")</f>
        <v>OK</v>
      </c>
      <c r="X345" s="9" t="str">
        <f aca="false">VLOOKUP(F345,DIM_SERVICO!$A$2:$D$151,3,FALSE())</f>
        <v>Funilaria</v>
      </c>
    </row>
    <row r="346" customFormat="false" ht="15" hidden="false" customHeight="false" outlineLevel="0" collapsed="false">
      <c r="A346" s="2" t="n">
        <v>345</v>
      </c>
      <c r="B346" s="2" t="n">
        <v>1495</v>
      </c>
      <c r="C346" s="2" t="n">
        <v>429</v>
      </c>
      <c r="D346" s="2" t="n">
        <v>289</v>
      </c>
      <c r="E346" s="2" t="n">
        <v>230</v>
      </c>
      <c r="F346" s="2" t="n">
        <v>26</v>
      </c>
      <c r="G346" s="2" t="n">
        <v>1095</v>
      </c>
      <c r="H346" s="2" t="n">
        <v>4</v>
      </c>
      <c r="I346" s="3" t="n">
        <v>4251.4</v>
      </c>
      <c r="J346" s="3" t="n">
        <v>168.44</v>
      </c>
      <c r="K346" s="3" t="n">
        <v>9030.4</v>
      </c>
      <c r="L346" s="3" t="n">
        <v>4702.51</v>
      </c>
      <c r="M346" s="2" t="n">
        <v>4.3</v>
      </c>
      <c r="N346" s="2" t="s">
        <v>26</v>
      </c>
      <c r="O346" s="4" t="n">
        <f aca="false">VLOOKUP(F346,DIM_SERVICO!$A$2:$D$151,4,FALSE())</f>
        <v>168.44</v>
      </c>
      <c r="P346" s="4" t="n">
        <f aca="false">VLOOKUP(E346,DIM_PECA!$A$2:$F$501,6,FALSE())</f>
        <v>2215.49</v>
      </c>
      <c r="Q346" s="4" t="n">
        <f aca="false">VLOOKUP(E346,DIM_PECA!$A$2:$F$501,5,FALSE())</f>
        <v>1062.85</v>
      </c>
      <c r="R346" s="4" t="n">
        <f aca="false">H346*P346</f>
        <v>8861.96</v>
      </c>
      <c r="S346" s="4" t="n">
        <f aca="false">O346*M346</f>
        <v>724.292</v>
      </c>
      <c r="T346" s="4" t="n">
        <f aca="false">R346+S346</f>
        <v>9586.252</v>
      </c>
      <c r="U346" s="4" t="n">
        <f aca="false">T346-K346</f>
        <v>555.851999999999</v>
      </c>
      <c r="V346" s="4" t="n">
        <f aca="false">R346+S346-U346</f>
        <v>9030.4</v>
      </c>
      <c r="W346" s="5" t="str">
        <f aca="false">IF(ROUND(V346-K346,2)=0,"OK","ERRO")</f>
        <v>OK</v>
      </c>
      <c r="X346" s="5" t="str">
        <f aca="false">VLOOKUP(F346,DIM_SERVICO!$A$2:$D$151,3,FALSE())</f>
        <v>Suspensão</v>
      </c>
    </row>
    <row r="347" customFormat="false" ht="15" hidden="false" customHeight="false" outlineLevel="0" collapsed="false">
      <c r="A347" s="6" t="n">
        <v>346</v>
      </c>
      <c r="B347" s="6" t="n">
        <v>646</v>
      </c>
      <c r="C347" s="6" t="n">
        <v>1188</v>
      </c>
      <c r="D347" s="6" t="n">
        <v>989</v>
      </c>
      <c r="E347" s="6" t="n">
        <v>446</v>
      </c>
      <c r="F347" s="6" t="n">
        <v>9</v>
      </c>
      <c r="G347" s="6" t="n">
        <v>1361</v>
      </c>
      <c r="H347" s="6" t="n">
        <v>2</v>
      </c>
      <c r="I347" s="7" t="n">
        <v>2338.18</v>
      </c>
      <c r="J347" s="7" t="n">
        <v>1605.45</v>
      </c>
      <c r="K347" s="7" t="n">
        <v>5482.63</v>
      </c>
      <c r="L347" s="7" t="n">
        <v>2426.61</v>
      </c>
      <c r="M347" s="6" t="n">
        <v>10.9</v>
      </c>
      <c r="N347" s="6" t="s">
        <v>27</v>
      </c>
      <c r="O347" s="8" t="n">
        <f aca="false">VLOOKUP(F347,DIM_SERVICO!$A$2:$D$151,4,FALSE())</f>
        <v>1605.45</v>
      </c>
      <c r="P347" s="8" t="n">
        <f aca="false">VLOOKUP(E347,DIM_PECA!$A$2:$F$501,6,FALSE())</f>
        <v>1938.59</v>
      </c>
      <c r="Q347" s="8" t="n">
        <f aca="false">VLOOKUP(E347,DIM_PECA!$A$2:$F$501,5,FALSE())</f>
        <v>1169.09</v>
      </c>
      <c r="R347" s="8" t="n">
        <f aca="false">H347*P347</f>
        <v>3877.18</v>
      </c>
      <c r="S347" s="8" t="n">
        <f aca="false">O347*M347</f>
        <v>17499.405</v>
      </c>
      <c r="T347" s="8" t="n">
        <f aca="false">R347+S347</f>
        <v>21376.585</v>
      </c>
      <c r="U347" s="8" t="n">
        <f aca="false">T347-K347</f>
        <v>15893.955</v>
      </c>
      <c r="V347" s="8" t="n">
        <f aca="false">R347+S347-U347</f>
        <v>5482.63</v>
      </c>
      <c r="W347" s="9" t="str">
        <f aca="false">IF(ROUND(V347-K347,2)=0,"OK","ERRO")</f>
        <v>OK</v>
      </c>
      <c r="X347" s="9" t="str">
        <f aca="false">VLOOKUP(F347,DIM_SERVICO!$A$2:$D$151,3,FALSE())</f>
        <v>Revisão</v>
      </c>
    </row>
    <row r="348" customFormat="false" ht="15" hidden="false" customHeight="false" outlineLevel="0" collapsed="false">
      <c r="A348" s="2" t="n">
        <v>347</v>
      </c>
      <c r="B348" s="2" t="n">
        <v>1467</v>
      </c>
      <c r="C348" s="2" t="n">
        <v>94</v>
      </c>
      <c r="D348" s="2" t="n">
        <v>454</v>
      </c>
      <c r="E348" s="2" t="n">
        <v>205</v>
      </c>
      <c r="F348" s="2" t="n">
        <v>150</v>
      </c>
      <c r="G348" s="2" t="n">
        <v>97</v>
      </c>
      <c r="H348" s="2" t="n">
        <v>4</v>
      </c>
      <c r="I348" s="3" t="n">
        <v>674.24</v>
      </c>
      <c r="J348" s="3" t="n">
        <v>1370.46</v>
      </c>
      <c r="K348" s="3" t="n">
        <v>2553.94</v>
      </c>
      <c r="L348" s="3" t="n">
        <v>1342.98</v>
      </c>
      <c r="M348" s="2" t="n">
        <v>7.8</v>
      </c>
      <c r="N348" s="2" t="s">
        <v>24</v>
      </c>
      <c r="O348" s="4" t="n">
        <f aca="false">VLOOKUP(F348,DIM_SERVICO!$A$2:$D$151,4,FALSE())</f>
        <v>1370.46</v>
      </c>
      <c r="P348" s="4" t="n">
        <f aca="false">VLOOKUP(E348,DIM_PECA!$A$2:$F$501,6,FALSE())</f>
        <v>295.87</v>
      </c>
      <c r="Q348" s="4" t="n">
        <f aca="false">VLOOKUP(E348,DIM_PECA!$A$2:$F$501,5,FALSE())</f>
        <v>168.56</v>
      </c>
      <c r="R348" s="4" t="n">
        <f aca="false">H348*P348</f>
        <v>1183.48</v>
      </c>
      <c r="S348" s="4" t="n">
        <f aca="false">O348*M348</f>
        <v>10689.588</v>
      </c>
      <c r="T348" s="4" t="n">
        <f aca="false">R348+S348</f>
        <v>11873.068</v>
      </c>
      <c r="U348" s="4" t="n">
        <f aca="false">T348-K348</f>
        <v>9319.128</v>
      </c>
      <c r="V348" s="4" t="n">
        <f aca="false">R348+S348-U348</f>
        <v>2553.94</v>
      </c>
      <c r="W348" s="5" t="str">
        <f aca="false">IF(ROUND(V348-K348,2)=0,"OK","ERRO")</f>
        <v>OK</v>
      </c>
      <c r="X348" s="5" t="str">
        <f aca="false">VLOOKUP(F348,DIM_SERVICO!$A$2:$D$151,3,FALSE())</f>
        <v>Revisão</v>
      </c>
    </row>
    <row r="349" customFormat="false" ht="15" hidden="false" customHeight="false" outlineLevel="0" collapsed="false">
      <c r="A349" s="6" t="n">
        <v>348</v>
      </c>
      <c r="B349" s="6" t="n">
        <v>871</v>
      </c>
      <c r="C349" s="6" t="n">
        <v>532</v>
      </c>
      <c r="D349" s="6" t="n">
        <v>961</v>
      </c>
      <c r="E349" s="6" t="n">
        <v>129</v>
      </c>
      <c r="F349" s="6" t="n">
        <v>123</v>
      </c>
      <c r="G349" s="6" t="n">
        <v>1014</v>
      </c>
      <c r="H349" s="6" t="n">
        <v>2</v>
      </c>
      <c r="I349" s="7" t="n">
        <v>360.72</v>
      </c>
      <c r="J349" s="7" t="n">
        <v>2023.84</v>
      </c>
      <c r="K349" s="7" t="n">
        <v>2546.76</v>
      </c>
      <c r="L349" s="7" t="n">
        <v>1409.8</v>
      </c>
      <c r="M349" s="6" t="n">
        <v>3.9</v>
      </c>
      <c r="N349" s="6" t="s">
        <v>24</v>
      </c>
      <c r="O349" s="8" t="n">
        <f aca="false">VLOOKUP(F349,DIM_SERVICO!$A$2:$D$151,4,FALSE())</f>
        <v>2023.84</v>
      </c>
      <c r="P349" s="8" t="n">
        <f aca="false">VLOOKUP(E349,DIM_PECA!$A$2:$F$501,6,FALSE())</f>
        <v>328.48</v>
      </c>
      <c r="Q349" s="8" t="n">
        <f aca="false">VLOOKUP(E349,DIM_PECA!$A$2:$F$501,5,FALSE())</f>
        <v>180.36</v>
      </c>
      <c r="R349" s="8" t="n">
        <f aca="false">H349*P349</f>
        <v>656.96</v>
      </c>
      <c r="S349" s="8" t="n">
        <f aca="false">O349*M349</f>
        <v>7892.976</v>
      </c>
      <c r="T349" s="8" t="n">
        <f aca="false">R349+S349</f>
        <v>8549.936</v>
      </c>
      <c r="U349" s="8" t="n">
        <f aca="false">T349-K349</f>
        <v>6003.176</v>
      </c>
      <c r="V349" s="8" t="n">
        <f aca="false">R349+S349-U349</f>
        <v>2546.76</v>
      </c>
      <c r="W349" s="9" t="str">
        <f aca="false">IF(ROUND(V349-K349,2)=0,"OK","ERRO")</f>
        <v>OK</v>
      </c>
      <c r="X349" s="9" t="str">
        <f aca="false">VLOOKUP(F349,DIM_SERVICO!$A$2:$D$151,3,FALSE())</f>
        <v>Diagnóstico</v>
      </c>
    </row>
    <row r="350" customFormat="false" ht="15" hidden="false" customHeight="false" outlineLevel="0" collapsed="false">
      <c r="A350" s="2" t="n">
        <v>349</v>
      </c>
      <c r="B350" s="2" t="n">
        <v>1267</v>
      </c>
      <c r="C350" s="2" t="n">
        <v>524</v>
      </c>
      <c r="D350" s="2" t="n">
        <v>480</v>
      </c>
      <c r="E350" s="2" t="n">
        <v>7</v>
      </c>
      <c r="F350" s="2" t="n">
        <v>123</v>
      </c>
      <c r="G350" s="2" t="n">
        <v>483</v>
      </c>
      <c r="H350" s="2" t="n">
        <v>1</v>
      </c>
      <c r="I350" s="3" t="n">
        <v>726.18</v>
      </c>
      <c r="J350" s="3" t="n">
        <v>2023.84</v>
      </c>
      <c r="K350" s="3" t="n">
        <v>3120.5</v>
      </c>
      <c r="L350" s="3" t="n">
        <v>1490.15</v>
      </c>
      <c r="M350" s="2" t="n">
        <v>8</v>
      </c>
      <c r="N350" s="2" t="s">
        <v>25</v>
      </c>
      <c r="O350" s="4" t="n">
        <f aca="false">VLOOKUP(F350,DIM_SERVICO!$A$2:$D$151,4,FALSE())</f>
        <v>2023.84</v>
      </c>
      <c r="P350" s="4" t="n">
        <f aca="false">VLOOKUP(E350,DIM_PECA!$A$2:$F$501,6,FALSE())</f>
        <v>1260.9</v>
      </c>
      <c r="Q350" s="4" t="n">
        <f aca="false">VLOOKUP(E350,DIM_PECA!$A$2:$F$501,5,FALSE())</f>
        <v>726.18</v>
      </c>
      <c r="R350" s="4" t="n">
        <f aca="false">H350*P350</f>
        <v>1260.9</v>
      </c>
      <c r="S350" s="4" t="n">
        <f aca="false">O350*M350</f>
        <v>16190.72</v>
      </c>
      <c r="T350" s="4" t="n">
        <f aca="false">R350+S350</f>
        <v>17451.62</v>
      </c>
      <c r="U350" s="4" t="n">
        <f aca="false">T350-K350</f>
        <v>14331.12</v>
      </c>
      <c r="V350" s="4" t="n">
        <f aca="false">R350+S350-U350</f>
        <v>3120.5</v>
      </c>
      <c r="W350" s="5" t="str">
        <f aca="false">IF(ROUND(V350-K350,2)=0,"OK","ERRO")</f>
        <v>OK</v>
      </c>
      <c r="X350" s="5" t="str">
        <f aca="false">VLOOKUP(F350,DIM_SERVICO!$A$2:$D$151,3,FALSE())</f>
        <v>Diagnóstico</v>
      </c>
    </row>
    <row r="351" customFormat="false" ht="15" hidden="false" customHeight="false" outlineLevel="0" collapsed="false">
      <c r="A351" s="6" t="n">
        <v>350</v>
      </c>
      <c r="B351" s="6" t="n">
        <v>1325</v>
      </c>
      <c r="C351" s="6" t="n">
        <v>1378</v>
      </c>
      <c r="D351" s="6" t="n">
        <v>1</v>
      </c>
      <c r="E351" s="6" t="n">
        <v>62</v>
      </c>
      <c r="F351" s="6" t="n">
        <v>18</v>
      </c>
      <c r="G351" s="6" t="n">
        <v>371</v>
      </c>
      <c r="H351" s="6" t="n">
        <v>1</v>
      </c>
      <c r="I351" s="7" t="n">
        <v>578.57</v>
      </c>
      <c r="J351" s="7" t="n">
        <v>1667.15</v>
      </c>
      <c r="K351" s="7" t="n">
        <v>2563.85</v>
      </c>
      <c r="L351" s="7" t="n">
        <v>1336.47</v>
      </c>
      <c r="M351" s="6" t="n">
        <v>6.1</v>
      </c>
      <c r="N351" s="6" t="s">
        <v>24</v>
      </c>
      <c r="O351" s="8" t="n">
        <f aca="false">VLOOKUP(F351,DIM_SERVICO!$A$2:$D$151,4,FALSE())</f>
        <v>1667.15</v>
      </c>
      <c r="P351" s="8" t="n">
        <f aca="false">VLOOKUP(E351,DIM_PECA!$A$2:$F$501,6,FALSE())</f>
        <v>1181.57</v>
      </c>
      <c r="Q351" s="8" t="n">
        <f aca="false">VLOOKUP(E351,DIM_PECA!$A$2:$F$501,5,FALSE())</f>
        <v>578.57</v>
      </c>
      <c r="R351" s="8" t="n">
        <f aca="false">H351*P351</f>
        <v>1181.57</v>
      </c>
      <c r="S351" s="8" t="n">
        <f aca="false">O351*M351</f>
        <v>10169.615</v>
      </c>
      <c r="T351" s="8" t="n">
        <f aca="false">R351+S351</f>
        <v>11351.185</v>
      </c>
      <c r="U351" s="8" t="n">
        <f aca="false">T351-K351</f>
        <v>8787.335</v>
      </c>
      <c r="V351" s="8" t="n">
        <f aca="false">R351+S351-U351</f>
        <v>2563.85</v>
      </c>
      <c r="W351" s="9" t="str">
        <f aca="false">IF(ROUND(V351-K351,2)=0,"OK","ERRO")</f>
        <v>OK</v>
      </c>
      <c r="X351" s="9" t="str">
        <f aca="false">VLOOKUP(F351,DIM_SERVICO!$A$2:$D$151,3,FALSE())</f>
        <v>Elétrica</v>
      </c>
    </row>
    <row r="352" customFormat="false" ht="15" hidden="false" customHeight="false" outlineLevel="0" collapsed="false">
      <c r="A352" s="2" t="n">
        <v>351</v>
      </c>
      <c r="B352" s="2" t="n">
        <v>1279</v>
      </c>
      <c r="C352" s="2" t="n">
        <v>369</v>
      </c>
      <c r="D352" s="2" t="n">
        <v>1095</v>
      </c>
      <c r="E352" s="2" t="n">
        <v>349</v>
      </c>
      <c r="F352" s="2" t="n">
        <v>19</v>
      </c>
      <c r="G352" s="2" t="n">
        <v>1506</v>
      </c>
      <c r="H352" s="2" t="n">
        <v>4</v>
      </c>
      <c r="I352" s="3" t="n">
        <v>3262.64</v>
      </c>
      <c r="J352" s="3" t="n">
        <v>1822.04</v>
      </c>
      <c r="K352" s="3" t="n">
        <v>7814.85</v>
      </c>
      <c r="L352" s="3" t="n">
        <v>3620.98</v>
      </c>
      <c r="M352" s="2" t="n">
        <v>11.2</v>
      </c>
      <c r="N352" s="2" t="s">
        <v>24</v>
      </c>
      <c r="O352" s="4" t="n">
        <f aca="false">VLOOKUP(F352,DIM_SERVICO!$A$2:$D$151,4,FALSE())</f>
        <v>1822.04</v>
      </c>
      <c r="P352" s="4" t="n">
        <f aca="false">VLOOKUP(E352,DIM_PECA!$A$2:$F$501,6,FALSE())</f>
        <v>1601.03</v>
      </c>
      <c r="Q352" s="4" t="n">
        <f aca="false">VLOOKUP(E352,DIM_PECA!$A$2:$F$501,5,FALSE())</f>
        <v>815.66</v>
      </c>
      <c r="R352" s="4" t="n">
        <f aca="false">H352*P352</f>
        <v>6404.12</v>
      </c>
      <c r="S352" s="4" t="n">
        <f aca="false">O352*M352</f>
        <v>20406.848</v>
      </c>
      <c r="T352" s="4" t="n">
        <f aca="false">R352+S352</f>
        <v>26810.968</v>
      </c>
      <c r="U352" s="4" t="n">
        <f aca="false">T352-K352</f>
        <v>18996.118</v>
      </c>
      <c r="V352" s="4" t="n">
        <f aca="false">R352+S352-U352</f>
        <v>7814.85</v>
      </c>
      <c r="W352" s="5" t="str">
        <f aca="false">IF(ROUND(V352-K352,2)=0,"OK","ERRO")</f>
        <v>OK</v>
      </c>
      <c r="X352" s="5" t="str">
        <f aca="false">VLOOKUP(F352,DIM_SERVICO!$A$2:$D$151,3,FALSE())</f>
        <v>Pintura</v>
      </c>
    </row>
    <row r="353" customFormat="false" ht="15" hidden="false" customHeight="false" outlineLevel="0" collapsed="false">
      <c r="A353" s="6" t="n">
        <v>352</v>
      </c>
      <c r="B353" s="6" t="n">
        <v>1392</v>
      </c>
      <c r="C353" s="6" t="n">
        <v>888</v>
      </c>
      <c r="D353" s="6" t="n">
        <v>147</v>
      </c>
      <c r="E353" s="6" t="n">
        <v>327</v>
      </c>
      <c r="F353" s="6" t="n">
        <v>101</v>
      </c>
      <c r="G353" s="6" t="n">
        <v>851</v>
      </c>
      <c r="H353" s="6" t="n">
        <v>4</v>
      </c>
      <c r="I353" s="7" t="n">
        <v>3865.36</v>
      </c>
      <c r="J353" s="7" t="n">
        <v>1690.47</v>
      </c>
      <c r="K353" s="7" t="n">
        <v>8035.99</v>
      </c>
      <c r="L353" s="7" t="n">
        <v>3415.53</v>
      </c>
      <c r="M353" s="6" t="n">
        <v>6.1</v>
      </c>
      <c r="N353" s="6" t="s">
        <v>24</v>
      </c>
      <c r="O353" s="8" t="n">
        <f aca="false">VLOOKUP(F353,DIM_SERVICO!$A$2:$D$151,4,FALSE())</f>
        <v>1690.47</v>
      </c>
      <c r="P353" s="8" t="n">
        <f aca="false">VLOOKUP(E353,DIM_PECA!$A$2:$F$501,6,FALSE())</f>
        <v>1586.38</v>
      </c>
      <c r="Q353" s="8" t="n">
        <f aca="false">VLOOKUP(E353,DIM_PECA!$A$2:$F$501,5,FALSE())</f>
        <v>966.34</v>
      </c>
      <c r="R353" s="8" t="n">
        <f aca="false">H353*P353</f>
        <v>6345.52</v>
      </c>
      <c r="S353" s="8" t="n">
        <f aca="false">O353*M353</f>
        <v>10311.867</v>
      </c>
      <c r="T353" s="8" t="n">
        <f aca="false">R353+S353</f>
        <v>16657.387</v>
      </c>
      <c r="U353" s="8" t="n">
        <f aca="false">T353-K353</f>
        <v>8621.397</v>
      </c>
      <c r="V353" s="8" t="n">
        <f aca="false">R353+S353-U353</f>
        <v>8035.99</v>
      </c>
      <c r="W353" s="9" t="str">
        <f aca="false">IF(ROUND(V353-K353,2)=0,"OK","ERRO")</f>
        <v>OK</v>
      </c>
      <c r="X353" s="9" t="str">
        <f aca="false">VLOOKUP(F353,DIM_SERVICO!$A$2:$D$151,3,FALSE())</f>
        <v>Revisão</v>
      </c>
    </row>
    <row r="354" customFormat="false" ht="15" hidden="false" customHeight="false" outlineLevel="0" collapsed="false">
      <c r="A354" s="2" t="n">
        <v>353</v>
      </c>
      <c r="B354" s="2" t="n">
        <v>338</v>
      </c>
      <c r="C354" s="2" t="n">
        <v>1174</v>
      </c>
      <c r="D354" s="2" t="n">
        <v>407</v>
      </c>
      <c r="E354" s="2" t="n">
        <v>178</v>
      </c>
      <c r="F354" s="2" t="n">
        <v>47</v>
      </c>
      <c r="G354" s="2" t="n">
        <v>908</v>
      </c>
      <c r="H354" s="2" t="n">
        <v>3</v>
      </c>
      <c r="I354" s="3" t="n">
        <v>262.56</v>
      </c>
      <c r="J354" s="3" t="n">
        <v>399.81</v>
      </c>
      <c r="K354" s="3" t="n">
        <v>793.92</v>
      </c>
      <c r="L354" s="3" t="n">
        <v>362.11</v>
      </c>
      <c r="M354" s="2" t="n">
        <v>8.6</v>
      </c>
      <c r="N354" s="2" t="s">
        <v>27</v>
      </c>
      <c r="O354" s="4" t="n">
        <f aca="false">VLOOKUP(F354,DIM_SERVICO!$A$2:$D$151,4,FALSE())</f>
        <v>399.81</v>
      </c>
      <c r="P354" s="4" t="n">
        <f aca="false">VLOOKUP(E354,DIM_PECA!$A$2:$F$501,6,FALSE())</f>
        <v>136.77</v>
      </c>
      <c r="Q354" s="4" t="n">
        <f aca="false">VLOOKUP(E354,DIM_PECA!$A$2:$F$501,5,FALSE())</f>
        <v>87.52</v>
      </c>
      <c r="R354" s="4" t="n">
        <f aca="false">H354*P354</f>
        <v>410.31</v>
      </c>
      <c r="S354" s="4" t="n">
        <f aca="false">O354*M354</f>
        <v>3438.366</v>
      </c>
      <c r="T354" s="4" t="n">
        <f aca="false">R354+S354</f>
        <v>3848.676</v>
      </c>
      <c r="U354" s="4" t="n">
        <f aca="false">T354-K354</f>
        <v>3054.756</v>
      </c>
      <c r="V354" s="4" t="n">
        <f aca="false">R354+S354-U354</f>
        <v>793.92</v>
      </c>
      <c r="W354" s="5" t="str">
        <f aca="false">IF(ROUND(V354-K354,2)=0,"OK","ERRO")</f>
        <v>OK</v>
      </c>
      <c r="X354" s="5" t="str">
        <f aca="false">VLOOKUP(F354,DIM_SERVICO!$A$2:$D$151,3,FALSE())</f>
        <v>Funilaria</v>
      </c>
    </row>
    <row r="355" customFormat="false" ht="15" hidden="false" customHeight="false" outlineLevel="0" collapsed="false">
      <c r="A355" s="6" t="n">
        <v>354</v>
      </c>
      <c r="B355" s="6" t="n">
        <v>686</v>
      </c>
      <c r="C355" s="6" t="n">
        <v>1114</v>
      </c>
      <c r="D355" s="6" t="n">
        <v>448</v>
      </c>
      <c r="E355" s="6" t="n">
        <v>55</v>
      </c>
      <c r="F355" s="6" t="n">
        <v>50</v>
      </c>
      <c r="G355" s="6" t="n">
        <v>24</v>
      </c>
      <c r="H355" s="6" t="n">
        <v>1</v>
      </c>
      <c r="I355" s="7" t="n">
        <v>846.54</v>
      </c>
      <c r="J355" s="7" t="n">
        <v>1357.79</v>
      </c>
      <c r="K355" s="7" t="n">
        <v>2860.94</v>
      </c>
      <c r="L355" s="7" t="n">
        <v>1339.17</v>
      </c>
      <c r="M355" s="6" t="n">
        <v>7.8</v>
      </c>
      <c r="N355" s="6" t="s">
        <v>24</v>
      </c>
      <c r="O355" s="8" t="n">
        <f aca="false">VLOOKUP(F355,DIM_SERVICO!$A$2:$D$151,4,FALSE())</f>
        <v>1357.79</v>
      </c>
      <c r="P355" s="8" t="n">
        <f aca="false">VLOOKUP(E355,DIM_PECA!$A$2:$F$501,6,FALSE())</f>
        <v>1503.15</v>
      </c>
      <c r="Q355" s="8" t="n">
        <f aca="false">VLOOKUP(E355,DIM_PECA!$A$2:$F$501,5,FALSE())</f>
        <v>846.54</v>
      </c>
      <c r="R355" s="8" t="n">
        <f aca="false">H355*P355</f>
        <v>1503.15</v>
      </c>
      <c r="S355" s="8" t="n">
        <f aca="false">O355*M355</f>
        <v>10590.762</v>
      </c>
      <c r="T355" s="8" t="n">
        <f aca="false">R355+S355</f>
        <v>12093.912</v>
      </c>
      <c r="U355" s="8" t="n">
        <f aca="false">T355-K355</f>
        <v>9232.972</v>
      </c>
      <c r="V355" s="8" t="n">
        <f aca="false">R355+S355-U355</f>
        <v>2860.94</v>
      </c>
      <c r="W355" s="9" t="str">
        <f aca="false">IF(ROUND(V355-K355,2)=0,"OK","ERRO")</f>
        <v>OK</v>
      </c>
      <c r="X355" s="9" t="str">
        <f aca="false">VLOOKUP(F355,DIM_SERVICO!$A$2:$D$151,3,FALSE())</f>
        <v>Pintura</v>
      </c>
    </row>
    <row r="356" customFormat="false" ht="15" hidden="false" customHeight="false" outlineLevel="0" collapsed="false">
      <c r="A356" s="2" t="n">
        <v>355</v>
      </c>
      <c r="B356" s="2" t="n">
        <v>1468</v>
      </c>
      <c r="C356" s="2" t="n">
        <v>1075</v>
      </c>
      <c r="D356" s="2" t="n">
        <v>408</v>
      </c>
      <c r="E356" s="2" t="n">
        <v>92</v>
      </c>
      <c r="F356" s="2" t="n">
        <v>24</v>
      </c>
      <c r="G356" s="2" t="n">
        <v>677</v>
      </c>
      <c r="H356" s="2" t="n">
        <v>2</v>
      </c>
      <c r="I356" s="3" t="n">
        <v>796.88</v>
      </c>
      <c r="J356" s="3" t="n">
        <v>1124.34</v>
      </c>
      <c r="K356" s="3" t="n">
        <v>2618.75</v>
      </c>
      <c r="L356" s="3" t="n">
        <v>1218.12</v>
      </c>
      <c r="M356" s="2" t="n">
        <v>10.1</v>
      </c>
      <c r="N356" s="2" t="s">
        <v>24</v>
      </c>
      <c r="O356" s="4" t="n">
        <f aca="false">VLOOKUP(F356,DIM_SERVICO!$A$2:$D$151,4,FALSE())</f>
        <v>1124.34</v>
      </c>
      <c r="P356" s="4" t="n">
        <f aca="false">VLOOKUP(E356,DIM_PECA!$A$2:$F$501,6,FALSE())</f>
        <v>816.12</v>
      </c>
      <c r="Q356" s="4" t="n">
        <f aca="false">VLOOKUP(E356,DIM_PECA!$A$2:$F$501,5,FALSE())</f>
        <v>398.44</v>
      </c>
      <c r="R356" s="4" t="n">
        <f aca="false">H356*P356</f>
        <v>1632.24</v>
      </c>
      <c r="S356" s="4" t="n">
        <f aca="false">O356*M356</f>
        <v>11355.834</v>
      </c>
      <c r="T356" s="4" t="n">
        <f aca="false">R356+S356</f>
        <v>12988.074</v>
      </c>
      <c r="U356" s="4" t="n">
        <f aca="false">T356-K356</f>
        <v>10369.324</v>
      </c>
      <c r="V356" s="4" t="n">
        <f aca="false">R356+S356-U356</f>
        <v>2618.75</v>
      </c>
      <c r="W356" s="5" t="str">
        <f aca="false">IF(ROUND(V356-K356,2)=0,"OK","ERRO")</f>
        <v>OK</v>
      </c>
      <c r="X356" s="5" t="str">
        <f aca="false">VLOOKUP(F356,DIM_SERVICO!$A$2:$D$151,3,FALSE())</f>
        <v>Elétrica</v>
      </c>
    </row>
    <row r="357" customFormat="false" ht="15" hidden="false" customHeight="false" outlineLevel="0" collapsed="false">
      <c r="A357" s="6" t="n">
        <v>356</v>
      </c>
      <c r="B357" s="6" t="n">
        <v>1466</v>
      </c>
      <c r="C357" s="6" t="n">
        <v>1009</v>
      </c>
      <c r="D357" s="6" t="n">
        <v>533</v>
      </c>
      <c r="E357" s="6" t="n">
        <v>36</v>
      </c>
      <c r="F357" s="6" t="n">
        <v>99</v>
      </c>
      <c r="G357" s="6" t="n">
        <v>1795</v>
      </c>
      <c r="H357" s="6" t="n">
        <v>4</v>
      </c>
      <c r="I357" s="7" t="n">
        <v>1757.44</v>
      </c>
      <c r="J357" s="7" t="n">
        <v>563.92</v>
      </c>
      <c r="K357" s="7" t="n">
        <v>3804.53</v>
      </c>
      <c r="L357" s="7" t="n">
        <v>1771.25</v>
      </c>
      <c r="M357" s="6" t="n">
        <v>11.4</v>
      </c>
      <c r="N357" s="6" t="s">
        <v>24</v>
      </c>
      <c r="O357" s="8" t="n">
        <f aca="false">VLOOKUP(F357,DIM_SERVICO!$A$2:$D$151,4,FALSE())</f>
        <v>563.92</v>
      </c>
      <c r="P357" s="8" t="n">
        <f aca="false">VLOOKUP(E357,DIM_PECA!$A$2:$F$501,6,FALSE())</f>
        <v>892.86</v>
      </c>
      <c r="Q357" s="8" t="n">
        <f aca="false">VLOOKUP(E357,DIM_PECA!$A$2:$F$501,5,FALSE())</f>
        <v>439.36</v>
      </c>
      <c r="R357" s="8" t="n">
        <f aca="false">H357*P357</f>
        <v>3571.44</v>
      </c>
      <c r="S357" s="8" t="n">
        <f aca="false">O357*M357</f>
        <v>6428.688</v>
      </c>
      <c r="T357" s="8" t="n">
        <f aca="false">R357+S357</f>
        <v>10000.128</v>
      </c>
      <c r="U357" s="8" t="n">
        <f aca="false">T357-K357</f>
        <v>6195.598</v>
      </c>
      <c r="V357" s="8" t="n">
        <f aca="false">R357+S357-U357</f>
        <v>3804.53</v>
      </c>
      <c r="W357" s="9" t="str">
        <f aca="false">IF(ROUND(V357-K357,2)=0,"OK","ERRO")</f>
        <v>OK</v>
      </c>
      <c r="X357" s="9" t="str">
        <f aca="false">VLOOKUP(F357,DIM_SERVICO!$A$2:$D$151,3,FALSE())</f>
        <v>Funilaria</v>
      </c>
    </row>
    <row r="358" customFormat="false" ht="15" hidden="false" customHeight="false" outlineLevel="0" collapsed="false">
      <c r="A358" s="2" t="n">
        <v>357</v>
      </c>
      <c r="B358" s="2" t="n">
        <v>77</v>
      </c>
      <c r="C358" s="2" t="n">
        <v>1127</v>
      </c>
      <c r="D358" s="2" t="n">
        <v>698</v>
      </c>
      <c r="E358" s="2" t="n">
        <v>13</v>
      </c>
      <c r="F358" s="2" t="n">
        <v>76</v>
      </c>
      <c r="G358" s="2" t="n">
        <v>304</v>
      </c>
      <c r="H358" s="2" t="n">
        <v>2</v>
      </c>
      <c r="I358" s="3" t="n">
        <v>608.3</v>
      </c>
      <c r="J358" s="3" t="n">
        <v>258.16</v>
      </c>
      <c r="K358" s="3" t="n">
        <v>1334.18</v>
      </c>
      <c r="L358" s="3" t="n">
        <v>614.98</v>
      </c>
      <c r="M358" s="2" t="n">
        <v>2.9</v>
      </c>
      <c r="N358" s="2" t="s">
        <v>24</v>
      </c>
      <c r="O358" s="4" t="n">
        <f aca="false">VLOOKUP(F358,DIM_SERVICO!$A$2:$D$151,4,FALSE())</f>
        <v>258.16</v>
      </c>
      <c r="P358" s="4" t="n">
        <f aca="false">VLOOKUP(E358,DIM_PECA!$A$2:$F$501,6,FALSE())</f>
        <v>538.01</v>
      </c>
      <c r="Q358" s="4" t="n">
        <f aca="false">VLOOKUP(E358,DIM_PECA!$A$2:$F$501,5,FALSE())</f>
        <v>304.15</v>
      </c>
      <c r="R358" s="4" t="n">
        <f aca="false">H358*P358</f>
        <v>1076.02</v>
      </c>
      <c r="S358" s="4" t="n">
        <f aca="false">O358*M358</f>
        <v>748.664</v>
      </c>
      <c r="T358" s="4" t="n">
        <f aca="false">R358+S358</f>
        <v>1824.684</v>
      </c>
      <c r="U358" s="4" t="n">
        <f aca="false">T358-K358</f>
        <v>490.504</v>
      </c>
      <c r="V358" s="4" t="n">
        <f aca="false">R358+S358-U358</f>
        <v>1334.18</v>
      </c>
      <c r="W358" s="5" t="str">
        <f aca="false">IF(ROUND(V358-K358,2)=0,"OK","ERRO")</f>
        <v>OK</v>
      </c>
      <c r="X358" s="5" t="str">
        <f aca="false">VLOOKUP(F358,DIM_SERVICO!$A$2:$D$151,3,FALSE())</f>
        <v>Diagnóstico</v>
      </c>
    </row>
    <row r="359" customFormat="false" ht="15" hidden="false" customHeight="false" outlineLevel="0" collapsed="false">
      <c r="A359" s="6" t="n">
        <v>358</v>
      </c>
      <c r="B359" s="6" t="n">
        <v>1129</v>
      </c>
      <c r="C359" s="6" t="n">
        <v>616</v>
      </c>
      <c r="D359" s="6" t="n">
        <v>706</v>
      </c>
      <c r="E359" s="6" t="n">
        <v>429</v>
      </c>
      <c r="F359" s="6" t="n">
        <v>65</v>
      </c>
      <c r="G359" s="6" t="n">
        <v>576</v>
      </c>
      <c r="H359" s="6" t="n">
        <v>4</v>
      </c>
      <c r="I359" s="7" t="n">
        <v>2137.32</v>
      </c>
      <c r="J359" s="7" t="n">
        <v>1214.63</v>
      </c>
      <c r="K359" s="7" t="n">
        <v>5029.79</v>
      </c>
      <c r="L359" s="7" t="n">
        <v>2458.09</v>
      </c>
      <c r="M359" s="6" t="n">
        <v>9.6</v>
      </c>
      <c r="N359" s="6" t="s">
        <v>24</v>
      </c>
      <c r="O359" s="8" t="n">
        <f aca="false">VLOOKUP(F359,DIM_SERVICO!$A$2:$D$151,4,FALSE())</f>
        <v>1214.63</v>
      </c>
      <c r="P359" s="8" t="n">
        <f aca="false">VLOOKUP(E359,DIM_PECA!$A$2:$F$501,6,FALSE())</f>
        <v>953.79</v>
      </c>
      <c r="Q359" s="8" t="n">
        <f aca="false">VLOOKUP(E359,DIM_PECA!$A$2:$F$501,5,FALSE())</f>
        <v>534.33</v>
      </c>
      <c r="R359" s="8" t="n">
        <f aca="false">H359*P359</f>
        <v>3815.16</v>
      </c>
      <c r="S359" s="8" t="n">
        <f aca="false">O359*M359</f>
        <v>11660.448</v>
      </c>
      <c r="T359" s="8" t="n">
        <f aca="false">R359+S359</f>
        <v>15475.608</v>
      </c>
      <c r="U359" s="8" t="n">
        <f aca="false">T359-K359</f>
        <v>10445.818</v>
      </c>
      <c r="V359" s="8" t="n">
        <f aca="false">R359+S359-U359</f>
        <v>5029.79</v>
      </c>
      <c r="W359" s="9" t="str">
        <f aca="false">IF(ROUND(V359-K359,2)=0,"OK","ERRO")</f>
        <v>OK</v>
      </c>
      <c r="X359" s="9" t="str">
        <f aca="false">VLOOKUP(F359,DIM_SERVICO!$A$2:$D$151,3,FALSE())</f>
        <v>Elétrica</v>
      </c>
    </row>
    <row r="360" customFormat="false" ht="15" hidden="false" customHeight="false" outlineLevel="0" collapsed="false">
      <c r="A360" s="2" t="n">
        <v>359</v>
      </c>
      <c r="B360" s="2" t="n">
        <v>823</v>
      </c>
      <c r="C360" s="2" t="n">
        <v>126</v>
      </c>
      <c r="D360" s="2" t="n">
        <v>787</v>
      </c>
      <c r="E360" s="2" t="n">
        <v>233</v>
      </c>
      <c r="F360" s="2" t="n">
        <v>61</v>
      </c>
      <c r="G360" s="2" t="n">
        <v>1007</v>
      </c>
      <c r="H360" s="2" t="n">
        <v>4</v>
      </c>
      <c r="I360" s="3" t="n">
        <v>402.04</v>
      </c>
      <c r="J360" s="3" t="n">
        <v>1372.66</v>
      </c>
      <c r="K360" s="3" t="n">
        <v>1902.38</v>
      </c>
      <c r="L360" s="3" t="n">
        <v>873.96</v>
      </c>
      <c r="M360" s="2" t="n">
        <v>2.4</v>
      </c>
      <c r="N360" s="2" t="s">
        <v>25</v>
      </c>
      <c r="O360" s="4" t="n">
        <f aca="false">VLOOKUP(F360,DIM_SERVICO!$A$2:$D$151,4,FALSE())</f>
        <v>1372.66</v>
      </c>
      <c r="P360" s="4" t="n">
        <f aca="false">VLOOKUP(E360,DIM_PECA!$A$2:$F$501,6,FALSE())</f>
        <v>157.46</v>
      </c>
      <c r="Q360" s="4" t="n">
        <f aca="false">VLOOKUP(E360,DIM_PECA!$A$2:$F$501,5,FALSE())</f>
        <v>100.51</v>
      </c>
      <c r="R360" s="4" t="n">
        <f aca="false">H360*P360</f>
        <v>629.84</v>
      </c>
      <c r="S360" s="4" t="n">
        <f aca="false">O360*M360</f>
        <v>3294.384</v>
      </c>
      <c r="T360" s="4" t="n">
        <f aca="false">R360+S360</f>
        <v>3924.224</v>
      </c>
      <c r="U360" s="4" t="n">
        <f aca="false">T360-K360</f>
        <v>2021.844</v>
      </c>
      <c r="V360" s="4" t="n">
        <f aca="false">R360+S360-U360</f>
        <v>1902.38</v>
      </c>
      <c r="W360" s="5" t="str">
        <f aca="false">IF(ROUND(V360-K360,2)=0,"OK","ERRO")</f>
        <v>OK</v>
      </c>
      <c r="X360" s="5" t="str">
        <f aca="false">VLOOKUP(F360,DIM_SERVICO!$A$2:$D$151,3,FALSE())</f>
        <v>Funilaria</v>
      </c>
    </row>
    <row r="361" customFormat="false" ht="15" hidden="false" customHeight="false" outlineLevel="0" collapsed="false">
      <c r="A361" s="6" t="n">
        <v>360</v>
      </c>
      <c r="B361" s="6" t="n">
        <v>1267</v>
      </c>
      <c r="C361" s="6" t="n">
        <v>524</v>
      </c>
      <c r="D361" s="6" t="n">
        <v>214</v>
      </c>
      <c r="E361" s="6" t="n">
        <v>279</v>
      </c>
      <c r="F361" s="6" t="n">
        <v>31</v>
      </c>
      <c r="G361" s="6" t="n">
        <v>81</v>
      </c>
      <c r="H361" s="6" t="n">
        <v>1</v>
      </c>
      <c r="I361" s="7" t="n">
        <v>339.91</v>
      </c>
      <c r="J361" s="7" t="n">
        <v>1359.86</v>
      </c>
      <c r="K361" s="7" t="n">
        <v>1824.27</v>
      </c>
      <c r="L361" s="7" t="n">
        <v>964.64</v>
      </c>
      <c r="M361" s="6" t="n">
        <v>0.8</v>
      </c>
      <c r="N361" s="6" t="s">
        <v>25</v>
      </c>
      <c r="O361" s="8" t="n">
        <f aca="false">VLOOKUP(F361,DIM_SERVICO!$A$2:$D$151,4,FALSE())</f>
        <v>1359.86</v>
      </c>
      <c r="P361" s="8" t="n">
        <f aca="false">VLOOKUP(E361,DIM_PECA!$A$2:$F$501,6,FALSE())</f>
        <v>501.64</v>
      </c>
      <c r="Q361" s="8" t="n">
        <f aca="false">VLOOKUP(E361,DIM_PECA!$A$2:$F$501,5,FALSE())</f>
        <v>339.91</v>
      </c>
      <c r="R361" s="8" t="n">
        <f aca="false">H361*P361</f>
        <v>501.64</v>
      </c>
      <c r="S361" s="8" t="n">
        <f aca="false">O361*M361</f>
        <v>1087.888</v>
      </c>
      <c r="T361" s="8" t="n">
        <f aca="false">R361+S361</f>
        <v>1589.528</v>
      </c>
      <c r="U361" s="8" t="n">
        <f aca="false">T361-K361</f>
        <v>-234.742</v>
      </c>
      <c r="V361" s="8" t="n">
        <f aca="false">R361+S361-U361</f>
        <v>1824.27</v>
      </c>
      <c r="W361" s="9" t="str">
        <f aca="false">IF(ROUND(V361-K361,2)=0,"OK","ERRO")</f>
        <v>OK</v>
      </c>
      <c r="X361" s="9" t="str">
        <f aca="false">VLOOKUP(F361,DIM_SERVICO!$A$2:$D$151,3,FALSE())</f>
        <v>Suspensão</v>
      </c>
    </row>
    <row r="362" customFormat="false" ht="15" hidden="false" customHeight="false" outlineLevel="0" collapsed="false">
      <c r="A362" s="2" t="n">
        <v>361</v>
      </c>
      <c r="B362" s="2" t="n">
        <v>481</v>
      </c>
      <c r="C362" s="2" t="n">
        <v>1354</v>
      </c>
      <c r="D362" s="2" t="n">
        <v>462</v>
      </c>
      <c r="E362" s="2" t="n">
        <v>242</v>
      </c>
      <c r="F362" s="2" t="n">
        <v>137</v>
      </c>
      <c r="G362" s="2" t="n">
        <v>1475</v>
      </c>
      <c r="H362" s="2" t="n">
        <v>1</v>
      </c>
      <c r="I362" s="3" t="n">
        <v>113.54</v>
      </c>
      <c r="J362" s="3" t="n">
        <v>1147.35</v>
      </c>
      <c r="K362" s="3" t="n">
        <v>1213.66</v>
      </c>
      <c r="L362" s="3" t="n">
        <v>674.51</v>
      </c>
      <c r="M362" s="2" t="n">
        <v>5.7</v>
      </c>
      <c r="N362" s="2" t="s">
        <v>24</v>
      </c>
      <c r="O362" s="4" t="n">
        <f aca="false">VLOOKUP(F362,DIM_SERVICO!$A$2:$D$151,4,FALSE())</f>
        <v>1147.35</v>
      </c>
      <c r="P362" s="4" t="n">
        <f aca="false">VLOOKUP(E362,DIM_PECA!$A$2:$F$501,6,FALSE())</f>
        <v>171.85</v>
      </c>
      <c r="Q362" s="4" t="n">
        <f aca="false">VLOOKUP(E362,DIM_PECA!$A$2:$F$501,5,FALSE())</f>
        <v>113.54</v>
      </c>
      <c r="R362" s="4" t="n">
        <f aca="false">H362*P362</f>
        <v>171.85</v>
      </c>
      <c r="S362" s="4" t="n">
        <f aca="false">O362*M362</f>
        <v>6539.895</v>
      </c>
      <c r="T362" s="4" t="n">
        <f aca="false">R362+S362</f>
        <v>6711.745</v>
      </c>
      <c r="U362" s="4" t="n">
        <f aca="false">T362-K362</f>
        <v>5498.085</v>
      </c>
      <c r="V362" s="4" t="n">
        <f aca="false">R362+S362-U362</f>
        <v>1213.66</v>
      </c>
      <c r="W362" s="5" t="str">
        <f aca="false">IF(ROUND(V362-K362,2)=0,"OK","ERRO")</f>
        <v>OK</v>
      </c>
      <c r="X362" s="5" t="str">
        <f aca="false">VLOOKUP(F362,DIM_SERVICO!$A$2:$D$151,3,FALSE())</f>
        <v>Diagnóstico</v>
      </c>
    </row>
    <row r="363" customFormat="false" ht="15" hidden="false" customHeight="false" outlineLevel="0" collapsed="false">
      <c r="A363" s="6" t="n">
        <v>362</v>
      </c>
      <c r="B363" s="6" t="n">
        <v>938</v>
      </c>
      <c r="C363" s="6" t="n">
        <v>707</v>
      </c>
      <c r="D363" s="6" t="n">
        <v>723</v>
      </c>
      <c r="E363" s="6" t="n">
        <v>139</v>
      </c>
      <c r="F363" s="6" t="n">
        <v>120</v>
      </c>
      <c r="G363" s="6" t="n">
        <v>1307</v>
      </c>
      <c r="H363" s="6" t="n">
        <v>4</v>
      </c>
      <c r="I363" s="7" t="n">
        <v>4364.88</v>
      </c>
      <c r="J363" s="7" t="n">
        <v>1729.81</v>
      </c>
      <c r="K363" s="7" t="n">
        <v>7358.13</v>
      </c>
      <c r="L363" s="7" t="n">
        <v>2273.29</v>
      </c>
      <c r="M363" s="6" t="n">
        <v>4.8</v>
      </c>
      <c r="N363" s="6" t="s">
        <v>27</v>
      </c>
      <c r="O363" s="8" t="n">
        <f aca="false">VLOOKUP(F363,DIM_SERVICO!$A$2:$D$151,4,FALSE())</f>
        <v>1729.81</v>
      </c>
      <c r="P363" s="8" t="n">
        <f aca="false">VLOOKUP(E363,DIM_PECA!$A$2:$F$501,6,FALSE())</f>
        <v>1567.04</v>
      </c>
      <c r="Q363" s="8" t="n">
        <f aca="false">VLOOKUP(E363,DIM_PECA!$A$2:$F$501,5,FALSE())</f>
        <v>1091.22</v>
      </c>
      <c r="R363" s="8" t="n">
        <f aca="false">H363*P363</f>
        <v>6268.16</v>
      </c>
      <c r="S363" s="8" t="n">
        <f aca="false">O363*M363</f>
        <v>8303.088</v>
      </c>
      <c r="T363" s="8" t="n">
        <f aca="false">R363+S363</f>
        <v>14571.248</v>
      </c>
      <c r="U363" s="8" t="n">
        <f aca="false">T363-K363</f>
        <v>7213.118</v>
      </c>
      <c r="V363" s="8" t="n">
        <f aca="false">R363+S363-U363</f>
        <v>7358.13</v>
      </c>
      <c r="W363" s="9" t="str">
        <f aca="false">IF(ROUND(V363-K363,2)=0,"OK","ERRO")</f>
        <v>OK</v>
      </c>
      <c r="X363" s="9" t="str">
        <f aca="false">VLOOKUP(F363,DIM_SERVICO!$A$2:$D$151,3,FALSE())</f>
        <v>Suspensão</v>
      </c>
    </row>
    <row r="364" customFormat="false" ht="15" hidden="false" customHeight="false" outlineLevel="0" collapsed="false">
      <c r="A364" s="2" t="n">
        <v>363</v>
      </c>
      <c r="B364" s="2" t="n">
        <v>1197</v>
      </c>
      <c r="C364" s="2" t="n">
        <v>747</v>
      </c>
      <c r="D364" s="2" t="n">
        <v>819</v>
      </c>
      <c r="E364" s="2" t="n">
        <v>304</v>
      </c>
      <c r="F364" s="2" t="n">
        <v>6</v>
      </c>
      <c r="G364" s="2" t="n">
        <v>1816</v>
      </c>
      <c r="H364" s="2" t="n">
        <v>2</v>
      </c>
      <c r="I364" s="3" t="n">
        <v>828.28</v>
      </c>
      <c r="J364" s="3" t="n">
        <v>1505.67</v>
      </c>
      <c r="K364" s="3" t="n">
        <v>2785.44</v>
      </c>
      <c r="L364" s="3" t="n">
        <v>1209.89</v>
      </c>
      <c r="M364" s="2" t="n">
        <v>7.7</v>
      </c>
      <c r="N364" s="2" t="s">
        <v>24</v>
      </c>
      <c r="O364" s="4" t="n">
        <f aca="false">VLOOKUP(F364,DIM_SERVICO!$A$2:$D$151,4,FALSE())</f>
        <v>1505.67</v>
      </c>
      <c r="P364" s="4" t="n">
        <f aca="false">VLOOKUP(E364,DIM_PECA!$A$2:$F$501,6,FALSE())</f>
        <v>794.63</v>
      </c>
      <c r="Q364" s="4" t="n">
        <f aca="false">VLOOKUP(E364,DIM_PECA!$A$2:$F$501,5,FALSE())</f>
        <v>414.14</v>
      </c>
      <c r="R364" s="4" t="n">
        <f aca="false">H364*P364</f>
        <v>1589.26</v>
      </c>
      <c r="S364" s="4" t="n">
        <f aca="false">O364*M364</f>
        <v>11593.659</v>
      </c>
      <c r="T364" s="4" t="n">
        <f aca="false">R364+S364</f>
        <v>13182.919</v>
      </c>
      <c r="U364" s="4" t="n">
        <f aca="false">T364-K364</f>
        <v>10397.479</v>
      </c>
      <c r="V364" s="4" t="n">
        <f aca="false">R364+S364-U364</f>
        <v>2785.44</v>
      </c>
      <c r="W364" s="5" t="str">
        <f aca="false">IF(ROUND(V364-K364,2)=0,"OK","ERRO")</f>
        <v>OK</v>
      </c>
      <c r="X364" s="5" t="str">
        <f aca="false">VLOOKUP(F364,DIM_SERVICO!$A$2:$D$151,3,FALSE())</f>
        <v>Motor</v>
      </c>
    </row>
    <row r="365" customFormat="false" ht="15" hidden="false" customHeight="false" outlineLevel="0" collapsed="false">
      <c r="A365" s="6" t="n">
        <v>364</v>
      </c>
      <c r="B365" s="6" t="n">
        <v>816</v>
      </c>
      <c r="C365" s="6" t="n">
        <v>1492</v>
      </c>
      <c r="D365" s="6" t="n">
        <v>581</v>
      </c>
      <c r="E365" s="6" t="n">
        <v>325</v>
      </c>
      <c r="F365" s="6" t="n">
        <v>72</v>
      </c>
      <c r="G365" s="6" t="n">
        <v>1574</v>
      </c>
      <c r="H365" s="6" t="n">
        <v>4</v>
      </c>
      <c r="I365" s="7" t="n">
        <v>589.44</v>
      </c>
      <c r="J365" s="7" t="n">
        <v>710.66</v>
      </c>
      <c r="K365" s="7" t="n">
        <v>1522.98</v>
      </c>
      <c r="L365" s="7" t="n">
        <v>545.92</v>
      </c>
      <c r="M365" s="6" t="n">
        <v>11.7</v>
      </c>
      <c r="N365" s="6" t="s">
        <v>26</v>
      </c>
      <c r="O365" s="8" t="n">
        <f aca="false">VLOOKUP(F365,DIM_SERVICO!$A$2:$D$151,4,FALSE())</f>
        <v>710.66</v>
      </c>
      <c r="P365" s="8" t="n">
        <f aca="false">VLOOKUP(E365,DIM_PECA!$A$2:$F$501,6,FALSE())</f>
        <v>223.12</v>
      </c>
      <c r="Q365" s="8" t="n">
        <f aca="false">VLOOKUP(E365,DIM_PECA!$A$2:$F$501,5,FALSE())</f>
        <v>147.36</v>
      </c>
      <c r="R365" s="8" t="n">
        <f aca="false">H365*P365</f>
        <v>892.48</v>
      </c>
      <c r="S365" s="8" t="n">
        <f aca="false">O365*M365</f>
        <v>8314.722</v>
      </c>
      <c r="T365" s="8" t="n">
        <f aca="false">R365+S365</f>
        <v>9207.202</v>
      </c>
      <c r="U365" s="8" t="n">
        <f aca="false">T365-K365</f>
        <v>7684.222</v>
      </c>
      <c r="V365" s="8" t="n">
        <f aca="false">R365+S365-U365</f>
        <v>1522.98</v>
      </c>
      <c r="W365" s="9" t="str">
        <f aca="false">IF(ROUND(V365-K365,2)=0,"OK","ERRO")</f>
        <v>OK</v>
      </c>
      <c r="X365" s="9" t="str">
        <f aca="false">VLOOKUP(F365,DIM_SERVICO!$A$2:$D$151,3,FALSE())</f>
        <v>Motor</v>
      </c>
    </row>
    <row r="366" customFormat="false" ht="15" hidden="false" customHeight="false" outlineLevel="0" collapsed="false">
      <c r="A366" s="2" t="n">
        <v>365</v>
      </c>
      <c r="B366" s="2" t="n">
        <v>857</v>
      </c>
      <c r="C366" s="2" t="n">
        <v>1195</v>
      </c>
      <c r="D366" s="2" t="n">
        <v>1104</v>
      </c>
      <c r="E366" s="2" t="n">
        <v>367</v>
      </c>
      <c r="F366" s="2" t="n">
        <v>150</v>
      </c>
      <c r="G366" s="2" t="n">
        <v>1718</v>
      </c>
      <c r="H366" s="2" t="n">
        <v>2</v>
      </c>
      <c r="I366" s="3" t="n">
        <v>1185.6</v>
      </c>
      <c r="J366" s="3" t="n">
        <v>1370.46</v>
      </c>
      <c r="K366" s="3" t="n">
        <v>2971.71</v>
      </c>
      <c r="L366" s="3" t="n">
        <v>1080.43</v>
      </c>
      <c r="M366" s="2" t="n">
        <v>6.6</v>
      </c>
      <c r="N366" s="2" t="s">
        <v>24</v>
      </c>
      <c r="O366" s="4" t="n">
        <f aca="false">VLOOKUP(F366,DIM_SERVICO!$A$2:$D$151,4,FALSE())</f>
        <v>1370.46</v>
      </c>
      <c r="P366" s="4" t="n">
        <f aca="false">VLOOKUP(E366,DIM_PECA!$A$2:$F$501,6,FALSE())</f>
        <v>929.83</v>
      </c>
      <c r="Q366" s="4" t="n">
        <f aca="false">VLOOKUP(E366,DIM_PECA!$A$2:$F$501,5,FALSE())</f>
        <v>592.8</v>
      </c>
      <c r="R366" s="4" t="n">
        <f aca="false">H366*P366</f>
        <v>1859.66</v>
      </c>
      <c r="S366" s="4" t="n">
        <f aca="false">O366*M366</f>
        <v>9045.036</v>
      </c>
      <c r="T366" s="4" t="n">
        <f aca="false">R366+S366</f>
        <v>10904.696</v>
      </c>
      <c r="U366" s="4" t="n">
        <f aca="false">T366-K366</f>
        <v>7932.986</v>
      </c>
      <c r="V366" s="4" t="n">
        <f aca="false">R366+S366-U366</f>
        <v>2971.71</v>
      </c>
      <c r="W366" s="5" t="str">
        <f aca="false">IF(ROUND(V366-K366,2)=0,"OK","ERRO")</f>
        <v>OK</v>
      </c>
      <c r="X366" s="5" t="str">
        <f aca="false">VLOOKUP(F366,DIM_SERVICO!$A$2:$D$151,3,FALSE())</f>
        <v>Revisão</v>
      </c>
    </row>
    <row r="367" customFormat="false" ht="15" hidden="false" customHeight="false" outlineLevel="0" collapsed="false">
      <c r="A367" s="6" t="n">
        <v>366</v>
      </c>
      <c r="B367" s="6" t="n">
        <v>384</v>
      </c>
      <c r="C367" s="6" t="n">
        <v>1106</v>
      </c>
      <c r="D367" s="6" t="n">
        <v>737</v>
      </c>
      <c r="E367" s="6" t="n">
        <v>162</v>
      </c>
      <c r="F367" s="6" t="n">
        <v>42</v>
      </c>
      <c r="G367" s="6" t="n">
        <v>445</v>
      </c>
      <c r="H367" s="6" t="n">
        <v>1</v>
      </c>
      <c r="I367" s="7" t="n">
        <v>216.6</v>
      </c>
      <c r="J367" s="7" t="n">
        <v>1029.92</v>
      </c>
      <c r="K367" s="7" t="n">
        <v>1262.06</v>
      </c>
      <c r="L367" s="7" t="n">
        <v>684.07</v>
      </c>
      <c r="M367" s="6" t="n">
        <v>10.2</v>
      </c>
      <c r="N367" s="6" t="s">
        <v>24</v>
      </c>
      <c r="O367" s="8" t="n">
        <f aca="false">VLOOKUP(F367,DIM_SERVICO!$A$2:$D$151,4,FALSE())</f>
        <v>1029.92</v>
      </c>
      <c r="P367" s="8" t="n">
        <f aca="false">VLOOKUP(E367,DIM_PECA!$A$2:$F$501,6,FALSE())</f>
        <v>298.56</v>
      </c>
      <c r="Q367" s="8" t="n">
        <f aca="false">VLOOKUP(E367,DIM_PECA!$A$2:$F$501,5,FALSE())</f>
        <v>216.6</v>
      </c>
      <c r="R367" s="8" t="n">
        <f aca="false">H367*P367</f>
        <v>298.56</v>
      </c>
      <c r="S367" s="8" t="n">
        <f aca="false">O367*M367</f>
        <v>10505.184</v>
      </c>
      <c r="T367" s="8" t="n">
        <f aca="false">R367+S367</f>
        <v>10803.744</v>
      </c>
      <c r="U367" s="8" t="n">
        <f aca="false">T367-K367</f>
        <v>9541.684</v>
      </c>
      <c r="V367" s="8" t="n">
        <f aca="false">R367+S367-U367</f>
        <v>1262.06</v>
      </c>
      <c r="W367" s="9" t="str">
        <f aca="false">IF(ROUND(V367-K367,2)=0,"OK","ERRO")</f>
        <v>OK</v>
      </c>
      <c r="X367" s="9" t="str">
        <f aca="false">VLOOKUP(F367,DIM_SERVICO!$A$2:$D$151,3,FALSE())</f>
        <v>Elétrica</v>
      </c>
    </row>
    <row r="368" customFormat="false" ht="15" hidden="false" customHeight="false" outlineLevel="0" collapsed="false">
      <c r="A368" s="2" t="n">
        <v>367</v>
      </c>
      <c r="B368" s="2" t="n">
        <v>1225</v>
      </c>
      <c r="C368" s="2" t="n">
        <v>397</v>
      </c>
      <c r="D368" s="2" t="n">
        <v>474</v>
      </c>
      <c r="E368" s="2" t="n">
        <v>450</v>
      </c>
      <c r="F368" s="2" t="n">
        <v>55</v>
      </c>
      <c r="G368" s="2" t="n">
        <v>51</v>
      </c>
      <c r="H368" s="2" t="n">
        <v>3</v>
      </c>
      <c r="I368" s="3" t="n">
        <v>2987.07</v>
      </c>
      <c r="J368" s="3" t="n">
        <v>176.18</v>
      </c>
      <c r="K368" s="3" t="n">
        <v>5332.71</v>
      </c>
      <c r="L368" s="3" t="n">
        <v>2255.16</v>
      </c>
      <c r="M368" s="2" t="n">
        <v>0.8</v>
      </c>
      <c r="N368" s="2" t="s">
        <v>24</v>
      </c>
      <c r="O368" s="4" t="n">
        <f aca="false">VLOOKUP(F368,DIM_SERVICO!$A$2:$D$151,4,FALSE())</f>
        <v>176.18</v>
      </c>
      <c r="P368" s="4" t="n">
        <f aca="false">VLOOKUP(E368,DIM_PECA!$A$2:$F$501,6,FALSE())</f>
        <v>1812.4</v>
      </c>
      <c r="Q368" s="4" t="n">
        <f aca="false">VLOOKUP(E368,DIM_PECA!$A$2:$F$501,5,FALSE())</f>
        <v>995.69</v>
      </c>
      <c r="R368" s="4" t="n">
        <f aca="false">H368*P368</f>
        <v>5437.2</v>
      </c>
      <c r="S368" s="4" t="n">
        <f aca="false">O368*M368</f>
        <v>140.944</v>
      </c>
      <c r="T368" s="4" t="n">
        <f aca="false">R368+S368</f>
        <v>5578.144</v>
      </c>
      <c r="U368" s="4" t="n">
        <f aca="false">T368-K368</f>
        <v>245.434000000001</v>
      </c>
      <c r="V368" s="4" t="n">
        <f aca="false">R368+S368-U368</f>
        <v>5332.71</v>
      </c>
      <c r="W368" s="5" t="str">
        <f aca="false">IF(ROUND(V368-K368,2)=0,"OK","ERRO")</f>
        <v>OK</v>
      </c>
      <c r="X368" s="5" t="str">
        <f aca="false">VLOOKUP(F368,DIM_SERVICO!$A$2:$D$151,3,FALSE())</f>
        <v>Motor</v>
      </c>
    </row>
    <row r="369" customFormat="false" ht="15" hidden="false" customHeight="false" outlineLevel="0" collapsed="false">
      <c r="A369" s="6" t="n">
        <v>368</v>
      </c>
      <c r="B369" s="6" t="n">
        <v>764</v>
      </c>
      <c r="C369" s="6" t="n">
        <v>949</v>
      </c>
      <c r="D369" s="6" t="n">
        <v>61</v>
      </c>
      <c r="E369" s="6" t="n">
        <v>2</v>
      </c>
      <c r="F369" s="6" t="n">
        <v>7</v>
      </c>
      <c r="G369" s="6" t="n">
        <v>316</v>
      </c>
      <c r="H369" s="6" t="n">
        <v>4</v>
      </c>
      <c r="I369" s="7" t="n">
        <v>3238.76</v>
      </c>
      <c r="J369" s="7" t="n">
        <v>2158.23</v>
      </c>
      <c r="K369" s="7" t="n">
        <v>6310.21</v>
      </c>
      <c r="L369" s="7" t="n">
        <v>2113.8</v>
      </c>
      <c r="M369" s="6" t="n">
        <v>3.5</v>
      </c>
      <c r="N369" s="6" t="s">
        <v>24</v>
      </c>
      <c r="O369" s="8" t="n">
        <f aca="false">VLOOKUP(F369,DIM_SERVICO!$A$2:$D$151,4,FALSE())</f>
        <v>2158.23</v>
      </c>
      <c r="P369" s="8" t="n">
        <f aca="false">VLOOKUP(E369,DIM_PECA!$A$2:$F$501,6,FALSE())</f>
        <v>1213.28</v>
      </c>
      <c r="Q369" s="8" t="n">
        <f aca="false">VLOOKUP(E369,DIM_PECA!$A$2:$F$501,5,FALSE())</f>
        <v>809.69</v>
      </c>
      <c r="R369" s="8" t="n">
        <f aca="false">H369*P369</f>
        <v>4853.12</v>
      </c>
      <c r="S369" s="8" t="n">
        <f aca="false">O369*M369</f>
        <v>7553.805</v>
      </c>
      <c r="T369" s="8" t="n">
        <f aca="false">R369+S369</f>
        <v>12406.925</v>
      </c>
      <c r="U369" s="8" t="n">
        <f aca="false">T369-K369</f>
        <v>6096.715</v>
      </c>
      <c r="V369" s="8" t="n">
        <f aca="false">R369+S369-U369</f>
        <v>6310.21</v>
      </c>
      <c r="W369" s="9" t="str">
        <f aca="false">IF(ROUND(V369-K369,2)=0,"OK","ERRO")</f>
        <v>OK</v>
      </c>
      <c r="X369" s="9" t="str">
        <f aca="false">VLOOKUP(F369,DIM_SERVICO!$A$2:$D$151,3,FALSE())</f>
        <v>Revisão</v>
      </c>
    </row>
    <row r="370" customFormat="false" ht="15" hidden="false" customHeight="false" outlineLevel="0" collapsed="false">
      <c r="A370" s="2" t="n">
        <v>369</v>
      </c>
      <c r="B370" s="2" t="n">
        <v>401</v>
      </c>
      <c r="C370" s="2" t="n">
        <v>712</v>
      </c>
      <c r="D370" s="2" t="n">
        <v>376</v>
      </c>
      <c r="E370" s="2" t="n">
        <v>416</v>
      </c>
      <c r="F370" s="2" t="n">
        <v>112</v>
      </c>
      <c r="G370" s="2" t="n">
        <v>1649</v>
      </c>
      <c r="H370" s="2" t="n">
        <v>3</v>
      </c>
      <c r="I370" s="3" t="n">
        <v>3076.47</v>
      </c>
      <c r="J370" s="3" t="n">
        <v>899.56</v>
      </c>
      <c r="K370" s="3" t="n">
        <v>6618.14</v>
      </c>
      <c r="L370" s="3" t="n">
        <v>3098.83</v>
      </c>
      <c r="M370" s="2" t="n">
        <v>2.9</v>
      </c>
      <c r="N370" s="2" t="s">
        <v>24</v>
      </c>
      <c r="O370" s="4" t="n">
        <f aca="false">VLOOKUP(F370,DIM_SERVICO!$A$2:$D$151,4,FALSE())</f>
        <v>899.56</v>
      </c>
      <c r="P370" s="4" t="n">
        <f aca="false">VLOOKUP(E370,DIM_PECA!$A$2:$F$501,6,FALSE())</f>
        <v>2151.31</v>
      </c>
      <c r="Q370" s="4" t="n">
        <f aca="false">VLOOKUP(E370,DIM_PECA!$A$2:$F$501,5,FALSE())</f>
        <v>1025.49</v>
      </c>
      <c r="R370" s="4" t="n">
        <f aca="false">H370*P370</f>
        <v>6453.93</v>
      </c>
      <c r="S370" s="4" t="n">
        <f aca="false">O370*M370</f>
        <v>2608.724</v>
      </c>
      <c r="T370" s="4" t="n">
        <f aca="false">R370+S370</f>
        <v>9062.654</v>
      </c>
      <c r="U370" s="4" t="n">
        <f aca="false">T370-K370</f>
        <v>2444.514</v>
      </c>
      <c r="V370" s="4" t="n">
        <f aca="false">R370+S370-U370</f>
        <v>6618.14</v>
      </c>
      <c r="W370" s="5" t="str">
        <f aca="false">IF(ROUND(V370-K370,2)=0,"OK","ERRO")</f>
        <v>OK</v>
      </c>
      <c r="X370" s="5" t="str">
        <f aca="false">VLOOKUP(F370,DIM_SERVICO!$A$2:$D$151,3,FALSE())</f>
        <v>Elétrica</v>
      </c>
    </row>
    <row r="371" customFormat="false" ht="15" hidden="false" customHeight="false" outlineLevel="0" collapsed="false">
      <c r="A371" s="6" t="n">
        <v>370</v>
      </c>
      <c r="B371" s="6" t="n">
        <v>678</v>
      </c>
      <c r="C371" s="6" t="n">
        <v>286</v>
      </c>
      <c r="D371" s="6" t="n">
        <v>615</v>
      </c>
      <c r="E371" s="6" t="n">
        <v>42</v>
      </c>
      <c r="F371" s="6" t="n">
        <v>27</v>
      </c>
      <c r="G371" s="6" t="n">
        <v>965</v>
      </c>
      <c r="H371" s="6" t="n">
        <v>2</v>
      </c>
      <c r="I371" s="7" t="n">
        <v>1789.7</v>
      </c>
      <c r="J371" s="7" t="n">
        <v>662.68</v>
      </c>
      <c r="K371" s="7" t="n">
        <v>2800.6</v>
      </c>
      <c r="L371" s="7" t="n">
        <v>648.25</v>
      </c>
      <c r="M371" s="6" t="n">
        <v>1.1</v>
      </c>
      <c r="N371" s="6" t="s">
        <v>24</v>
      </c>
      <c r="O371" s="8" t="n">
        <f aca="false">VLOOKUP(F371,DIM_SERVICO!$A$2:$D$151,4,FALSE())</f>
        <v>662.68</v>
      </c>
      <c r="P371" s="8" t="n">
        <f aca="false">VLOOKUP(E371,DIM_PECA!$A$2:$F$501,6,FALSE())</f>
        <v>1224.55</v>
      </c>
      <c r="Q371" s="8" t="n">
        <f aca="false">VLOOKUP(E371,DIM_PECA!$A$2:$F$501,5,FALSE())</f>
        <v>894.85</v>
      </c>
      <c r="R371" s="8" t="n">
        <f aca="false">H371*P371</f>
        <v>2449.1</v>
      </c>
      <c r="S371" s="8" t="n">
        <f aca="false">O371*M371</f>
        <v>728.948</v>
      </c>
      <c r="T371" s="8" t="n">
        <f aca="false">R371+S371</f>
        <v>3178.048</v>
      </c>
      <c r="U371" s="8" t="n">
        <f aca="false">T371-K371</f>
        <v>377.448</v>
      </c>
      <c r="V371" s="8" t="n">
        <f aca="false">R371+S371-U371</f>
        <v>2800.6</v>
      </c>
      <c r="W371" s="9" t="str">
        <f aca="false">IF(ROUND(V371-K371,2)=0,"OK","ERRO")</f>
        <v>OK</v>
      </c>
      <c r="X371" s="9" t="str">
        <f aca="false">VLOOKUP(F371,DIM_SERVICO!$A$2:$D$151,3,FALSE())</f>
        <v>Revisão</v>
      </c>
    </row>
    <row r="372" customFormat="false" ht="15" hidden="false" customHeight="false" outlineLevel="0" collapsed="false">
      <c r="A372" s="2" t="n">
        <v>371</v>
      </c>
      <c r="B372" s="2" t="n">
        <v>1225</v>
      </c>
      <c r="C372" s="2" t="n">
        <v>715</v>
      </c>
      <c r="D372" s="2" t="n">
        <v>910</v>
      </c>
      <c r="E372" s="2" t="n">
        <v>84</v>
      </c>
      <c r="F372" s="2" t="n">
        <v>23</v>
      </c>
      <c r="G372" s="2" t="n">
        <v>973</v>
      </c>
      <c r="H372" s="2" t="n">
        <v>2</v>
      </c>
      <c r="I372" s="3" t="n">
        <v>1241.58</v>
      </c>
      <c r="J372" s="3" t="n">
        <v>1828.61</v>
      </c>
      <c r="K372" s="3" t="n">
        <v>3848.69</v>
      </c>
      <c r="L372" s="3" t="n">
        <v>1617.23</v>
      </c>
      <c r="M372" s="2" t="n">
        <v>3.4</v>
      </c>
      <c r="N372" s="2" t="s">
        <v>27</v>
      </c>
      <c r="O372" s="4" t="n">
        <f aca="false">VLOOKUP(F372,DIM_SERVICO!$A$2:$D$151,4,FALSE())</f>
        <v>1828.61</v>
      </c>
      <c r="P372" s="4" t="n">
        <f aca="false">VLOOKUP(E372,DIM_PECA!$A$2:$F$501,6,FALSE())</f>
        <v>1049.31</v>
      </c>
      <c r="Q372" s="4" t="n">
        <f aca="false">VLOOKUP(E372,DIM_PECA!$A$2:$F$501,5,FALSE())</f>
        <v>620.79</v>
      </c>
      <c r="R372" s="4" t="n">
        <f aca="false">H372*P372</f>
        <v>2098.62</v>
      </c>
      <c r="S372" s="4" t="n">
        <f aca="false">O372*M372</f>
        <v>6217.274</v>
      </c>
      <c r="T372" s="4" t="n">
        <f aca="false">R372+S372</f>
        <v>8315.894</v>
      </c>
      <c r="U372" s="4" t="n">
        <f aca="false">T372-K372</f>
        <v>4467.204</v>
      </c>
      <c r="V372" s="4" t="n">
        <f aca="false">R372+S372-U372</f>
        <v>3848.69</v>
      </c>
      <c r="W372" s="5" t="str">
        <f aca="false">IF(ROUND(V372-K372,2)=0,"OK","ERRO")</f>
        <v>OK</v>
      </c>
      <c r="X372" s="5" t="str">
        <f aca="false">VLOOKUP(F372,DIM_SERVICO!$A$2:$D$151,3,FALSE())</f>
        <v>Freios</v>
      </c>
    </row>
    <row r="373" customFormat="false" ht="15" hidden="false" customHeight="false" outlineLevel="0" collapsed="false">
      <c r="A373" s="6" t="n">
        <v>372</v>
      </c>
      <c r="B373" s="6" t="n">
        <v>667</v>
      </c>
      <c r="C373" s="6" t="n">
        <v>60</v>
      </c>
      <c r="D373" s="6" t="n">
        <v>980</v>
      </c>
      <c r="E373" s="6" t="n">
        <v>393</v>
      </c>
      <c r="F373" s="6" t="n">
        <v>14</v>
      </c>
      <c r="G373" s="6" t="n">
        <v>1604</v>
      </c>
      <c r="H373" s="6" t="n">
        <v>3</v>
      </c>
      <c r="I373" s="7" t="n">
        <v>3401.25</v>
      </c>
      <c r="J373" s="7" t="n">
        <v>1939.75</v>
      </c>
      <c r="K373" s="7" t="n">
        <v>7758.51</v>
      </c>
      <c r="L373" s="7" t="n">
        <v>3316.3</v>
      </c>
      <c r="M373" s="6" t="n">
        <v>9.9</v>
      </c>
      <c r="N373" s="6" t="s">
        <v>26</v>
      </c>
      <c r="O373" s="8" t="n">
        <f aca="false">VLOOKUP(F373,DIM_SERVICO!$A$2:$D$151,4,FALSE())</f>
        <v>1939.75</v>
      </c>
      <c r="P373" s="8" t="n">
        <f aca="false">VLOOKUP(E373,DIM_PECA!$A$2:$F$501,6,FALSE())</f>
        <v>2075.7</v>
      </c>
      <c r="Q373" s="8" t="n">
        <f aca="false">VLOOKUP(E373,DIM_PECA!$A$2:$F$501,5,FALSE())</f>
        <v>1133.75</v>
      </c>
      <c r="R373" s="8" t="n">
        <f aca="false">H373*P373</f>
        <v>6227.1</v>
      </c>
      <c r="S373" s="8" t="n">
        <f aca="false">O373*M373</f>
        <v>19203.525</v>
      </c>
      <c r="T373" s="8" t="n">
        <f aca="false">R373+S373</f>
        <v>25430.625</v>
      </c>
      <c r="U373" s="8" t="n">
        <f aca="false">T373-K373</f>
        <v>17672.115</v>
      </c>
      <c r="V373" s="8" t="n">
        <f aca="false">R373+S373-U373</f>
        <v>7758.51</v>
      </c>
      <c r="W373" s="9" t="str">
        <f aca="false">IF(ROUND(V373-K373,2)=0,"OK","ERRO")</f>
        <v>OK</v>
      </c>
      <c r="X373" s="9" t="str">
        <f aca="false">VLOOKUP(F373,DIM_SERVICO!$A$2:$D$151,3,FALSE())</f>
        <v>Funilaria</v>
      </c>
    </row>
    <row r="374" customFormat="false" ht="15" hidden="false" customHeight="false" outlineLevel="0" collapsed="false">
      <c r="A374" s="2" t="n">
        <v>373</v>
      </c>
      <c r="B374" s="2" t="n">
        <v>1400</v>
      </c>
      <c r="C374" s="2" t="n">
        <v>1307</v>
      </c>
      <c r="D374" s="2" t="n">
        <v>30</v>
      </c>
      <c r="E374" s="2" t="n">
        <v>275</v>
      </c>
      <c r="F374" s="2" t="n">
        <v>132</v>
      </c>
      <c r="G374" s="2" t="n">
        <v>1462</v>
      </c>
      <c r="H374" s="2" t="n">
        <v>4</v>
      </c>
      <c r="I374" s="3" t="n">
        <v>4598.88</v>
      </c>
      <c r="J374" s="3" t="n">
        <v>746.69</v>
      </c>
      <c r="K374" s="3" t="n">
        <v>9103</v>
      </c>
      <c r="L374" s="3" t="n">
        <v>4230.97</v>
      </c>
      <c r="M374" s="2" t="n">
        <v>9.4</v>
      </c>
      <c r="N374" s="2" t="s">
        <v>24</v>
      </c>
      <c r="O374" s="4" t="n">
        <f aca="false">VLOOKUP(F374,DIM_SERVICO!$A$2:$D$151,4,FALSE())</f>
        <v>746.69</v>
      </c>
      <c r="P374" s="4" t="n">
        <f aca="false">VLOOKUP(E374,DIM_PECA!$A$2:$F$501,6,FALSE())</f>
        <v>2286.97</v>
      </c>
      <c r="Q374" s="4" t="n">
        <f aca="false">VLOOKUP(E374,DIM_PECA!$A$2:$F$501,5,FALSE())</f>
        <v>1149.72</v>
      </c>
      <c r="R374" s="4" t="n">
        <f aca="false">H374*P374</f>
        <v>9147.88</v>
      </c>
      <c r="S374" s="4" t="n">
        <f aca="false">O374*M374</f>
        <v>7018.886</v>
      </c>
      <c r="T374" s="4" t="n">
        <f aca="false">R374+S374</f>
        <v>16166.766</v>
      </c>
      <c r="U374" s="4" t="n">
        <f aca="false">T374-K374</f>
        <v>7063.766</v>
      </c>
      <c r="V374" s="4" t="n">
        <f aca="false">R374+S374-U374</f>
        <v>9103</v>
      </c>
      <c r="W374" s="5" t="str">
        <f aca="false">IF(ROUND(V374-K374,2)=0,"OK","ERRO")</f>
        <v>OK</v>
      </c>
      <c r="X374" s="5" t="str">
        <f aca="false">VLOOKUP(F374,DIM_SERVICO!$A$2:$D$151,3,FALSE())</f>
        <v>Motor</v>
      </c>
    </row>
    <row r="375" customFormat="false" ht="15" hidden="false" customHeight="false" outlineLevel="0" collapsed="false">
      <c r="A375" s="6" t="n">
        <v>374</v>
      </c>
      <c r="B375" s="6" t="n">
        <v>544</v>
      </c>
      <c r="C375" s="6" t="n">
        <v>1029</v>
      </c>
      <c r="D375" s="6" t="n">
        <v>45</v>
      </c>
      <c r="E375" s="6" t="n">
        <v>155</v>
      </c>
      <c r="F375" s="6" t="n">
        <v>78</v>
      </c>
      <c r="G375" s="6" t="n">
        <v>1438</v>
      </c>
      <c r="H375" s="6" t="n">
        <v>2</v>
      </c>
      <c r="I375" s="7" t="n">
        <v>2134.9</v>
      </c>
      <c r="J375" s="7" t="n">
        <v>1647.18</v>
      </c>
      <c r="K375" s="7" t="n">
        <v>4662.94</v>
      </c>
      <c r="L375" s="7" t="n">
        <v>1820.47</v>
      </c>
      <c r="M375" s="6" t="n">
        <v>8.3</v>
      </c>
      <c r="N375" s="6" t="s">
        <v>24</v>
      </c>
      <c r="O375" s="8" t="n">
        <f aca="false">VLOOKUP(F375,DIM_SERVICO!$A$2:$D$151,4,FALSE())</f>
        <v>1647.18</v>
      </c>
      <c r="P375" s="8" t="n">
        <f aca="false">VLOOKUP(E375,DIM_PECA!$A$2:$F$501,6,FALSE())</f>
        <v>1507.88</v>
      </c>
      <c r="Q375" s="8" t="n">
        <f aca="false">VLOOKUP(E375,DIM_PECA!$A$2:$F$501,5,FALSE())</f>
        <v>1067.45</v>
      </c>
      <c r="R375" s="8" t="n">
        <f aca="false">H375*P375</f>
        <v>3015.76</v>
      </c>
      <c r="S375" s="8" t="n">
        <f aca="false">O375*M375</f>
        <v>13671.594</v>
      </c>
      <c r="T375" s="8" t="n">
        <f aca="false">R375+S375</f>
        <v>16687.354</v>
      </c>
      <c r="U375" s="8" t="n">
        <f aca="false">T375-K375</f>
        <v>12024.414</v>
      </c>
      <c r="V375" s="8" t="n">
        <f aca="false">R375+S375-U375</f>
        <v>4662.94</v>
      </c>
      <c r="W375" s="9" t="str">
        <f aca="false">IF(ROUND(V375-K375,2)=0,"OK","ERRO")</f>
        <v>OK</v>
      </c>
      <c r="X375" s="9" t="str">
        <f aca="false">VLOOKUP(F375,DIM_SERVICO!$A$2:$D$151,3,FALSE())</f>
        <v>Suspensão</v>
      </c>
    </row>
    <row r="376" customFormat="false" ht="15" hidden="false" customHeight="false" outlineLevel="0" collapsed="false">
      <c r="A376" s="2" t="n">
        <v>375</v>
      </c>
      <c r="B376" s="2" t="n">
        <v>812</v>
      </c>
      <c r="C376" s="2" t="n">
        <v>952</v>
      </c>
      <c r="D376" s="2" t="n">
        <v>871</v>
      </c>
      <c r="E376" s="2" t="n">
        <v>65</v>
      </c>
      <c r="F376" s="2" t="n">
        <v>24</v>
      </c>
      <c r="G376" s="2" t="n">
        <v>205</v>
      </c>
      <c r="H376" s="2" t="n">
        <v>2</v>
      </c>
      <c r="I376" s="3" t="n">
        <v>98.56</v>
      </c>
      <c r="J376" s="3" t="n">
        <v>1124.34</v>
      </c>
      <c r="K376" s="3" t="n">
        <v>1240.82</v>
      </c>
      <c r="L376" s="3" t="n">
        <v>724.68</v>
      </c>
      <c r="M376" s="2" t="n">
        <v>6.4</v>
      </c>
      <c r="N376" s="2" t="s">
        <v>24</v>
      </c>
      <c r="O376" s="4" t="n">
        <f aca="false">VLOOKUP(F376,DIM_SERVICO!$A$2:$D$151,4,FALSE())</f>
        <v>1124.34</v>
      </c>
      <c r="P376" s="4" t="n">
        <f aca="false">VLOOKUP(E376,DIM_PECA!$A$2:$F$501,6,FALSE())</f>
        <v>70.9</v>
      </c>
      <c r="Q376" s="4" t="n">
        <f aca="false">VLOOKUP(E376,DIM_PECA!$A$2:$F$501,5,FALSE())</f>
        <v>49.28</v>
      </c>
      <c r="R376" s="4" t="n">
        <f aca="false">H376*P376</f>
        <v>141.8</v>
      </c>
      <c r="S376" s="4" t="n">
        <f aca="false">O376*M376</f>
        <v>7195.776</v>
      </c>
      <c r="T376" s="4" t="n">
        <f aca="false">R376+S376</f>
        <v>7337.576</v>
      </c>
      <c r="U376" s="4" t="n">
        <f aca="false">T376-K376</f>
        <v>6096.756</v>
      </c>
      <c r="V376" s="4" t="n">
        <f aca="false">R376+S376-U376</f>
        <v>1240.82</v>
      </c>
      <c r="W376" s="5" t="str">
        <f aca="false">IF(ROUND(V376-K376,2)=0,"OK","ERRO")</f>
        <v>OK</v>
      </c>
      <c r="X376" s="5" t="str">
        <f aca="false">VLOOKUP(F376,DIM_SERVICO!$A$2:$D$151,3,FALSE())</f>
        <v>Elétrica</v>
      </c>
    </row>
    <row r="377" customFormat="false" ht="15" hidden="false" customHeight="false" outlineLevel="0" collapsed="false">
      <c r="A377" s="6" t="n">
        <v>376</v>
      </c>
      <c r="B377" s="6" t="n">
        <v>286</v>
      </c>
      <c r="C377" s="6" t="n">
        <v>2</v>
      </c>
      <c r="D377" s="6" t="n">
        <v>1009</v>
      </c>
      <c r="E377" s="6" t="n">
        <v>272</v>
      </c>
      <c r="F377" s="6" t="n">
        <v>25</v>
      </c>
      <c r="G377" s="6" t="n">
        <v>1743</v>
      </c>
      <c r="H377" s="6" t="n">
        <v>4</v>
      </c>
      <c r="I377" s="7" t="n">
        <v>4311.96</v>
      </c>
      <c r="J377" s="7" t="n">
        <v>1419.73</v>
      </c>
      <c r="K377" s="7" t="n">
        <v>7938.79</v>
      </c>
      <c r="L377" s="7" t="n">
        <v>2874.29</v>
      </c>
      <c r="M377" s="6" t="n">
        <v>11</v>
      </c>
      <c r="N377" s="6" t="s">
        <v>24</v>
      </c>
      <c r="O377" s="8" t="n">
        <f aca="false">VLOOKUP(F377,DIM_SERVICO!$A$2:$D$151,4,FALSE())</f>
        <v>1419.73</v>
      </c>
      <c r="P377" s="8" t="n">
        <f aca="false">VLOOKUP(E377,DIM_PECA!$A$2:$F$501,6,FALSE())</f>
        <v>1670.27</v>
      </c>
      <c r="Q377" s="8" t="n">
        <f aca="false">VLOOKUP(E377,DIM_PECA!$A$2:$F$501,5,FALSE())</f>
        <v>1077.99</v>
      </c>
      <c r="R377" s="8" t="n">
        <f aca="false">H377*P377</f>
        <v>6681.08</v>
      </c>
      <c r="S377" s="8" t="n">
        <f aca="false">O377*M377</f>
        <v>15617.03</v>
      </c>
      <c r="T377" s="8" t="n">
        <f aca="false">R377+S377</f>
        <v>22298.11</v>
      </c>
      <c r="U377" s="8" t="n">
        <f aca="false">T377-K377</f>
        <v>14359.32</v>
      </c>
      <c r="V377" s="8" t="n">
        <f aca="false">R377+S377-U377</f>
        <v>7938.79</v>
      </c>
      <c r="W377" s="9" t="str">
        <f aca="false">IF(ROUND(V377-K377,2)=0,"OK","ERRO")</f>
        <v>OK</v>
      </c>
      <c r="X377" s="9" t="str">
        <f aca="false">VLOOKUP(F377,DIM_SERVICO!$A$2:$D$151,3,FALSE())</f>
        <v>Motor</v>
      </c>
    </row>
    <row r="378" customFormat="false" ht="15" hidden="false" customHeight="false" outlineLevel="0" collapsed="false">
      <c r="A378" s="2" t="n">
        <v>377</v>
      </c>
      <c r="B378" s="2" t="n">
        <v>781</v>
      </c>
      <c r="C378" s="2" t="n">
        <v>264</v>
      </c>
      <c r="D378" s="2" t="n">
        <v>150</v>
      </c>
      <c r="E378" s="2" t="n">
        <v>171</v>
      </c>
      <c r="F378" s="2" t="n">
        <v>39</v>
      </c>
      <c r="G378" s="2" t="n">
        <v>857</v>
      </c>
      <c r="H378" s="2" t="n">
        <v>4</v>
      </c>
      <c r="I378" s="3" t="n">
        <v>4778.72</v>
      </c>
      <c r="J378" s="3" t="n">
        <v>1270.92</v>
      </c>
      <c r="K378" s="3" t="n">
        <v>10143.32</v>
      </c>
      <c r="L378" s="3" t="n">
        <v>4709.28</v>
      </c>
      <c r="M378" s="2" t="n">
        <v>1.8</v>
      </c>
      <c r="N378" s="2" t="s">
        <v>24</v>
      </c>
      <c r="O378" s="4" t="n">
        <f aca="false">VLOOKUP(F378,DIM_SERVICO!$A$2:$D$151,4,FALSE())</f>
        <v>1270.92</v>
      </c>
      <c r="P378" s="4" t="n">
        <f aca="false">VLOOKUP(E378,DIM_PECA!$A$2:$F$501,6,FALSE())</f>
        <v>2218.1</v>
      </c>
      <c r="Q378" s="4" t="n">
        <f aca="false">VLOOKUP(E378,DIM_PECA!$A$2:$F$501,5,FALSE())</f>
        <v>1194.68</v>
      </c>
      <c r="R378" s="4" t="n">
        <f aca="false">H378*P378</f>
        <v>8872.4</v>
      </c>
      <c r="S378" s="4" t="n">
        <f aca="false">O378*M378</f>
        <v>2287.656</v>
      </c>
      <c r="T378" s="4" t="n">
        <f aca="false">R378+S378</f>
        <v>11160.056</v>
      </c>
      <c r="U378" s="4" t="n">
        <f aca="false">T378-K378</f>
        <v>1016.736</v>
      </c>
      <c r="V378" s="4" t="n">
        <f aca="false">R378+S378-U378</f>
        <v>10143.32</v>
      </c>
      <c r="W378" s="5" t="str">
        <f aca="false">IF(ROUND(V378-K378,2)=0,"OK","ERRO")</f>
        <v>OK</v>
      </c>
      <c r="X378" s="5" t="str">
        <f aca="false">VLOOKUP(F378,DIM_SERVICO!$A$2:$D$151,3,FALSE())</f>
        <v>Suspensão</v>
      </c>
    </row>
    <row r="379" customFormat="false" ht="15" hidden="false" customHeight="false" outlineLevel="0" collapsed="false">
      <c r="A379" s="6" t="n">
        <v>378</v>
      </c>
      <c r="B379" s="6" t="n">
        <v>1101</v>
      </c>
      <c r="C379" s="6" t="n">
        <v>26</v>
      </c>
      <c r="D379" s="6" t="n">
        <v>822</v>
      </c>
      <c r="E379" s="6" t="n">
        <v>392</v>
      </c>
      <c r="F379" s="6" t="n">
        <v>2</v>
      </c>
      <c r="G379" s="6" t="n">
        <v>809</v>
      </c>
      <c r="H379" s="6" t="n">
        <v>4</v>
      </c>
      <c r="I379" s="7" t="n">
        <v>4257.96</v>
      </c>
      <c r="J379" s="7" t="n">
        <v>1072.4</v>
      </c>
      <c r="K379" s="7" t="n">
        <v>6499.18</v>
      </c>
      <c r="L379" s="7" t="n">
        <v>1727.59</v>
      </c>
      <c r="M379" s="6" t="n">
        <v>5.3</v>
      </c>
      <c r="N379" s="6" t="s">
        <v>24</v>
      </c>
      <c r="O379" s="8" t="n">
        <f aca="false">VLOOKUP(F379,DIM_SERVICO!$A$2:$D$151,4,FALSE())</f>
        <v>1072.4</v>
      </c>
      <c r="P379" s="8" t="n">
        <f aca="false">VLOOKUP(E379,DIM_PECA!$A$2:$F$501,6,FALSE())</f>
        <v>1442.21</v>
      </c>
      <c r="Q379" s="8" t="n">
        <f aca="false">VLOOKUP(E379,DIM_PECA!$A$2:$F$501,5,FALSE())</f>
        <v>1064.49</v>
      </c>
      <c r="R379" s="8" t="n">
        <f aca="false">H379*P379</f>
        <v>5768.84</v>
      </c>
      <c r="S379" s="8" t="n">
        <f aca="false">O379*M379</f>
        <v>5683.72</v>
      </c>
      <c r="T379" s="8" t="n">
        <f aca="false">R379+S379</f>
        <v>11452.56</v>
      </c>
      <c r="U379" s="8" t="n">
        <f aca="false">T379-K379</f>
        <v>4953.38</v>
      </c>
      <c r="V379" s="8" t="n">
        <f aca="false">R379+S379-U379</f>
        <v>6499.18</v>
      </c>
      <c r="W379" s="9" t="str">
        <f aca="false">IF(ROUND(V379-K379,2)=0,"OK","ERRO")</f>
        <v>OK</v>
      </c>
      <c r="X379" s="9" t="str">
        <f aca="false">VLOOKUP(F379,DIM_SERVICO!$A$2:$D$151,3,FALSE())</f>
        <v>Suspensão</v>
      </c>
    </row>
    <row r="380" customFormat="false" ht="15" hidden="false" customHeight="false" outlineLevel="0" collapsed="false">
      <c r="A380" s="2" t="n">
        <v>379</v>
      </c>
      <c r="B380" s="2" t="n">
        <v>1380</v>
      </c>
      <c r="C380" s="2" t="n">
        <v>630</v>
      </c>
      <c r="D380" s="2" t="n">
        <v>184</v>
      </c>
      <c r="E380" s="2" t="n">
        <v>149</v>
      </c>
      <c r="F380" s="2" t="n">
        <v>122</v>
      </c>
      <c r="G380" s="2" t="n">
        <v>1816</v>
      </c>
      <c r="H380" s="2" t="n">
        <v>2</v>
      </c>
      <c r="I380" s="3" t="n">
        <v>1927.72</v>
      </c>
      <c r="J380" s="3" t="n">
        <v>1850.29</v>
      </c>
      <c r="K380" s="3" t="n">
        <v>5609.75</v>
      </c>
      <c r="L380" s="3" t="n">
        <v>2710.68</v>
      </c>
      <c r="M380" s="2" t="n">
        <v>4.1</v>
      </c>
      <c r="N380" s="2" t="s">
        <v>26</v>
      </c>
      <c r="O380" s="4" t="n">
        <f aca="false">VLOOKUP(F380,DIM_SERVICO!$A$2:$D$151,4,FALSE())</f>
        <v>1850.29</v>
      </c>
      <c r="P380" s="4" t="n">
        <f aca="false">VLOOKUP(E380,DIM_PECA!$A$2:$F$501,6,FALSE())</f>
        <v>1879.73</v>
      </c>
      <c r="Q380" s="4" t="n">
        <f aca="false">VLOOKUP(E380,DIM_PECA!$A$2:$F$501,5,FALSE())</f>
        <v>963.86</v>
      </c>
      <c r="R380" s="4" t="n">
        <f aca="false">H380*P380</f>
        <v>3759.46</v>
      </c>
      <c r="S380" s="4" t="n">
        <f aca="false">O380*M380</f>
        <v>7586.189</v>
      </c>
      <c r="T380" s="4" t="n">
        <f aca="false">R380+S380</f>
        <v>11345.649</v>
      </c>
      <c r="U380" s="4" t="n">
        <f aca="false">T380-K380</f>
        <v>5735.899</v>
      </c>
      <c r="V380" s="4" t="n">
        <f aca="false">R380+S380-U380</f>
        <v>5609.75</v>
      </c>
      <c r="W380" s="5" t="str">
        <f aca="false">IF(ROUND(V380-K380,2)=0,"OK","ERRO")</f>
        <v>OK</v>
      </c>
      <c r="X380" s="5" t="str">
        <f aca="false">VLOOKUP(F380,DIM_SERVICO!$A$2:$D$151,3,FALSE())</f>
        <v>Freios</v>
      </c>
    </row>
    <row r="381" customFormat="false" ht="15" hidden="false" customHeight="false" outlineLevel="0" collapsed="false">
      <c r="A381" s="6" t="n">
        <v>380</v>
      </c>
      <c r="B381" s="6" t="n">
        <v>196</v>
      </c>
      <c r="C381" s="6" t="n">
        <v>1125</v>
      </c>
      <c r="D381" s="6" t="n">
        <v>1023</v>
      </c>
      <c r="E381" s="6" t="n">
        <v>172</v>
      </c>
      <c r="F381" s="6" t="n">
        <v>50</v>
      </c>
      <c r="G381" s="6" t="n">
        <v>1303</v>
      </c>
      <c r="H381" s="6" t="n">
        <v>4</v>
      </c>
      <c r="I381" s="7" t="n">
        <v>1825.08</v>
      </c>
      <c r="J381" s="7" t="n">
        <v>1357.79</v>
      </c>
      <c r="K381" s="7" t="n">
        <v>4790.59</v>
      </c>
      <c r="L381" s="7" t="n">
        <v>2224.97</v>
      </c>
      <c r="M381" s="6" t="n">
        <v>2.5</v>
      </c>
      <c r="N381" s="6" t="s">
        <v>24</v>
      </c>
      <c r="O381" s="8" t="n">
        <f aca="false">VLOOKUP(F381,DIM_SERVICO!$A$2:$D$151,4,FALSE())</f>
        <v>1357.79</v>
      </c>
      <c r="P381" s="8" t="n">
        <f aca="false">VLOOKUP(E381,DIM_PECA!$A$2:$F$501,6,FALSE())</f>
        <v>858.2</v>
      </c>
      <c r="Q381" s="8" t="n">
        <f aca="false">VLOOKUP(E381,DIM_PECA!$A$2:$F$501,5,FALSE())</f>
        <v>456.27</v>
      </c>
      <c r="R381" s="8" t="n">
        <f aca="false">H381*P381</f>
        <v>3432.8</v>
      </c>
      <c r="S381" s="8" t="n">
        <f aca="false">O381*M381</f>
        <v>3394.475</v>
      </c>
      <c r="T381" s="8" t="n">
        <f aca="false">R381+S381</f>
        <v>6827.275</v>
      </c>
      <c r="U381" s="8" t="n">
        <f aca="false">T381-K381</f>
        <v>2036.685</v>
      </c>
      <c r="V381" s="8" t="n">
        <f aca="false">R381+S381-U381</f>
        <v>4790.59</v>
      </c>
      <c r="W381" s="9" t="str">
        <f aca="false">IF(ROUND(V381-K381,2)=0,"OK","ERRO")</f>
        <v>OK</v>
      </c>
      <c r="X381" s="9" t="str">
        <f aca="false">VLOOKUP(F381,DIM_SERVICO!$A$2:$D$151,3,FALSE())</f>
        <v>Pintura</v>
      </c>
    </row>
    <row r="382" customFormat="false" ht="15" hidden="false" customHeight="false" outlineLevel="0" collapsed="false">
      <c r="A382" s="2" t="n">
        <v>381</v>
      </c>
      <c r="B382" s="2" t="n">
        <v>912</v>
      </c>
      <c r="C382" s="2" t="n">
        <v>941</v>
      </c>
      <c r="D382" s="2" t="n">
        <v>812</v>
      </c>
      <c r="E382" s="2" t="n">
        <v>474</v>
      </c>
      <c r="F382" s="2" t="n">
        <v>98</v>
      </c>
      <c r="G382" s="2" t="n">
        <v>1103</v>
      </c>
      <c r="H382" s="2" t="n">
        <v>4</v>
      </c>
      <c r="I382" s="3" t="n">
        <v>1888.52</v>
      </c>
      <c r="J382" s="3" t="n">
        <v>951.01</v>
      </c>
      <c r="K382" s="3" t="n">
        <v>4677.91</v>
      </c>
      <c r="L382" s="3" t="n">
        <v>2364.79</v>
      </c>
      <c r="M382" s="2" t="n">
        <v>3</v>
      </c>
      <c r="N382" s="2" t="s">
        <v>26</v>
      </c>
      <c r="O382" s="4" t="n">
        <f aca="false">VLOOKUP(F382,DIM_SERVICO!$A$2:$D$151,4,FALSE())</f>
        <v>951.01</v>
      </c>
      <c r="P382" s="4" t="n">
        <f aca="false">VLOOKUP(E382,DIM_PECA!$A$2:$F$501,6,FALSE())</f>
        <v>1033.42</v>
      </c>
      <c r="Q382" s="4" t="n">
        <f aca="false">VLOOKUP(E382,DIM_PECA!$A$2:$F$501,5,FALSE())</f>
        <v>472.13</v>
      </c>
      <c r="R382" s="4" t="n">
        <f aca="false">H382*P382</f>
        <v>4133.68</v>
      </c>
      <c r="S382" s="4" t="n">
        <f aca="false">O382*M382</f>
        <v>2853.03</v>
      </c>
      <c r="T382" s="4" t="n">
        <f aca="false">R382+S382</f>
        <v>6986.71</v>
      </c>
      <c r="U382" s="4" t="n">
        <f aca="false">T382-K382</f>
        <v>2308.8</v>
      </c>
      <c r="V382" s="4" t="n">
        <f aca="false">R382+S382-U382</f>
        <v>4677.91</v>
      </c>
      <c r="W382" s="5" t="str">
        <f aca="false">IF(ROUND(V382-K382,2)=0,"OK","ERRO")</f>
        <v>OK</v>
      </c>
      <c r="X382" s="5" t="str">
        <f aca="false">VLOOKUP(F382,DIM_SERVICO!$A$2:$D$151,3,FALSE())</f>
        <v>Revisão</v>
      </c>
    </row>
    <row r="383" customFormat="false" ht="15" hidden="false" customHeight="false" outlineLevel="0" collapsed="false">
      <c r="A383" s="6" t="n">
        <v>382</v>
      </c>
      <c r="B383" s="6" t="n">
        <v>764</v>
      </c>
      <c r="C383" s="6" t="n">
        <v>1173</v>
      </c>
      <c r="D383" s="6" t="n">
        <v>693</v>
      </c>
      <c r="E383" s="6" t="n">
        <v>46</v>
      </c>
      <c r="F383" s="6" t="n">
        <v>100</v>
      </c>
      <c r="G383" s="6" t="n">
        <v>1284</v>
      </c>
      <c r="H383" s="6" t="n">
        <v>4</v>
      </c>
      <c r="I383" s="7" t="n">
        <v>968.4</v>
      </c>
      <c r="J383" s="7" t="n">
        <v>2148.55</v>
      </c>
      <c r="K383" s="7" t="n">
        <v>3561.67</v>
      </c>
      <c r="L383" s="7" t="n">
        <v>1744.78</v>
      </c>
      <c r="M383" s="6" t="n">
        <v>11.7</v>
      </c>
      <c r="N383" s="6" t="s">
        <v>24</v>
      </c>
      <c r="O383" s="8" t="n">
        <f aca="false">VLOOKUP(F383,DIM_SERVICO!$A$2:$D$151,4,FALSE())</f>
        <v>2148.55</v>
      </c>
      <c r="P383" s="8" t="n">
        <f aca="false">VLOOKUP(E383,DIM_PECA!$A$2:$F$501,6,FALSE())</f>
        <v>353.28</v>
      </c>
      <c r="Q383" s="8" t="n">
        <f aca="false">VLOOKUP(E383,DIM_PECA!$A$2:$F$501,5,FALSE())</f>
        <v>242.1</v>
      </c>
      <c r="R383" s="8" t="n">
        <f aca="false">H383*P383</f>
        <v>1413.12</v>
      </c>
      <c r="S383" s="8" t="n">
        <f aca="false">O383*M383</f>
        <v>25138.035</v>
      </c>
      <c r="T383" s="8" t="n">
        <f aca="false">R383+S383</f>
        <v>26551.155</v>
      </c>
      <c r="U383" s="8" t="n">
        <f aca="false">T383-K383</f>
        <v>22989.485</v>
      </c>
      <c r="V383" s="8" t="n">
        <f aca="false">R383+S383-U383</f>
        <v>3561.67</v>
      </c>
      <c r="W383" s="9" t="str">
        <f aca="false">IF(ROUND(V383-K383,2)=0,"OK","ERRO")</f>
        <v>OK</v>
      </c>
      <c r="X383" s="9" t="str">
        <f aca="false">VLOOKUP(F383,DIM_SERVICO!$A$2:$D$151,3,FALSE())</f>
        <v>Motor</v>
      </c>
    </row>
    <row r="384" customFormat="false" ht="15" hidden="false" customHeight="false" outlineLevel="0" collapsed="false">
      <c r="A384" s="2" t="n">
        <v>383</v>
      </c>
      <c r="B384" s="2" t="n">
        <v>132</v>
      </c>
      <c r="C384" s="2" t="n">
        <v>1333</v>
      </c>
      <c r="D384" s="2" t="n">
        <v>450</v>
      </c>
      <c r="E384" s="2" t="n">
        <v>337</v>
      </c>
      <c r="F384" s="2" t="n">
        <v>123</v>
      </c>
      <c r="G384" s="2" t="n">
        <v>1515</v>
      </c>
      <c r="H384" s="2" t="n">
        <v>1</v>
      </c>
      <c r="I384" s="3" t="n">
        <v>464.51</v>
      </c>
      <c r="J384" s="3" t="n">
        <v>2023.84</v>
      </c>
      <c r="K384" s="3" t="n">
        <v>2878.83</v>
      </c>
      <c r="L384" s="3" t="n">
        <v>1598.7</v>
      </c>
      <c r="M384" s="2" t="n">
        <v>0.7</v>
      </c>
      <c r="N384" s="2" t="s">
        <v>27</v>
      </c>
      <c r="O384" s="4" t="n">
        <f aca="false">VLOOKUP(F384,DIM_SERVICO!$A$2:$D$151,4,FALSE())</f>
        <v>2023.84</v>
      </c>
      <c r="P384" s="4" t="n">
        <f aca="false">VLOOKUP(E384,DIM_PECA!$A$2:$F$501,6,FALSE())</f>
        <v>854.99</v>
      </c>
      <c r="Q384" s="4" t="n">
        <f aca="false">VLOOKUP(E384,DIM_PECA!$A$2:$F$501,5,FALSE())</f>
        <v>464.51</v>
      </c>
      <c r="R384" s="4" t="n">
        <f aca="false">H384*P384</f>
        <v>854.99</v>
      </c>
      <c r="S384" s="4" t="n">
        <f aca="false">O384*M384</f>
        <v>1416.688</v>
      </c>
      <c r="T384" s="4" t="n">
        <f aca="false">R384+S384</f>
        <v>2271.678</v>
      </c>
      <c r="U384" s="4" t="n">
        <f aca="false">T384-K384</f>
        <v>-607.152</v>
      </c>
      <c r="V384" s="4" t="n">
        <f aca="false">R384+S384-U384</f>
        <v>2878.83</v>
      </c>
      <c r="W384" s="5" t="str">
        <f aca="false">IF(ROUND(V384-K384,2)=0,"OK","ERRO")</f>
        <v>OK</v>
      </c>
      <c r="X384" s="5" t="str">
        <f aca="false">VLOOKUP(F384,DIM_SERVICO!$A$2:$D$151,3,FALSE())</f>
        <v>Diagnóstico</v>
      </c>
    </row>
    <row r="385" customFormat="false" ht="15" hidden="false" customHeight="false" outlineLevel="0" collapsed="false">
      <c r="A385" s="6" t="n">
        <v>384</v>
      </c>
      <c r="B385" s="6" t="n">
        <v>870</v>
      </c>
      <c r="C385" s="6" t="n">
        <v>1260</v>
      </c>
      <c r="D385" s="6" t="n">
        <v>651</v>
      </c>
      <c r="E385" s="6" t="n">
        <v>365</v>
      </c>
      <c r="F385" s="6" t="n">
        <v>16</v>
      </c>
      <c r="G385" s="6" t="n">
        <v>1391</v>
      </c>
      <c r="H385" s="6" t="n">
        <v>4</v>
      </c>
      <c r="I385" s="7" t="n">
        <v>1332.24</v>
      </c>
      <c r="J385" s="7" t="n">
        <v>266.12</v>
      </c>
      <c r="K385" s="7" t="n">
        <v>2464.09</v>
      </c>
      <c r="L385" s="7" t="n">
        <v>1004.32</v>
      </c>
      <c r="M385" s="6" t="n">
        <v>4.5</v>
      </c>
      <c r="N385" s="6" t="s">
        <v>24</v>
      </c>
      <c r="O385" s="8" t="n">
        <f aca="false">VLOOKUP(F385,DIM_SERVICO!$A$2:$D$151,4,FALSE())</f>
        <v>266.12</v>
      </c>
      <c r="P385" s="8" t="n">
        <f aca="false">VLOOKUP(E385,DIM_PECA!$A$2:$F$501,6,FALSE())</f>
        <v>617.94</v>
      </c>
      <c r="Q385" s="8" t="n">
        <f aca="false">VLOOKUP(E385,DIM_PECA!$A$2:$F$501,5,FALSE())</f>
        <v>333.06</v>
      </c>
      <c r="R385" s="8" t="n">
        <f aca="false">H385*P385</f>
        <v>2471.76</v>
      </c>
      <c r="S385" s="8" t="n">
        <f aca="false">O385*M385</f>
        <v>1197.54</v>
      </c>
      <c r="T385" s="8" t="n">
        <f aca="false">R385+S385</f>
        <v>3669.3</v>
      </c>
      <c r="U385" s="8" t="n">
        <f aca="false">T385-K385</f>
        <v>1205.21</v>
      </c>
      <c r="V385" s="8" t="n">
        <f aca="false">R385+S385-U385</f>
        <v>2464.09</v>
      </c>
      <c r="W385" s="9" t="str">
        <f aca="false">IF(ROUND(V385-K385,2)=0,"OK","ERRO")</f>
        <v>OK</v>
      </c>
      <c r="X385" s="9" t="str">
        <f aca="false">VLOOKUP(F385,DIM_SERVICO!$A$2:$D$151,3,FALSE())</f>
        <v>Funilaria</v>
      </c>
    </row>
    <row r="386" customFormat="false" ht="15" hidden="false" customHeight="false" outlineLevel="0" collapsed="false">
      <c r="A386" s="2" t="n">
        <v>385</v>
      </c>
      <c r="B386" s="2" t="n">
        <v>184</v>
      </c>
      <c r="C386" s="2" t="n">
        <v>200</v>
      </c>
      <c r="D386" s="2" t="n">
        <v>1107</v>
      </c>
      <c r="E386" s="2" t="n">
        <v>313</v>
      </c>
      <c r="F386" s="2" t="n">
        <v>98</v>
      </c>
      <c r="G386" s="2" t="n">
        <v>1492</v>
      </c>
      <c r="H386" s="2" t="n">
        <v>2</v>
      </c>
      <c r="I386" s="3" t="n">
        <v>172.66</v>
      </c>
      <c r="J386" s="3" t="n">
        <v>951.01</v>
      </c>
      <c r="K386" s="3" t="n">
        <v>1289.39</v>
      </c>
      <c r="L386" s="3" t="n">
        <v>741.35</v>
      </c>
      <c r="M386" s="2" t="n">
        <v>4</v>
      </c>
      <c r="N386" s="2" t="s">
        <v>27</v>
      </c>
      <c r="O386" s="4" t="n">
        <f aca="false">VLOOKUP(F386,DIM_SERVICO!$A$2:$D$151,4,FALSE())</f>
        <v>951.01</v>
      </c>
      <c r="P386" s="4" t="n">
        <f aca="false">VLOOKUP(E386,DIM_PECA!$A$2:$F$501,6,FALSE())</f>
        <v>169.19</v>
      </c>
      <c r="Q386" s="4" t="n">
        <f aca="false">VLOOKUP(E386,DIM_PECA!$A$2:$F$501,5,FALSE())</f>
        <v>86.33</v>
      </c>
      <c r="R386" s="4" t="n">
        <f aca="false">H386*P386</f>
        <v>338.38</v>
      </c>
      <c r="S386" s="4" t="n">
        <f aca="false">O386*M386</f>
        <v>3804.04</v>
      </c>
      <c r="T386" s="4" t="n">
        <f aca="false">R386+S386</f>
        <v>4142.42</v>
      </c>
      <c r="U386" s="4" t="n">
        <f aca="false">T386-K386</f>
        <v>2853.03</v>
      </c>
      <c r="V386" s="4" t="n">
        <f aca="false">R386+S386-U386</f>
        <v>1289.39</v>
      </c>
      <c r="W386" s="5" t="str">
        <f aca="false">IF(ROUND(V386-K386,2)=0,"OK","ERRO")</f>
        <v>OK</v>
      </c>
      <c r="X386" s="5" t="str">
        <f aca="false">VLOOKUP(F386,DIM_SERVICO!$A$2:$D$151,3,FALSE())</f>
        <v>Revisão</v>
      </c>
    </row>
    <row r="387" customFormat="false" ht="15" hidden="false" customHeight="false" outlineLevel="0" collapsed="false">
      <c r="A387" s="6" t="n">
        <v>386</v>
      </c>
      <c r="B387" s="6" t="n">
        <v>418</v>
      </c>
      <c r="C387" s="6" t="n">
        <v>1007</v>
      </c>
      <c r="D387" s="6" t="n">
        <v>273</v>
      </c>
      <c r="E387" s="6" t="n">
        <v>173</v>
      </c>
      <c r="F387" s="6" t="n">
        <v>108</v>
      </c>
      <c r="G387" s="6" t="n">
        <v>155</v>
      </c>
      <c r="H387" s="6" t="n">
        <v>1</v>
      </c>
      <c r="I387" s="7" t="n">
        <v>547.23</v>
      </c>
      <c r="J387" s="7" t="n">
        <v>1178.47</v>
      </c>
      <c r="K387" s="7" t="n">
        <v>2170.02</v>
      </c>
      <c r="L387" s="7" t="n">
        <v>1059.8</v>
      </c>
      <c r="M387" s="6" t="n">
        <v>7.5</v>
      </c>
      <c r="N387" s="6" t="s">
        <v>27</v>
      </c>
      <c r="O387" s="8" t="n">
        <f aca="false">VLOOKUP(F387,DIM_SERVICO!$A$2:$D$151,4,FALSE())</f>
        <v>1178.47</v>
      </c>
      <c r="P387" s="8" t="n">
        <f aca="false">VLOOKUP(E387,DIM_PECA!$A$2:$F$501,6,FALSE())</f>
        <v>991.55</v>
      </c>
      <c r="Q387" s="8" t="n">
        <f aca="false">VLOOKUP(E387,DIM_PECA!$A$2:$F$501,5,FALSE())</f>
        <v>547.23</v>
      </c>
      <c r="R387" s="8" t="n">
        <f aca="false">H387*P387</f>
        <v>991.55</v>
      </c>
      <c r="S387" s="8" t="n">
        <f aca="false">O387*M387</f>
        <v>8838.525</v>
      </c>
      <c r="T387" s="8" t="n">
        <f aca="false">R387+S387</f>
        <v>9830.075</v>
      </c>
      <c r="U387" s="8" t="n">
        <f aca="false">T387-K387</f>
        <v>7660.055</v>
      </c>
      <c r="V387" s="8" t="n">
        <f aca="false">R387+S387-U387</f>
        <v>2170.02</v>
      </c>
      <c r="W387" s="9" t="str">
        <f aca="false">IF(ROUND(V387-K387,2)=0,"OK","ERRO")</f>
        <v>OK</v>
      </c>
      <c r="X387" s="9" t="str">
        <f aca="false">VLOOKUP(F387,DIM_SERVICO!$A$2:$D$151,3,FALSE())</f>
        <v>Funilaria</v>
      </c>
    </row>
    <row r="388" customFormat="false" ht="15" hidden="false" customHeight="false" outlineLevel="0" collapsed="false">
      <c r="A388" s="2" t="n">
        <v>387</v>
      </c>
      <c r="B388" s="2" t="n">
        <v>1080</v>
      </c>
      <c r="C388" s="2" t="n">
        <v>1445</v>
      </c>
      <c r="D388" s="2" t="n">
        <v>630</v>
      </c>
      <c r="E388" s="2" t="n">
        <v>352</v>
      </c>
      <c r="F388" s="2" t="n">
        <v>59</v>
      </c>
      <c r="G388" s="2" t="n">
        <v>472</v>
      </c>
      <c r="H388" s="2" t="n">
        <v>3</v>
      </c>
      <c r="I388" s="3" t="n">
        <v>1730.22</v>
      </c>
      <c r="J388" s="3" t="n">
        <v>340.97</v>
      </c>
      <c r="K388" s="3" t="n">
        <v>3381.74</v>
      </c>
      <c r="L388" s="3" t="n">
        <v>1505.34</v>
      </c>
      <c r="M388" s="2" t="n">
        <v>11.9</v>
      </c>
      <c r="N388" s="2" t="s">
        <v>26</v>
      </c>
      <c r="O388" s="4" t="n">
        <f aca="false">VLOOKUP(F388,DIM_SERVICO!$A$2:$D$151,4,FALSE())</f>
        <v>340.97</v>
      </c>
      <c r="P388" s="4" t="n">
        <f aca="false">VLOOKUP(E388,DIM_PECA!$A$2:$F$501,6,FALSE())</f>
        <v>1013.59</v>
      </c>
      <c r="Q388" s="4" t="n">
        <f aca="false">VLOOKUP(E388,DIM_PECA!$A$2:$F$501,5,FALSE())</f>
        <v>576.74</v>
      </c>
      <c r="R388" s="4" t="n">
        <f aca="false">H388*P388</f>
        <v>3040.77</v>
      </c>
      <c r="S388" s="4" t="n">
        <f aca="false">O388*M388</f>
        <v>4057.543</v>
      </c>
      <c r="T388" s="4" t="n">
        <f aca="false">R388+S388</f>
        <v>7098.313</v>
      </c>
      <c r="U388" s="4" t="n">
        <f aca="false">T388-K388</f>
        <v>3716.573</v>
      </c>
      <c r="V388" s="4" t="n">
        <f aca="false">R388+S388-U388</f>
        <v>3381.74</v>
      </c>
      <c r="W388" s="5" t="str">
        <f aca="false">IF(ROUND(V388-K388,2)=0,"OK","ERRO")</f>
        <v>OK</v>
      </c>
      <c r="X388" s="5" t="str">
        <f aca="false">VLOOKUP(F388,DIM_SERVICO!$A$2:$D$151,3,FALSE())</f>
        <v>Revisão</v>
      </c>
    </row>
    <row r="389" customFormat="false" ht="15" hidden="false" customHeight="false" outlineLevel="0" collapsed="false">
      <c r="A389" s="6" t="n">
        <v>388</v>
      </c>
      <c r="B389" s="6" t="n">
        <v>646</v>
      </c>
      <c r="C389" s="6" t="n">
        <v>1188</v>
      </c>
      <c r="D389" s="6" t="n">
        <v>40</v>
      </c>
      <c r="E389" s="6" t="n">
        <v>223</v>
      </c>
      <c r="F389" s="6" t="n">
        <v>48</v>
      </c>
      <c r="G389" s="6" t="n">
        <v>1122</v>
      </c>
      <c r="H389" s="6" t="n">
        <v>1</v>
      </c>
      <c r="I389" s="7" t="n">
        <v>80.81</v>
      </c>
      <c r="J389" s="7" t="n">
        <v>863.62</v>
      </c>
      <c r="K389" s="7" t="n">
        <v>1038.5</v>
      </c>
      <c r="L389" s="7" t="n">
        <v>531.12</v>
      </c>
      <c r="M389" s="6" t="n">
        <v>5.2</v>
      </c>
      <c r="N389" s="6" t="s">
        <v>27</v>
      </c>
      <c r="O389" s="8" t="n">
        <f aca="false">VLOOKUP(F389,DIM_SERVICO!$A$2:$D$151,4,FALSE())</f>
        <v>863.62</v>
      </c>
      <c r="P389" s="8" t="n">
        <f aca="false">VLOOKUP(E389,DIM_PECA!$A$2:$F$501,6,FALSE())</f>
        <v>174.88</v>
      </c>
      <c r="Q389" s="8" t="n">
        <f aca="false">VLOOKUP(E389,DIM_PECA!$A$2:$F$501,5,FALSE())</f>
        <v>80.81</v>
      </c>
      <c r="R389" s="8" t="n">
        <f aca="false">H389*P389</f>
        <v>174.88</v>
      </c>
      <c r="S389" s="8" t="n">
        <f aca="false">O389*M389</f>
        <v>4490.824</v>
      </c>
      <c r="T389" s="8" t="n">
        <f aca="false">R389+S389</f>
        <v>4665.704</v>
      </c>
      <c r="U389" s="8" t="n">
        <f aca="false">T389-K389</f>
        <v>3627.204</v>
      </c>
      <c r="V389" s="8" t="n">
        <f aca="false">R389+S389-U389</f>
        <v>1038.5</v>
      </c>
      <c r="W389" s="9" t="str">
        <f aca="false">IF(ROUND(V389-K389,2)=0,"OK","ERRO")</f>
        <v>OK</v>
      </c>
      <c r="X389" s="9" t="str">
        <f aca="false">VLOOKUP(F389,DIM_SERVICO!$A$2:$D$151,3,FALSE())</f>
        <v>Elétrica</v>
      </c>
    </row>
    <row r="390" customFormat="false" ht="15" hidden="false" customHeight="false" outlineLevel="0" collapsed="false">
      <c r="A390" s="2" t="n">
        <v>389</v>
      </c>
      <c r="B390" s="2" t="n">
        <v>186</v>
      </c>
      <c r="C390" s="2" t="n">
        <v>110</v>
      </c>
      <c r="D390" s="2" t="n">
        <v>1180</v>
      </c>
      <c r="E390" s="2" t="n">
        <v>425</v>
      </c>
      <c r="F390" s="2" t="n">
        <v>50</v>
      </c>
      <c r="G390" s="2" t="n">
        <v>55</v>
      </c>
      <c r="H390" s="2" t="n">
        <v>1</v>
      </c>
      <c r="I390" s="3" t="n">
        <v>177.82</v>
      </c>
      <c r="J390" s="3" t="n">
        <v>1357.79</v>
      </c>
      <c r="K390" s="3" t="n">
        <v>1744.9</v>
      </c>
      <c r="L390" s="3" t="n">
        <v>836.14</v>
      </c>
      <c r="M390" s="2" t="n">
        <v>6.5</v>
      </c>
      <c r="N390" s="2" t="s">
        <v>27</v>
      </c>
      <c r="O390" s="4" t="n">
        <f aca="false">VLOOKUP(F390,DIM_SERVICO!$A$2:$D$151,4,FALSE())</f>
        <v>1357.79</v>
      </c>
      <c r="P390" s="4" t="n">
        <f aca="false">VLOOKUP(E390,DIM_PECA!$A$2:$F$501,6,FALSE())</f>
        <v>387.11</v>
      </c>
      <c r="Q390" s="4" t="n">
        <f aca="false">VLOOKUP(E390,DIM_PECA!$A$2:$F$501,5,FALSE())</f>
        <v>177.82</v>
      </c>
      <c r="R390" s="4" t="n">
        <f aca="false">H390*P390</f>
        <v>387.11</v>
      </c>
      <c r="S390" s="4" t="n">
        <f aca="false">O390*M390</f>
        <v>8825.635</v>
      </c>
      <c r="T390" s="4" t="n">
        <f aca="false">R390+S390</f>
        <v>9212.745</v>
      </c>
      <c r="U390" s="4" t="n">
        <f aca="false">T390-K390</f>
        <v>7467.845</v>
      </c>
      <c r="V390" s="4" t="n">
        <f aca="false">R390+S390-U390</f>
        <v>1744.9</v>
      </c>
      <c r="W390" s="5" t="str">
        <f aca="false">IF(ROUND(V390-K390,2)=0,"OK","ERRO")</f>
        <v>OK</v>
      </c>
      <c r="X390" s="5" t="str">
        <f aca="false">VLOOKUP(F390,DIM_SERVICO!$A$2:$D$151,3,FALSE())</f>
        <v>Pintura</v>
      </c>
    </row>
    <row r="391" customFormat="false" ht="15" hidden="false" customHeight="false" outlineLevel="0" collapsed="false">
      <c r="A391" s="6" t="n">
        <v>390</v>
      </c>
      <c r="B391" s="6" t="n">
        <v>110</v>
      </c>
      <c r="C391" s="6" t="n">
        <v>539</v>
      </c>
      <c r="D391" s="6" t="n">
        <v>371</v>
      </c>
      <c r="E391" s="6" t="n">
        <v>141</v>
      </c>
      <c r="F391" s="6" t="n">
        <v>146</v>
      </c>
      <c r="G391" s="6" t="n">
        <v>420</v>
      </c>
      <c r="H391" s="6" t="n">
        <v>4</v>
      </c>
      <c r="I391" s="7" t="n">
        <v>2142.24</v>
      </c>
      <c r="J391" s="7" t="n">
        <v>482.6</v>
      </c>
      <c r="K391" s="7" t="n">
        <v>3808.84</v>
      </c>
      <c r="L391" s="7" t="n">
        <v>1466.64</v>
      </c>
      <c r="M391" s="6" t="n">
        <v>1.2</v>
      </c>
      <c r="N391" s="6" t="s">
        <v>25</v>
      </c>
      <c r="O391" s="8" t="n">
        <f aca="false">VLOOKUP(F391,DIM_SERVICO!$A$2:$D$151,4,FALSE())</f>
        <v>482.6</v>
      </c>
      <c r="P391" s="8" t="n">
        <f aca="false">VLOOKUP(E391,DIM_PECA!$A$2:$F$501,6,FALSE())</f>
        <v>831.56</v>
      </c>
      <c r="Q391" s="8" t="n">
        <f aca="false">VLOOKUP(E391,DIM_PECA!$A$2:$F$501,5,FALSE())</f>
        <v>535.56</v>
      </c>
      <c r="R391" s="8" t="n">
        <f aca="false">H391*P391</f>
        <v>3326.24</v>
      </c>
      <c r="S391" s="8" t="n">
        <f aca="false">O391*M391</f>
        <v>579.12</v>
      </c>
      <c r="T391" s="8" t="n">
        <f aca="false">R391+S391</f>
        <v>3905.36</v>
      </c>
      <c r="U391" s="8" t="n">
        <f aca="false">T391-K391</f>
        <v>96.5199999999995</v>
      </c>
      <c r="V391" s="8" t="n">
        <f aca="false">R391+S391-U391</f>
        <v>3808.84</v>
      </c>
      <c r="W391" s="9" t="str">
        <f aca="false">IF(ROUND(V391-K391,2)=0,"OK","ERRO")</f>
        <v>OK</v>
      </c>
      <c r="X391" s="9" t="str">
        <f aca="false">VLOOKUP(F391,DIM_SERVICO!$A$2:$D$151,3,FALSE())</f>
        <v>Funilaria</v>
      </c>
    </row>
    <row r="392" customFormat="false" ht="15" hidden="false" customHeight="false" outlineLevel="0" collapsed="false">
      <c r="A392" s="2" t="n">
        <v>391</v>
      </c>
      <c r="B392" s="2" t="n">
        <v>346</v>
      </c>
      <c r="C392" s="2" t="n">
        <v>1070</v>
      </c>
      <c r="D392" s="2" t="n">
        <v>893</v>
      </c>
      <c r="E392" s="2" t="n">
        <v>227</v>
      </c>
      <c r="F392" s="2" t="n">
        <v>64</v>
      </c>
      <c r="G392" s="2" t="n">
        <v>583</v>
      </c>
      <c r="H392" s="2" t="n">
        <v>4</v>
      </c>
      <c r="I392" s="3" t="n">
        <v>614.8</v>
      </c>
      <c r="J392" s="3" t="n">
        <v>1447.78</v>
      </c>
      <c r="K392" s="3" t="n">
        <v>2483.42</v>
      </c>
      <c r="L392" s="3" t="n">
        <v>1276.54</v>
      </c>
      <c r="M392" s="2" t="n">
        <v>3.5</v>
      </c>
      <c r="N392" s="2" t="s">
        <v>27</v>
      </c>
      <c r="O392" s="4" t="n">
        <f aca="false">VLOOKUP(F392,DIM_SERVICO!$A$2:$D$151,4,FALSE())</f>
        <v>1447.78</v>
      </c>
      <c r="P392" s="4" t="n">
        <f aca="false">VLOOKUP(E392,DIM_PECA!$A$2:$F$501,6,FALSE())</f>
        <v>258.91</v>
      </c>
      <c r="Q392" s="4" t="n">
        <f aca="false">VLOOKUP(E392,DIM_PECA!$A$2:$F$501,5,FALSE())</f>
        <v>153.7</v>
      </c>
      <c r="R392" s="4" t="n">
        <f aca="false">H392*P392</f>
        <v>1035.64</v>
      </c>
      <c r="S392" s="4" t="n">
        <f aca="false">O392*M392</f>
        <v>5067.23</v>
      </c>
      <c r="T392" s="4" t="n">
        <f aca="false">R392+S392</f>
        <v>6102.87</v>
      </c>
      <c r="U392" s="4" t="n">
        <f aca="false">T392-K392</f>
        <v>3619.45</v>
      </c>
      <c r="V392" s="4" t="n">
        <f aca="false">R392+S392-U392</f>
        <v>2483.42</v>
      </c>
      <c r="W392" s="5" t="str">
        <f aca="false">IF(ROUND(V392-K392,2)=0,"OK","ERRO")</f>
        <v>OK</v>
      </c>
      <c r="X392" s="5" t="str">
        <f aca="false">VLOOKUP(F392,DIM_SERVICO!$A$2:$D$151,3,FALSE())</f>
        <v>Pintura</v>
      </c>
    </row>
    <row r="393" customFormat="false" ht="15" hidden="false" customHeight="false" outlineLevel="0" collapsed="false">
      <c r="A393" s="6" t="n">
        <v>392</v>
      </c>
      <c r="B393" s="6" t="n">
        <v>576</v>
      </c>
      <c r="C393" s="6" t="n">
        <v>1442</v>
      </c>
      <c r="D393" s="6" t="n">
        <v>780</v>
      </c>
      <c r="E393" s="6" t="n">
        <v>238</v>
      </c>
      <c r="F393" s="6" t="n">
        <v>100</v>
      </c>
      <c r="G393" s="6" t="n">
        <v>296</v>
      </c>
      <c r="H393" s="6" t="n">
        <v>1</v>
      </c>
      <c r="I393" s="7" t="n">
        <v>882.18</v>
      </c>
      <c r="J393" s="7" t="n">
        <v>2148.55</v>
      </c>
      <c r="K393" s="7" t="n">
        <v>3366.93</v>
      </c>
      <c r="L393" s="7" t="n">
        <v>1502.1</v>
      </c>
      <c r="M393" s="6" t="n">
        <v>3.8</v>
      </c>
      <c r="N393" s="6" t="s">
        <v>27</v>
      </c>
      <c r="O393" s="8" t="n">
        <f aca="false">VLOOKUP(F393,DIM_SERVICO!$A$2:$D$151,4,FALSE())</f>
        <v>2148.55</v>
      </c>
      <c r="P393" s="8" t="n">
        <f aca="false">VLOOKUP(E393,DIM_PECA!$A$2:$F$501,6,FALSE())</f>
        <v>1592.48</v>
      </c>
      <c r="Q393" s="8" t="n">
        <f aca="false">VLOOKUP(E393,DIM_PECA!$A$2:$F$501,5,FALSE())</f>
        <v>882.18</v>
      </c>
      <c r="R393" s="8" t="n">
        <f aca="false">H393*P393</f>
        <v>1592.48</v>
      </c>
      <c r="S393" s="8" t="n">
        <f aca="false">O393*M393</f>
        <v>8164.49</v>
      </c>
      <c r="T393" s="8" t="n">
        <f aca="false">R393+S393</f>
        <v>9756.97</v>
      </c>
      <c r="U393" s="8" t="n">
        <f aca="false">T393-K393</f>
        <v>6390.04</v>
      </c>
      <c r="V393" s="8" t="n">
        <f aca="false">R393+S393-U393</f>
        <v>3366.93</v>
      </c>
      <c r="W393" s="9" t="str">
        <f aca="false">IF(ROUND(V393-K393,2)=0,"OK","ERRO")</f>
        <v>OK</v>
      </c>
      <c r="X393" s="9" t="str">
        <f aca="false">VLOOKUP(F393,DIM_SERVICO!$A$2:$D$151,3,FALSE())</f>
        <v>Motor</v>
      </c>
    </row>
    <row r="394" customFormat="false" ht="15" hidden="false" customHeight="false" outlineLevel="0" collapsed="false">
      <c r="A394" s="2" t="n">
        <v>393</v>
      </c>
      <c r="B394" s="2" t="n">
        <v>1076</v>
      </c>
      <c r="C394" s="2" t="n">
        <v>43</v>
      </c>
      <c r="D394" s="2" t="n">
        <v>1104</v>
      </c>
      <c r="E394" s="2" t="n">
        <v>209</v>
      </c>
      <c r="F394" s="2" t="n">
        <v>74</v>
      </c>
      <c r="G394" s="2" t="n">
        <v>1024</v>
      </c>
      <c r="H394" s="2" t="n">
        <v>3</v>
      </c>
      <c r="I394" s="3" t="n">
        <v>2774.43</v>
      </c>
      <c r="J394" s="3" t="n">
        <v>821.88</v>
      </c>
      <c r="K394" s="3" t="n">
        <v>6795.99</v>
      </c>
      <c r="L394" s="3" t="n">
        <v>3634.83</v>
      </c>
      <c r="M394" s="2" t="n">
        <v>2.1</v>
      </c>
      <c r="N394" s="2" t="s">
        <v>24</v>
      </c>
      <c r="O394" s="4" t="n">
        <f aca="false">VLOOKUP(F394,DIM_SERVICO!$A$2:$D$151,4,FALSE())</f>
        <v>821.88</v>
      </c>
      <c r="P394" s="4" t="n">
        <f aca="false">VLOOKUP(E394,DIM_PECA!$A$2:$F$501,6,FALSE())</f>
        <v>1991.37</v>
      </c>
      <c r="Q394" s="4" t="n">
        <f aca="false">VLOOKUP(E394,DIM_PECA!$A$2:$F$501,5,FALSE())</f>
        <v>924.81</v>
      </c>
      <c r="R394" s="4" t="n">
        <f aca="false">H394*P394</f>
        <v>5974.11</v>
      </c>
      <c r="S394" s="4" t="n">
        <f aca="false">O394*M394</f>
        <v>1725.948</v>
      </c>
      <c r="T394" s="4" t="n">
        <f aca="false">R394+S394</f>
        <v>7700.058</v>
      </c>
      <c r="U394" s="4" t="n">
        <f aca="false">T394-K394</f>
        <v>904.068</v>
      </c>
      <c r="V394" s="4" t="n">
        <f aca="false">R394+S394-U394</f>
        <v>6795.99</v>
      </c>
      <c r="W394" s="5" t="str">
        <f aca="false">IF(ROUND(V394-K394,2)=0,"OK","ERRO")</f>
        <v>OK</v>
      </c>
      <c r="X394" s="5" t="str">
        <f aca="false">VLOOKUP(F394,DIM_SERVICO!$A$2:$D$151,3,FALSE())</f>
        <v>Revisão</v>
      </c>
    </row>
    <row r="395" customFormat="false" ht="15" hidden="false" customHeight="false" outlineLevel="0" collapsed="false">
      <c r="A395" s="6" t="n">
        <v>394</v>
      </c>
      <c r="B395" s="6" t="n">
        <v>927</v>
      </c>
      <c r="C395" s="6" t="n">
        <v>1082</v>
      </c>
      <c r="D395" s="6" t="n">
        <v>428</v>
      </c>
      <c r="E395" s="6" t="n">
        <v>374</v>
      </c>
      <c r="F395" s="6" t="n">
        <v>78</v>
      </c>
      <c r="G395" s="6" t="n">
        <v>1071</v>
      </c>
      <c r="H395" s="6" t="n">
        <v>4</v>
      </c>
      <c r="I395" s="7" t="n">
        <v>427.32</v>
      </c>
      <c r="J395" s="7" t="n">
        <v>1647.18</v>
      </c>
      <c r="K395" s="7" t="n">
        <v>2549.46</v>
      </c>
      <c r="L395" s="7" t="n">
        <v>1346.64</v>
      </c>
      <c r="M395" s="6" t="n">
        <v>2.5</v>
      </c>
      <c r="N395" s="6" t="s">
        <v>27</v>
      </c>
      <c r="O395" s="8" t="n">
        <f aca="false">VLOOKUP(F395,DIM_SERVICO!$A$2:$D$151,4,FALSE())</f>
        <v>1647.18</v>
      </c>
      <c r="P395" s="8" t="n">
        <f aca="false">VLOOKUP(E395,DIM_PECA!$A$2:$F$501,6,FALSE())</f>
        <v>225.57</v>
      </c>
      <c r="Q395" s="8" t="n">
        <f aca="false">VLOOKUP(E395,DIM_PECA!$A$2:$F$501,5,FALSE())</f>
        <v>106.83</v>
      </c>
      <c r="R395" s="8" t="n">
        <f aca="false">H395*P395</f>
        <v>902.28</v>
      </c>
      <c r="S395" s="8" t="n">
        <f aca="false">O395*M395</f>
        <v>4117.95</v>
      </c>
      <c r="T395" s="8" t="n">
        <f aca="false">R395+S395</f>
        <v>5020.23</v>
      </c>
      <c r="U395" s="8" t="n">
        <f aca="false">T395-K395</f>
        <v>2470.77</v>
      </c>
      <c r="V395" s="8" t="n">
        <f aca="false">R395+S395-U395</f>
        <v>2549.46</v>
      </c>
      <c r="W395" s="9" t="str">
        <f aca="false">IF(ROUND(V395-K395,2)=0,"OK","ERRO")</f>
        <v>OK</v>
      </c>
      <c r="X395" s="9" t="str">
        <f aca="false">VLOOKUP(F395,DIM_SERVICO!$A$2:$D$151,3,FALSE())</f>
        <v>Suspensão</v>
      </c>
    </row>
    <row r="396" customFormat="false" ht="15" hidden="false" customHeight="false" outlineLevel="0" collapsed="false">
      <c r="A396" s="2" t="n">
        <v>395</v>
      </c>
      <c r="B396" s="2" t="n">
        <v>946</v>
      </c>
      <c r="C396" s="2" t="n">
        <v>688</v>
      </c>
      <c r="D396" s="2" t="n">
        <v>190</v>
      </c>
      <c r="E396" s="2" t="n">
        <v>216</v>
      </c>
      <c r="F396" s="2" t="n">
        <v>44</v>
      </c>
      <c r="G396" s="2" t="n">
        <v>1148</v>
      </c>
      <c r="H396" s="2" t="n">
        <v>1</v>
      </c>
      <c r="I396" s="3" t="n">
        <v>395.17</v>
      </c>
      <c r="J396" s="3" t="n">
        <v>1855.21</v>
      </c>
      <c r="K396" s="3" t="n">
        <v>2562.95</v>
      </c>
      <c r="L396" s="3" t="n">
        <v>1402.63</v>
      </c>
      <c r="M396" s="2" t="n">
        <v>6.6</v>
      </c>
      <c r="N396" s="2" t="s">
        <v>24</v>
      </c>
      <c r="O396" s="4" t="n">
        <f aca="false">VLOOKUP(F396,DIM_SERVICO!$A$2:$D$151,4,FALSE())</f>
        <v>1855.21</v>
      </c>
      <c r="P396" s="4" t="n">
        <f aca="false">VLOOKUP(E396,DIM_PECA!$A$2:$F$501,6,FALSE())</f>
        <v>842.63</v>
      </c>
      <c r="Q396" s="4" t="n">
        <f aca="false">VLOOKUP(E396,DIM_PECA!$A$2:$F$501,5,FALSE())</f>
        <v>395.17</v>
      </c>
      <c r="R396" s="4" t="n">
        <f aca="false">H396*P396</f>
        <v>842.63</v>
      </c>
      <c r="S396" s="4" t="n">
        <f aca="false">O396*M396</f>
        <v>12244.386</v>
      </c>
      <c r="T396" s="4" t="n">
        <f aca="false">R396+S396</f>
        <v>13087.016</v>
      </c>
      <c r="U396" s="4" t="n">
        <f aca="false">T396-K396</f>
        <v>10524.066</v>
      </c>
      <c r="V396" s="4" t="n">
        <f aca="false">R396+S396-U396</f>
        <v>2562.95</v>
      </c>
      <c r="W396" s="5" t="str">
        <f aca="false">IF(ROUND(V396-K396,2)=0,"OK","ERRO")</f>
        <v>OK</v>
      </c>
      <c r="X396" s="5" t="str">
        <f aca="false">VLOOKUP(F396,DIM_SERVICO!$A$2:$D$151,3,FALSE())</f>
        <v>Funilaria</v>
      </c>
    </row>
    <row r="397" customFormat="false" ht="15" hidden="false" customHeight="false" outlineLevel="0" collapsed="false">
      <c r="A397" s="6" t="n">
        <v>396</v>
      </c>
      <c r="B397" s="6" t="n">
        <v>886</v>
      </c>
      <c r="C397" s="6" t="n">
        <v>317</v>
      </c>
      <c r="D397" s="6" t="n">
        <v>698</v>
      </c>
      <c r="E397" s="6" t="n">
        <v>72</v>
      </c>
      <c r="F397" s="6" t="n">
        <v>113</v>
      </c>
      <c r="G397" s="6" t="n">
        <v>977</v>
      </c>
      <c r="H397" s="6" t="n">
        <v>2</v>
      </c>
      <c r="I397" s="7" t="n">
        <v>1865.78</v>
      </c>
      <c r="J397" s="7" t="n">
        <v>1709.25</v>
      </c>
      <c r="K397" s="7" t="n">
        <v>5258.83</v>
      </c>
      <c r="L397" s="7" t="n">
        <v>2759.92</v>
      </c>
      <c r="M397" s="6" t="n">
        <v>4.4</v>
      </c>
      <c r="N397" s="6" t="s">
        <v>24</v>
      </c>
      <c r="O397" s="8" t="n">
        <f aca="false">VLOOKUP(F397,DIM_SERVICO!$A$2:$D$151,4,FALSE())</f>
        <v>1709.25</v>
      </c>
      <c r="P397" s="8" t="n">
        <f aca="false">VLOOKUP(E397,DIM_PECA!$A$2:$F$501,6,FALSE())</f>
        <v>1774.79</v>
      </c>
      <c r="Q397" s="8" t="n">
        <f aca="false">VLOOKUP(E397,DIM_PECA!$A$2:$F$501,5,FALSE())</f>
        <v>932.89</v>
      </c>
      <c r="R397" s="8" t="n">
        <f aca="false">H397*P397</f>
        <v>3549.58</v>
      </c>
      <c r="S397" s="8" t="n">
        <f aca="false">O397*M397</f>
        <v>7520.7</v>
      </c>
      <c r="T397" s="8" t="n">
        <f aca="false">R397+S397</f>
        <v>11070.28</v>
      </c>
      <c r="U397" s="8" t="n">
        <f aca="false">T397-K397</f>
        <v>5811.45</v>
      </c>
      <c r="V397" s="8" t="n">
        <f aca="false">R397+S397-U397</f>
        <v>5258.83</v>
      </c>
      <c r="W397" s="9" t="str">
        <f aca="false">IF(ROUND(V397-K397,2)=0,"OK","ERRO")</f>
        <v>OK</v>
      </c>
      <c r="X397" s="9" t="str">
        <f aca="false">VLOOKUP(F397,DIM_SERVICO!$A$2:$D$151,3,FALSE())</f>
        <v>Pintura</v>
      </c>
    </row>
    <row r="398" customFormat="false" ht="15" hidden="false" customHeight="false" outlineLevel="0" collapsed="false">
      <c r="A398" s="2" t="n">
        <v>397</v>
      </c>
      <c r="B398" s="2" t="n">
        <v>664</v>
      </c>
      <c r="C398" s="2" t="n">
        <v>197</v>
      </c>
      <c r="D398" s="2" t="n">
        <v>231</v>
      </c>
      <c r="E398" s="2" t="n">
        <v>344</v>
      </c>
      <c r="F398" s="2" t="n">
        <v>144</v>
      </c>
      <c r="G398" s="2" t="n">
        <v>953</v>
      </c>
      <c r="H398" s="2" t="n">
        <v>4</v>
      </c>
      <c r="I398" s="3" t="n">
        <v>190.32</v>
      </c>
      <c r="J398" s="3" t="n">
        <v>2149.33</v>
      </c>
      <c r="K398" s="3" t="n">
        <v>2388.03</v>
      </c>
      <c r="L398" s="3" t="n">
        <v>1349.61</v>
      </c>
      <c r="M398" s="2" t="n">
        <v>3.4</v>
      </c>
      <c r="N398" s="2" t="s">
        <v>24</v>
      </c>
      <c r="O398" s="4" t="n">
        <f aca="false">VLOOKUP(F398,DIM_SERVICO!$A$2:$D$151,4,FALSE())</f>
        <v>2149.33</v>
      </c>
      <c r="P398" s="4" t="n">
        <f aca="false">VLOOKUP(E398,DIM_PECA!$A$2:$F$501,6,FALSE())</f>
        <v>71.86</v>
      </c>
      <c r="Q398" s="4" t="n">
        <f aca="false">VLOOKUP(E398,DIM_PECA!$A$2:$F$501,5,FALSE())</f>
        <v>47.58</v>
      </c>
      <c r="R398" s="4" t="n">
        <f aca="false">H398*P398</f>
        <v>287.44</v>
      </c>
      <c r="S398" s="4" t="n">
        <f aca="false">O398*M398</f>
        <v>7307.722</v>
      </c>
      <c r="T398" s="4" t="n">
        <f aca="false">R398+S398</f>
        <v>7595.162</v>
      </c>
      <c r="U398" s="4" t="n">
        <f aca="false">T398-K398</f>
        <v>5207.132</v>
      </c>
      <c r="V398" s="4" t="n">
        <f aca="false">R398+S398-U398</f>
        <v>2388.03</v>
      </c>
      <c r="W398" s="5" t="str">
        <f aca="false">IF(ROUND(V398-K398,2)=0,"OK","ERRO")</f>
        <v>OK</v>
      </c>
      <c r="X398" s="5" t="str">
        <f aca="false">VLOOKUP(F398,DIM_SERVICO!$A$2:$D$151,3,FALSE())</f>
        <v>Pintura</v>
      </c>
    </row>
    <row r="399" customFormat="false" ht="15" hidden="false" customHeight="false" outlineLevel="0" collapsed="false">
      <c r="A399" s="6" t="n">
        <v>398</v>
      </c>
      <c r="B399" s="6" t="n">
        <v>815</v>
      </c>
      <c r="C399" s="6" t="n">
        <v>214</v>
      </c>
      <c r="D399" s="6" t="n">
        <v>1111</v>
      </c>
      <c r="E399" s="6" t="n">
        <v>227</v>
      </c>
      <c r="F399" s="6" t="n">
        <v>65</v>
      </c>
      <c r="G399" s="6" t="n">
        <v>536</v>
      </c>
      <c r="H399" s="6" t="n">
        <v>4</v>
      </c>
      <c r="I399" s="7" t="n">
        <v>614.8</v>
      </c>
      <c r="J399" s="7" t="n">
        <v>1214.63</v>
      </c>
      <c r="K399" s="7" t="n">
        <v>2205.26</v>
      </c>
      <c r="L399" s="7" t="n">
        <v>1082.48</v>
      </c>
      <c r="M399" s="6" t="n">
        <v>10.3</v>
      </c>
      <c r="N399" s="6" t="s">
        <v>24</v>
      </c>
      <c r="O399" s="8" t="n">
        <f aca="false">VLOOKUP(F399,DIM_SERVICO!$A$2:$D$151,4,FALSE())</f>
        <v>1214.63</v>
      </c>
      <c r="P399" s="8" t="n">
        <f aca="false">VLOOKUP(E399,DIM_PECA!$A$2:$F$501,6,FALSE())</f>
        <v>258.91</v>
      </c>
      <c r="Q399" s="8" t="n">
        <f aca="false">VLOOKUP(E399,DIM_PECA!$A$2:$F$501,5,FALSE())</f>
        <v>153.7</v>
      </c>
      <c r="R399" s="8" t="n">
        <f aca="false">H399*P399</f>
        <v>1035.64</v>
      </c>
      <c r="S399" s="8" t="n">
        <f aca="false">O399*M399</f>
        <v>12510.689</v>
      </c>
      <c r="T399" s="8" t="n">
        <f aca="false">R399+S399</f>
        <v>13546.329</v>
      </c>
      <c r="U399" s="8" t="n">
        <f aca="false">T399-K399</f>
        <v>11341.069</v>
      </c>
      <c r="V399" s="8" t="n">
        <f aca="false">R399+S399-U399</f>
        <v>2205.26</v>
      </c>
      <c r="W399" s="9" t="str">
        <f aca="false">IF(ROUND(V399-K399,2)=0,"OK","ERRO")</f>
        <v>OK</v>
      </c>
      <c r="X399" s="9" t="str">
        <f aca="false">VLOOKUP(F399,DIM_SERVICO!$A$2:$D$151,3,FALSE())</f>
        <v>Elétrica</v>
      </c>
    </row>
    <row r="400" customFormat="false" ht="15" hidden="false" customHeight="false" outlineLevel="0" collapsed="false">
      <c r="A400" s="2" t="n">
        <v>399</v>
      </c>
      <c r="B400" s="2" t="n">
        <v>981</v>
      </c>
      <c r="C400" s="2" t="n">
        <v>265</v>
      </c>
      <c r="D400" s="2" t="n">
        <v>546</v>
      </c>
      <c r="E400" s="2" t="n">
        <v>206</v>
      </c>
      <c r="F400" s="2" t="n">
        <v>103</v>
      </c>
      <c r="G400" s="2" t="n">
        <v>1057</v>
      </c>
      <c r="H400" s="2" t="n">
        <v>3</v>
      </c>
      <c r="I400" s="3" t="n">
        <v>693.84</v>
      </c>
      <c r="J400" s="3" t="n">
        <v>96.61</v>
      </c>
      <c r="K400" s="3" t="n">
        <v>1073.45</v>
      </c>
      <c r="L400" s="3" t="n">
        <v>343.58</v>
      </c>
      <c r="M400" s="2" t="n">
        <v>2.5</v>
      </c>
      <c r="N400" s="2" t="s">
        <v>25</v>
      </c>
      <c r="O400" s="4" t="n">
        <f aca="false">VLOOKUP(F400,DIM_SERVICO!$A$2:$D$151,4,FALSE())</f>
        <v>96.61</v>
      </c>
      <c r="P400" s="4" t="n">
        <f aca="false">VLOOKUP(E400,DIM_PECA!$A$2:$F$501,6,FALSE())</f>
        <v>365.37</v>
      </c>
      <c r="Q400" s="4" t="n">
        <f aca="false">VLOOKUP(E400,DIM_PECA!$A$2:$F$501,5,FALSE())</f>
        <v>231.28</v>
      </c>
      <c r="R400" s="4" t="n">
        <f aca="false">H400*P400</f>
        <v>1096.11</v>
      </c>
      <c r="S400" s="4" t="n">
        <f aca="false">O400*M400</f>
        <v>241.525</v>
      </c>
      <c r="T400" s="4" t="n">
        <f aca="false">R400+S400</f>
        <v>1337.635</v>
      </c>
      <c r="U400" s="4" t="n">
        <f aca="false">T400-K400</f>
        <v>264.185</v>
      </c>
      <c r="V400" s="4" t="n">
        <f aca="false">R400+S400-U400</f>
        <v>1073.45</v>
      </c>
      <c r="W400" s="5" t="str">
        <f aca="false">IF(ROUND(V400-K400,2)=0,"OK","ERRO")</f>
        <v>OK</v>
      </c>
      <c r="X400" s="5" t="str">
        <f aca="false">VLOOKUP(F400,DIM_SERVICO!$A$2:$D$151,3,FALSE())</f>
        <v>Revisão</v>
      </c>
    </row>
    <row r="401" customFormat="false" ht="15" hidden="false" customHeight="false" outlineLevel="0" collapsed="false">
      <c r="A401" s="6" t="n">
        <v>400</v>
      </c>
      <c r="B401" s="6" t="n">
        <v>1092</v>
      </c>
      <c r="C401" s="6" t="n">
        <v>977</v>
      </c>
      <c r="D401" s="6" t="n">
        <v>685</v>
      </c>
      <c r="E401" s="6" t="n">
        <v>37</v>
      </c>
      <c r="F401" s="6" t="n">
        <v>119</v>
      </c>
      <c r="G401" s="6" t="n">
        <v>214</v>
      </c>
      <c r="H401" s="6" t="n">
        <v>2</v>
      </c>
      <c r="I401" s="7" t="n">
        <v>1447.5</v>
      </c>
      <c r="J401" s="7" t="n">
        <v>92.23</v>
      </c>
      <c r="K401" s="7" t="n">
        <v>2153.43</v>
      </c>
      <c r="L401" s="7" t="n">
        <v>660.96</v>
      </c>
      <c r="M401" s="6" t="n">
        <v>7.7</v>
      </c>
      <c r="N401" s="6" t="s">
        <v>24</v>
      </c>
      <c r="O401" s="8" t="n">
        <f aca="false">VLOOKUP(F401,DIM_SERVICO!$A$2:$D$151,4,FALSE())</f>
        <v>92.23</v>
      </c>
      <c r="P401" s="8" t="n">
        <f aca="false">VLOOKUP(E401,DIM_PECA!$A$2:$F$501,6,FALSE())</f>
        <v>1030.6</v>
      </c>
      <c r="Q401" s="8" t="n">
        <f aca="false">VLOOKUP(E401,DIM_PECA!$A$2:$F$501,5,FALSE())</f>
        <v>723.75</v>
      </c>
      <c r="R401" s="8" t="n">
        <f aca="false">H401*P401</f>
        <v>2061.2</v>
      </c>
      <c r="S401" s="8" t="n">
        <f aca="false">O401*M401</f>
        <v>710.171</v>
      </c>
      <c r="T401" s="8" t="n">
        <f aca="false">R401+S401</f>
        <v>2771.371</v>
      </c>
      <c r="U401" s="8" t="n">
        <f aca="false">T401-K401</f>
        <v>617.941</v>
      </c>
      <c r="V401" s="8" t="n">
        <f aca="false">R401+S401-U401</f>
        <v>2153.43</v>
      </c>
      <c r="W401" s="9" t="str">
        <f aca="false">IF(ROUND(V401-K401,2)=0,"OK","ERRO")</f>
        <v>OK</v>
      </c>
      <c r="X401" s="9" t="str">
        <f aca="false">VLOOKUP(F401,DIM_SERVICO!$A$2:$D$151,3,FALSE())</f>
        <v>Motor</v>
      </c>
    </row>
    <row r="402" customFormat="false" ht="15" hidden="false" customHeight="false" outlineLevel="0" collapsed="false">
      <c r="A402" s="2" t="n">
        <v>401</v>
      </c>
      <c r="B402" s="2" t="n">
        <v>725</v>
      </c>
      <c r="C402" s="2" t="n">
        <v>609</v>
      </c>
      <c r="D402" s="2" t="n">
        <v>593</v>
      </c>
      <c r="E402" s="2" t="n">
        <v>134</v>
      </c>
      <c r="F402" s="2" t="n">
        <v>117</v>
      </c>
      <c r="G402" s="2" t="n">
        <v>60</v>
      </c>
      <c r="H402" s="2" t="n">
        <v>3</v>
      </c>
      <c r="I402" s="3" t="n">
        <v>1554.51</v>
      </c>
      <c r="J402" s="3" t="n">
        <v>405.55</v>
      </c>
      <c r="K402" s="3" t="n">
        <v>3414.64</v>
      </c>
      <c r="L402" s="3" t="n">
        <v>1667.44</v>
      </c>
      <c r="M402" s="2" t="n">
        <v>9.8</v>
      </c>
      <c r="N402" s="2" t="s">
        <v>24</v>
      </c>
      <c r="O402" s="4" t="n">
        <f aca="false">VLOOKUP(F402,DIM_SERVICO!$A$2:$D$151,4,FALSE())</f>
        <v>405.55</v>
      </c>
      <c r="P402" s="4" t="n">
        <f aca="false">VLOOKUP(E402,DIM_PECA!$A$2:$F$501,6,FALSE())</f>
        <v>1003.03</v>
      </c>
      <c r="Q402" s="4" t="n">
        <f aca="false">VLOOKUP(E402,DIM_PECA!$A$2:$F$501,5,FALSE())</f>
        <v>518.17</v>
      </c>
      <c r="R402" s="4" t="n">
        <f aca="false">H402*P402</f>
        <v>3009.09</v>
      </c>
      <c r="S402" s="4" t="n">
        <f aca="false">O402*M402</f>
        <v>3974.39</v>
      </c>
      <c r="T402" s="4" t="n">
        <f aca="false">R402+S402</f>
        <v>6983.48</v>
      </c>
      <c r="U402" s="4" t="n">
        <f aca="false">T402-K402</f>
        <v>3568.84</v>
      </c>
      <c r="V402" s="4" t="n">
        <f aca="false">R402+S402-U402</f>
        <v>3414.64</v>
      </c>
      <c r="W402" s="5" t="str">
        <f aca="false">IF(ROUND(V402-K402,2)=0,"OK","ERRO")</f>
        <v>OK</v>
      </c>
      <c r="X402" s="5" t="str">
        <f aca="false">VLOOKUP(F402,DIM_SERVICO!$A$2:$D$151,3,FALSE())</f>
        <v>Freios</v>
      </c>
    </row>
    <row r="403" customFormat="false" ht="15" hidden="false" customHeight="false" outlineLevel="0" collapsed="false">
      <c r="A403" s="6" t="n">
        <v>402</v>
      </c>
      <c r="B403" s="6" t="n">
        <v>321</v>
      </c>
      <c r="C403" s="6" t="n">
        <v>901</v>
      </c>
      <c r="D403" s="6" t="n">
        <v>468</v>
      </c>
      <c r="E403" s="6" t="n">
        <v>350</v>
      </c>
      <c r="F403" s="6" t="n">
        <v>86</v>
      </c>
      <c r="G403" s="6" t="n">
        <v>1453</v>
      </c>
      <c r="H403" s="6" t="n">
        <v>1</v>
      </c>
      <c r="I403" s="7" t="n">
        <v>1036.21</v>
      </c>
      <c r="J403" s="7" t="n">
        <v>147.26</v>
      </c>
      <c r="K403" s="7" t="n">
        <v>2159.01</v>
      </c>
      <c r="L403" s="7" t="n">
        <v>1059.01</v>
      </c>
      <c r="M403" s="6" t="n">
        <v>6.6</v>
      </c>
      <c r="N403" s="6" t="s">
        <v>24</v>
      </c>
      <c r="O403" s="8" t="n">
        <f aca="false">VLOOKUP(F403,DIM_SERVICO!$A$2:$D$151,4,FALSE())</f>
        <v>147.26</v>
      </c>
      <c r="P403" s="8" t="n">
        <f aca="false">VLOOKUP(E403,DIM_PECA!$A$2:$F$501,6,FALSE())</f>
        <v>2055.81</v>
      </c>
      <c r="Q403" s="8" t="n">
        <f aca="false">VLOOKUP(E403,DIM_PECA!$A$2:$F$501,5,FALSE())</f>
        <v>1036.21</v>
      </c>
      <c r="R403" s="8" t="n">
        <f aca="false">H403*P403</f>
        <v>2055.81</v>
      </c>
      <c r="S403" s="8" t="n">
        <f aca="false">O403*M403</f>
        <v>971.916</v>
      </c>
      <c r="T403" s="8" t="n">
        <f aca="false">R403+S403</f>
        <v>3027.726</v>
      </c>
      <c r="U403" s="8" t="n">
        <f aca="false">T403-K403</f>
        <v>868.715999999999</v>
      </c>
      <c r="V403" s="8" t="n">
        <f aca="false">R403+S403-U403</f>
        <v>2159.01</v>
      </c>
      <c r="W403" s="9" t="str">
        <f aca="false">IF(ROUND(V403-K403,2)=0,"OK","ERRO")</f>
        <v>OK</v>
      </c>
      <c r="X403" s="9" t="str">
        <f aca="false">VLOOKUP(F403,DIM_SERVICO!$A$2:$D$151,3,FALSE())</f>
        <v>Suspensão</v>
      </c>
    </row>
    <row r="404" customFormat="false" ht="15" hidden="false" customHeight="false" outlineLevel="0" collapsed="false">
      <c r="A404" s="2" t="n">
        <v>403</v>
      </c>
      <c r="B404" s="2" t="n">
        <v>1068</v>
      </c>
      <c r="C404" s="2" t="n">
        <v>1061</v>
      </c>
      <c r="D404" s="2" t="n">
        <v>539</v>
      </c>
      <c r="E404" s="2" t="n">
        <v>59</v>
      </c>
      <c r="F404" s="2" t="n">
        <v>58</v>
      </c>
      <c r="G404" s="2" t="n">
        <v>1118</v>
      </c>
      <c r="H404" s="2" t="n">
        <v>2</v>
      </c>
      <c r="I404" s="3" t="n">
        <v>249</v>
      </c>
      <c r="J404" s="3" t="n">
        <v>1803.6</v>
      </c>
      <c r="K404" s="3" t="n">
        <v>2328.4</v>
      </c>
      <c r="L404" s="3" t="n">
        <v>1383.64</v>
      </c>
      <c r="M404" s="2" t="n">
        <v>1</v>
      </c>
      <c r="N404" s="2" t="s">
        <v>24</v>
      </c>
      <c r="O404" s="4" t="n">
        <f aca="false">VLOOKUP(F404,DIM_SERVICO!$A$2:$D$151,4,FALSE())</f>
        <v>1803.6</v>
      </c>
      <c r="P404" s="4" t="n">
        <f aca="false">VLOOKUP(E404,DIM_PECA!$A$2:$F$501,6,FALSE())</f>
        <v>262.4</v>
      </c>
      <c r="Q404" s="4" t="n">
        <f aca="false">VLOOKUP(E404,DIM_PECA!$A$2:$F$501,5,FALSE())</f>
        <v>124.5</v>
      </c>
      <c r="R404" s="4" t="n">
        <f aca="false">H404*P404</f>
        <v>524.8</v>
      </c>
      <c r="S404" s="4" t="n">
        <f aca="false">O404*M404</f>
        <v>1803.6</v>
      </c>
      <c r="T404" s="4" t="n">
        <f aca="false">R404+S404</f>
        <v>2328.4</v>
      </c>
      <c r="U404" s="4" t="n">
        <f aca="false">T404-K404</f>
        <v>0</v>
      </c>
      <c r="V404" s="4" t="n">
        <f aca="false">R404+S404-U404</f>
        <v>2328.4</v>
      </c>
      <c r="W404" s="5" t="str">
        <f aca="false">IF(ROUND(V404-K404,2)=0,"OK","ERRO")</f>
        <v>OK</v>
      </c>
      <c r="X404" s="5" t="str">
        <f aca="false">VLOOKUP(F404,DIM_SERVICO!$A$2:$D$151,3,FALSE())</f>
        <v>Freios</v>
      </c>
    </row>
    <row r="405" customFormat="false" ht="15" hidden="false" customHeight="false" outlineLevel="0" collapsed="false">
      <c r="A405" s="6" t="n">
        <v>404</v>
      </c>
      <c r="B405" s="6" t="n">
        <v>1043</v>
      </c>
      <c r="C405" s="6" t="n">
        <v>1098</v>
      </c>
      <c r="D405" s="6" t="n">
        <v>425</v>
      </c>
      <c r="E405" s="6" t="n">
        <v>101</v>
      </c>
      <c r="F405" s="6" t="n">
        <v>90</v>
      </c>
      <c r="G405" s="6" t="n">
        <v>1243</v>
      </c>
      <c r="H405" s="6" t="n">
        <v>3</v>
      </c>
      <c r="I405" s="7" t="n">
        <v>1020.09</v>
      </c>
      <c r="J405" s="7" t="n">
        <v>702.32</v>
      </c>
      <c r="K405" s="7" t="n">
        <v>2548.38</v>
      </c>
      <c r="L405" s="7" t="n">
        <v>1257.69</v>
      </c>
      <c r="M405" s="6" t="n">
        <v>9.5</v>
      </c>
      <c r="N405" s="6" t="s">
        <v>26</v>
      </c>
      <c r="O405" s="8" t="n">
        <f aca="false">VLOOKUP(F405,DIM_SERVICO!$A$2:$D$151,4,FALSE())</f>
        <v>702.32</v>
      </c>
      <c r="P405" s="8" t="n">
        <f aca="false">VLOOKUP(E405,DIM_PECA!$A$2:$F$501,6,FALSE())</f>
        <v>660.06</v>
      </c>
      <c r="Q405" s="8" t="n">
        <f aca="false">VLOOKUP(E405,DIM_PECA!$A$2:$F$501,5,FALSE())</f>
        <v>340.03</v>
      </c>
      <c r="R405" s="8" t="n">
        <f aca="false">H405*P405</f>
        <v>1980.18</v>
      </c>
      <c r="S405" s="8" t="n">
        <f aca="false">O405*M405</f>
        <v>6672.04</v>
      </c>
      <c r="T405" s="8" t="n">
        <f aca="false">R405+S405</f>
        <v>8652.22</v>
      </c>
      <c r="U405" s="8" t="n">
        <f aca="false">T405-K405</f>
        <v>6103.84</v>
      </c>
      <c r="V405" s="8" t="n">
        <f aca="false">R405+S405-U405</f>
        <v>2548.38</v>
      </c>
      <c r="W405" s="9" t="str">
        <f aca="false">IF(ROUND(V405-K405,2)=0,"OK","ERRO")</f>
        <v>OK</v>
      </c>
      <c r="X405" s="9" t="str">
        <f aca="false">VLOOKUP(F405,DIM_SERVICO!$A$2:$D$151,3,FALSE())</f>
        <v>Diagnóstico</v>
      </c>
    </row>
    <row r="406" customFormat="false" ht="15" hidden="false" customHeight="false" outlineLevel="0" collapsed="false">
      <c r="A406" s="2" t="n">
        <v>405</v>
      </c>
      <c r="B406" s="2" t="n">
        <v>643</v>
      </c>
      <c r="C406" s="2" t="n">
        <v>525</v>
      </c>
      <c r="D406" s="2" t="n">
        <v>672</v>
      </c>
      <c r="E406" s="2" t="n">
        <v>65</v>
      </c>
      <c r="F406" s="2" t="n">
        <v>74</v>
      </c>
      <c r="G406" s="2" t="n">
        <v>1692</v>
      </c>
      <c r="H406" s="2" t="n">
        <v>1</v>
      </c>
      <c r="I406" s="3" t="n">
        <v>49.28</v>
      </c>
      <c r="J406" s="3" t="n">
        <v>821.88</v>
      </c>
      <c r="K406" s="3" t="n">
        <v>874.92</v>
      </c>
      <c r="L406" s="3" t="n">
        <v>394.54</v>
      </c>
      <c r="M406" s="2" t="n">
        <v>2.7</v>
      </c>
      <c r="N406" s="2" t="s">
        <v>27</v>
      </c>
      <c r="O406" s="4" t="n">
        <f aca="false">VLOOKUP(F406,DIM_SERVICO!$A$2:$D$151,4,FALSE())</f>
        <v>821.88</v>
      </c>
      <c r="P406" s="4" t="n">
        <f aca="false">VLOOKUP(E406,DIM_PECA!$A$2:$F$501,6,FALSE())</f>
        <v>70.9</v>
      </c>
      <c r="Q406" s="4" t="n">
        <f aca="false">VLOOKUP(E406,DIM_PECA!$A$2:$F$501,5,FALSE())</f>
        <v>49.28</v>
      </c>
      <c r="R406" s="4" t="n">
        <f aca="false">H406*P406</f>
        <v>70.9</v>
      </c>
      <c r="S406" s="4" t="n">
        <f aca="false">O406*M406</f>
        <v>2219.076</v>
      </c>
      <c r="T406" s="4" t="n">
        <f aca="false">R406+S406</f>
        <v>2289.976</v>
      </c>
      <c r="U406" s="4" t="n">
        <f aca="false">T406-K406</f>
        <v>1415.056</v>
      </c>
      <c r="V406" s="4" t="n">
        <f aca="false">R406+S406-U406</f>
        <v>874.92</v>
      </c>
      <c r="W406" s="5" t="str">
        <f aca="false">IF(ROUND(V406-K406,2)=0,"OK","ERRO")</f>
        <v>OK</v>
      </c>
      <c r="X406" s="5" t="str">
        <f aca="false">VLOOKUP(F406,DIM_SERVICO!$A$2:$D$151,3,FALSE())</f>
        <v>Revisão</v>
      </c>
    </row>
    <row r="407" customFormat="false" ht="15" hidden="false" customHeight="false" outlineLevel="0" collapsed="false">
      <c r="A407" s="6" t="n">
        <v>406</v>
      </c>
      <c r="B407" s="6" t="n">
        <v>1197</v>
      </c>
      <c r="C407" s="6" t="n">
        <v>747</v>
      </c>
      <c r="D407" s="6" t="n">
        <v>449</v>
      </c>
      <c r="E407" s="6" t="n">
        <v>159</v>
      </c>
      <c r="F407" s="6" t="n">
        <v>28</v>
      </c>
      <c r="G407" s="6" t="n">
        <v>998</v>
      </c>
      <c r="H407" s="6" t="n">
        <v>4</v>
      </c>
      <c r="I407" s="7" t="n">
        <v>4585.16</v>
      </c>
      <c r="J407" s="7" t="n">
        <v>2152.12</v>
      </c>
      <c r="K407" s="7" t="n">
        <v>10658.97</v>
      </c>
      <c r="L407" s="7" t="n">
        <v>4963.44</v>
      </c>
      <c r="M407" s="6" t="n">
        <v>5.2</v>
      </c>
      <c r="N407" s="6" t="s">
        <v>24</v>
      </c>
      <c r="O407" s="8" t="n">
        <f aca="false">VLOOKUP(F407,DIM_SERVICO!$A$2:$D$151,4,FALSE())</f>
        <v>2152.12</v>
      </c>
      <c r="P407" s="8" t="n">
        <f aca="false">VLOOKUP(E407,DIM_PECA!$A$2:$F$501,6,FALSE())</f>
        <v>2358.43</v>
      </c>
      <c r="Q407" s="8" t="n">
        <f aca="false">VLOOKUP(E407,DIM_PECA!$A$2:$F$501,5,FALSE())</f>
        <v>1146.29</v>
      </c>
      <c r="R407" s="8" t="n">
        <f aca="false">H407*P407</f>
        <v>9433.72</v>
      </c>
      <c r="S407" s="8" t="n">
        <f aca="false">O407*M407</f>
        <v>11191.024</v>
      </c>
      <c r="T407" s="8" t="n">
        <f aca="false">R407+S407</f>
        <v>20624.744</v>
      </c>
      <c r="U407" s="8" t="n">
        <f aca="false">T407-K407</f>
        <v>9965.774</v>
      </c>
      <c r="V407" s="8" t="n">
        <f aca="false">R407+S407-U407</f>
        <v>10658.97</v>
      </c>
      <c r="W407" s="9" t="str">
        <f aca="false">IF(ROUND(V407-K407,2)=0,"OK","ERRO")</f>
        <v>OK</v>
      </c>
      <c r="X407" s="9" t="str">
        <f aca="false">VLOOKUP(F407,DIM_SERVICO!$A$2:$D$151,3,FALSE())</f>
        <v>Freios</v>
      </c>
    </row>
    <row r="408" customFormat="false" ht="15" hidden="false" customHeight="false" outlineLevel="0" collapsed="false">
      <c r="A408" s="2" t="n">
        <v>407</v>
      </c>
      <c r="B408" s="2" t="n">
        <v>1058</v>
      </c>
      <c r="C408" s="2" t="n">
        <v>537</v>
      </c>
      <c r="D408" s="2" t="n">
        <v>176</v>
      </c>
      <c r="E408" s="2" t="n">
        <v>53</v>
      </c>
      <c r="F408" s="2" t="n">
        <v>149</v>
      </c>
      <c r="G408" s="2" t="n">
        <v>1344</v>
      </c>
      <c r="H408" s="2" t="n">
        <v>1</v>
      </c>
      <c r="I408" s="3" t="n">
        <v>1040.94</v>
      </c>
      <c r="J408" s="3" t="n">
        <v>142.63</v>
      </c>
      <c r="K408" s="3" t="n">
        <v>1648.17</v>
      </c>
      <c r="L408" s="3" t="n">
        <v>538.65</v>
      </c>
      <c r="M408" s="2" t="n">
        <v>8.2</v>
      </c>
      <c r="N408" s="2" t="s">
        <v>24</v>
      </c>
      <c r="O408" s="4" t="n">
        <f aca="false">VLOOKUP(F408,DIM_SERVICO!$A$2:$D$151,4,FALSE())</f>
        <v>142.63</v>
      </c>
      <c r="P408" s="4" t="n">
        <f aca="false">VLOOKUP(E408,DIM_PECA!$A$2:$F$501,6,FALSE())</f>
        <v>1505.54</v>
      </c>
      <c r="Q408" s="4" t="n">
        <f aca="false">VLOOKUP(E408,DIM_PECA!$A$2:$F$501,5,FALSE())</f>
        <v>1040.94</v>
      </c>
      <c r="R408" s="4" t="n">
        <f aca="false">H408*P408</f>
        <v>1505.54</v>
      </c>
      <c r="S408" s="4" t="n">
        <f aca="false">O408*M408</f>
        <v>1169.566</v>
      </c>
      <c r="T408" s="4" t="n">
        <f aca="false">R408+S408</f>
        <v>2675.106</v>
      </c>
      <c r="U408" s="4" t="n">
        <f aca="false">T408-K408</f>
        <v>1026.936</v>
      </c>
      <c r="V408" s="4" t="n">
        <f aca="false">R408+S408-U408</f>
        <v>1648.17</v>
      </c>
      <c r="W408" s="5" t="str">
        <f aca="false">IF(ROUND(V408-K408,2)=0,"OK","ERRO")</f>
        <v>OK</v>
      </c>
      <c r="X408" s="5" t="str">
        <f aca="false">VLOOKUP(F408,DIM_SERVICO!$A$2:$D$151,3,FALSE())</f>
        <v>Motor</v>
      </c>
    </row>
    <row r="409" customFormat="false" ht="15" hidden="false" customHeight="false" outlineLevel="0" collapsed="false">
      <c r="A409" s="6" t="n">
        <v>408</v>
      </c>
      <c r="B409" s="6" t="n">
        <v>849</v>
      </c>
      <c r="C409" s="6" t="n">
        <v>948</v>
      </c>
      <c r="D409" s="6" t="n">
        <v>409</v>
      </c>
      <c r="E409" s="6" t="n">
        <v>291</v>
      </c>
      <c r="F409" s="6" t="n">
        <v>21</v>
      </c>
      <c r="G409" s="6" t="n">
        <v>1289</v>
      </c>
      <c r="H409" s="6" t="n">
        <v>2</v>
      </c>
      <c r="I409" s="7" t="n">
        <v>1576.66</v>
      </c>
      <c r="J409" s="7" t="n">
        <v>126.78</v>
      </c>
      <c r="K409" s="7" t="n">
        <v>2914.65</v>
      </c>
      <c r="L409" s="7" t="n">
        <v>1278.99</v>
      </c>
      <c r="M409" s="6" t="n">
        <v>8</v>
      </c>
      <c r="N409" s="6" t="s">
        <v>26</v>
      </c>
      <c r="O409" s="8" t="n">
        <f aca="false">VLOOKUP(F409,DIM_SERVICO!$A$2:$D$151,4,FALSE())</f>
        <v>126.78</v>
      </c>
      <c r="P409" s="8" t="n">
        <f aca="false">VLOOKUP(E409,DIM_PECA!$A$2:$F$501,6,FALSE())</f>
        <v>1555.86</v>
      </c>
      <c r="Q409" s="8" t="n">
        <f aca="false">VLOOKUP(E409,DIM_PECA!$A$2:$F$501,5,FALSE())</f>
        <v>788.33</v>
      </c>
      <c r="R409" s="8" t="n">
        <f aca="false">H409*P409</f>
        <v>3111.72</v>
      </c>
      <c r="S409" s="8" t="n">
        <f aca="false">O409*M409</f>
        <v>1014.24</v>
      </c>
      <c r="T409" s="8" t="n">
        <f aca="false">R409+S409</f>
        <v>4125.96</v>
      </c>
      <c r="U409" s="8" t="n">
        <f aca="false">T409-K409</f>
        <v>1211.31</v>
      </c>
      <c r="V409" s="8" t="n">
        <f aca="false">R409+S409-U409</f>
        <v>2914.65</v>
      </c>
      <c r="W409" s="9" t="str">
        <f aca="false">IF(ROUND(V409-K409,2)=0,"OK","ERRO")</f>
        <v>OK</v>
      </c>
      <c r="X409" s="9" t="str">
        <f aca="false">VLOOKUP(F409,DIM_SERVICO!$A$2:$D$151,3,FALSE())</f>
        <v>Suspensão</v>
      </c>
    </row>
    <row r="410" customFormat="false" ht="15" hidden="false" customHeight="false" outlineLevel="0" collapsed="false">
      <c r="A410" s="2" t="n">
        <v>409</v>
      </c>
      <c r="B410" s="2" t="n">
        <v>1395</v>
      </c>
      <c r="C410" s="2" t="n">
        <v>642</v>
      </c>
      <c r="D410" s="2" t="n">
        <v>933</v>
      </c>
      <c r="E410" s="2" t="n">
        <v>129</v>
      </c>
      <c r="F410" s="2" t="n">
        <v>73</v>
      </c>
      <c r="G410" s="2" t="n">
        <v>1147</v>
      </c>
      <c r="H410" s="2" t="n">
        <v>1</v>
      </c>
      <c r="I410" s="3" t="n">
        <v>180.36</v>
      </c>
      <c r="J410" s="3" t="n">
        <v>2131.99</v>
      </c>
      <c r="K410" s="3" t="n">
        <v>2263.63</v>
      </c>
      <c r="L410" s="3" t="n">
        <v>1294.84</v>
      </c>
      <c r="M410" s="2" t="n">
        <v>6</v>
      </c>
      <c r="N410" s="2" t="s">
        <v>24</v>
      </c>
      <c r="O410" s="4" t="n">
        <f aca="false">VLOOKUP(F410,DIM_SERVICO!$A$2:$D$151,4,FALSE())</f>
        <v>2131.99</v>
      </c>
      <c r="P410" s="4" t="n">
        <f aca="false">VLOOKUP(E410,DIM_PECA!$A$2:$F$501,6,FALSE())</f>
        <v>328.48</v>
      </c>
      <c r="Q410" s="4" t="n">
        <f aca="false">VLOOKUP(E410,DIM_PECA!$A$2:$F$501,5,FALSE())</f>
        <v>180.36</v>
      </c>
      <c r="R410" s="4" t="n">
        <f aca="false">H410*P410</f>
        <v>328.48</v>
      </c>
      <c r="S410" s="4" t="n">
        <f aca="false">O410*M410</f>
        <v>12791.94</v>
      </c>
      <c r="T410" s="4" t="n">
        <f aca="false">R410+S410</f>
        <v>13120.42</v>
      </c>
      <c r="U410" s="4" t="n">
        <f aca="false">T410-K410</f>
        <v>10856.79</v>
      </c>
      <c r="V410" s="4" t="n">
        <f aca="false">R410+S410-U410</f>
        <v>2263.63</v>
      </c>
      <c r="W410" s="5" t="str">
        <f aca="false">IF(ROUND(V410-K410,2)=0,"OK","ERRO")</f>
        <v>OK</v>
      </c>
      <c r="X410" s="5" t="str">
        <f aca="false">VLOOKUP(F410,DIM_SERVICO!$A$2:$D$151,3,FALSE())</f>
        <v>Suspensão</v>
      </c>
    </row>
    <row r="411" customFormat="false" ht="15" hidden="false" customHeight="false" outlineLevel="0" collapsed="false">
      <c r="A411" s="6" t="n">
        <v>410</v>
      </c>
      <c r="B411" s="6" t="n">
        <v>792</v>
      </c>
      <c r="C411" s="6" t="n">
        <v>278</v>
      </c>
      <c r="D411" s="6" t="n">
        <v>809</v>
      </c>
      <c r="E411" s="6" t="n">
        <v>251</v>
      </c>
      <c r="F411" s="6" t="n">
        <v>27</v>
      </c>
      <c r="G411" s="6" t="n">
        <v>659</v>
      </c>
      <c r="H411" s="6" t="n">
        <v>4</v>
      </c>
      <c r="I411" s="7" t="n">
        <v>1361.24</v>
      </c>
      <c r="J411" s="7" t="n">
        <v>662.68</v>
      </c>
      <c r="K411" s="7" t="n">
        <v>3310.97</v>
      </c>
      <c r="L411" s="7" t="n">
        <v>1651.27</v>
      </c>
      <c r="M411" s="6" t="n">
        <v>2.7</v>
      </c>
      <c r="N411" s="6" t="s">
        <v>24</v>
      </c>
      <c r="O411" s="8" t="n">
        <f aca="false">VLOOKUP(F411,DIM_SERVICO!$A$2:$D$151,4,FALSE())</f>
        <v>662.68</v>
      </c>
      <c r="P411" s="8" t="n">
        <f aca="false">VLOOKUP(E411,DIM_PECA!$A$2:$F$501,6,FALSE())</f>
        <v>734.05</v>
      </c>
      <c r="Q411" s="8" t="n">
        <f aca="false">VLOOKUP(E411,DIM_PECA!$A$2:$F$501,5,FALSE())</f>
        <v>340.31</v>
      </c>
      <c r="R411" s="8" t="n">
        <f aca="false">H411*P411</f>
        <v>2936.2</v>
      </c>
      <c r="S411" s="8" t="n">
        <f aca="false">O411*M411</f>
        <v>1789.236</v>
      </c>
      <c r="T411" s="8" t="n">
        <f aca="false">R411+S411</f>
        <v>4725.436</v>
      </c>
      <c r="U411" s="8" t="n">
        <f aca="false">T411-K411</f>
        <v>1414.466</v>
      </c>
      <c r="V411" s="8" t="n">
        <f aca="false">R411+S411-U411</f>
        <v>3310.97</v>
      </c>
      <c r="W411" s="9" t="str">
        <f aca="false">IF(ROUND(V411-K411,2)=0,"OK","ERRO")</f>
        <v>OK</v>
      </c>
      <c r="X411" s="9" t="str">
        <f aca="false">VLOOKUP(F411,DIM_SERVICO!$A$2:$D$151,3,FALSE())</f>
        <v>Revisão</v>
      </c>
    </row>
    <row r="412" customFormat="false" ht="15" hidden="false" customHeight="false" outlineLevel="0" collapsed="false">
      <c r="A412" s="2" t="n">
        <v>411</v>
      </c>
      <c r="B412" s="2" t="n">
        <v>1460</v>
      </c>
      <c r="C412" s="2" t="n">
        <v>1233</v>
      </c>
      <c r="D412" s="2" t="n">
        <v>7</v>
      </c>
      <c r="E412" s="2" t="n">
        <v>427</v>
      </c>
      <c r="F412" s="2" t="n">
        <v>25</v>
      </c>
      <c r="G412" s="2" t="n">
        <v>1395</v>
      </c>
      <c r="H412" s="2" t="n">
        <v>4</v>
      </c>
      <c r="I412" s="3" t="n">
        <v>2572.36</v>
      </c>
      <c r="J412" s="3" t="n">
        <v>1419.73</v>
      </c>
      <c r="K412" s="3" t="n">
        <v>5024.89</v>
      </c>
      <c r="L412" s="3" t="n">
        <v>1878.56</v>
      </c>
      <c r="M412" s="2" t="n">
        <v>11</v>
      </c>
      <c r="N412" s="2" t="s">
        <v>25</v>
      </c>
      <c r="O412" s="4" t="n">
        <f aca="false">VLOOKUP(F412,DIM_SERVICO!$A$2:$D$151,4,FALSE())</f>
        <v>1419.73</v>
      </c>
      <c r="P412" s="4" t="n">
        <f aca="false">VLOOKUP(E412,DIM_PECA!$A$2:$F$501,6,FALSE())</f>
        <v>901.29</v>
      </c>
      <c r="Q412" s="4" t="n">
        <f aca="false">VLOOKUP(E412,DIM_PECA!$A$2:$F$501,5,FALSE())</f>
        <v>643.09</v>
      </c>
      <c r="R412" s="4" t="n">
        <f aca="false">H412*P412</f>
        <v>3605.16</v>
      </c>
      <c r="S412" s="4" t="n">
        <f aca="false">O412*M412</f>
        <v>15617.03</v>
      </c>
      <c r="T412" s="4" t="n">
        <f aca="false">R412+S412</f>
        <v>19222.19</v>
      </c>
      <c r="U412" s="4" t="n">
        <f aca="false">T412-K412</f>
        <v>14197.3</v>
      </c>
      <c r="V412" s="4" t="n">
        <f aca="false">R412+S412-U412</f>
        <v>5024.89</v>
      </c>
      <c r="W412" s="5" t="str">
        <f aca="false">IF(ROUND(V412-K412,2)=0,"OK","ERRO")</f>
        <v>OK</v>
      </c>
      <c r="X412" s="5" t="str">
        <f aca="false">VLOOKUP(F412,DIM_SERVICO!$A$2:$D$151,3,FALSE())</f>
        <v>Motor</v>
      </c>
    </row>
    <row r="413" customFormat="false" ht="15" hidden="false" customHeight="false" outlineLevel="0" collapsed="false">
      <c r="A413" s="6" t="n">
        <v>412</v>
      </c>
      <c r="B413" s="6" t="n">
        <v>232</v>
      </c>
      <c r="C413" s="6" t="n">
        <v>517</v>
      </c>
      <c r="D413" s="6" t="n">
        <v>31</v>
      </c>
      <c r="E413" s="6" t="n">
        <v>468</v>
      </c>
      <c r="F413" s="6" t="n">
        <v>135</v>
      </c>
      <c r="G413" s="6" t="n">
        <v>5</v>
      </c>
      <c r="H413" s="6" t="n">
        <v>2</v>
      </c>
      <c r="I413" s="7" t="n">
        <v>177.58</v>
      </c>
      <c r="J413" s="7" t="n">
        <v>2099.01</v>
      </c>
      <c r="K413" s="7" t="n">
        <v>2474.83</v>
      </c>
      <c r="L413" s="7" t="n">
        <v>1229.55</v>
      </c>
      <c r="M413" s="6" t="n">
        <v>6.7</v>
      </c>
      <c r="N413" s="6" t="s">
        <v>26</v>
      </c>
      <c r="O413" s="8" t="n">
        <f aca="false">VLOOKUP(F413,DIM_SERVICO!$A$2:$D$151,4,FALSE())</f>
        <v>2099.01</v>
      </c>
      <c r="P413" s="8" t="n">
        <f aca="false">VLOOKUP(E413,DIM_PECA!$A$2:$F$501,6,FALSE())</f>
        <v>187.91</v>
      </c>
      <c r="Q413" s="8" t="n">
        <f aca="false">VLOOKUP(E413,DIM_PECA!$A$2:$F$501,5,FALSE())</f>
        <v>88.79</v>
      </c>
      <c r="R413" s="8" t="n">
        <f aca="false">H413*P413</f>
        <v>375.82</v>
      </c>
      <c r="S413" s="8" t="n">
        <f aca="false">O413*M413</f>
        <v>14063.367</v>
      </c>
      <c r="T413" s="8" t="n">
        <f aca="false">R413+S413</f>
        <v>14439.187</v>
      </c>
      <c r="U413" s="8" t="n">
        <f aca="false">T413-K413</f>
        <v>11964.357</v>
      </c>
      <c r="V413" s="8" t="n">
        <f aca="false">R413+S413-U413</f>
        <v>2474.83</v>
      </c>
      <c r="W413" s="9" t="str">
        <f aca="false">IF(ROUND(V413-K413,2)=0,"OK","ERRO")</f>
        <v>OK</v>
      </c>
      <c r="X413" s="9" t="str">
        <f aca="false">VLOOKUP(F413,DIM_SERVICO!$A$2:$D$151,3,FALSE())</f>
        <v>Motor</v>
      </c>
    </row>
    <row r="414" customFormat="false" ht="15" hidden="false" customHeight="false" outlineLevel="0" collapsed="false">
      <c r="A414" s="2" t="n">
        <v>413</v>
      </c>
      <c r="B414" s="2" t="n">
        <v>1329</v>
      </c>
      <c r="C414" s="2" t="n">
        <v>328</v>
      </c>
      <c r="D414" s="2" t="n">
        <v>306</v>
      </c>
      <c r="E414" s="2" t="n">
        <v>290</v>
      </c>
      <c r="F414" s="2" t="n">
        <v>12</v>
      </c>
      <c r="G414" s="2" t="n">
        <v>1766</v>
      </c>
      <c r="H414" s="2" t="n">
        <v>4</v>
      </c>
      <c r="I414" s="3" t="n">
        <v>2786.28</v>
      </c>
      <c r="J414" s="3" t="n">
        <v>1399.41</v>
      </c>
      <c r="K414" s="3" t="n">
        <v>5222.85</v>
      </c>
      <c r="L414" s="3" t="n">
        <v>1715</v>
      </c>
      <c r="M414" s="2" t="n">
        <v>7.6</v>
      </c>
      <c r="N414" s="2" t="s">
        <v>25</v>
      </c>
      <c r="O414" s="4" t="n">
        <f aca="false">VLOOKUP(F414,DIM_SERVICO!$A$2:$D$151,4,FALSE())</f>
        <v>1399.41</v>
      </c>
      <c r="P414" s="4" t="n">
        <f aca="false">VLOOKUP(E414,DIM_PECA!$A$2:$F$501,6,FALSE())</f>
        <v>955.86</v>
      </c>
      <c r="Q414" s="4" t="n">
        <f aca="false">VLOOKUP(E414,DIM_PECA!$A$2:$F$501,5,FALSE())</f>
        <v>696.57</v>
      </c>
      <c r="R414" s="4" t="n">
        <f aca="false">H414*P414</f>
        <v>3823.44</v>
      </c>
      <c r="S414" s="4" t="n">
        <f aca="false">O414*M414</f>
        <v>10635.516</v>
      </c>
      <c r="T414" s="4" t="n">
        <f aca="false">R414+S414</f>
        <v>14458.956</v>
      </c>
      <c r="U414" s="4" t="n">
        <f aca="false">T414-K414</f>
        <v>9236.106</v>
      </c>
      <c r="V414" s="4" t="n">
        <f aca="false">R414+S414-U414</f>
        <v>5222.85</v>
      </c>
      <c r="W414" s="5" t="str">
        <f aca="false">IF(ROUND(V414-K414,2)=0,"OK","ERRO")</f>
        <v>OK</v>
      </c>
      <c r="X414" s="5" t="str">
        <f aca="false">VLOOKUP(F414,DIM_SERVICO!$A$2:$D$151,3,FALSE())</f>
        <v>Revisão</v>
      </c>
    </row>
    <row r="415" customFormat="false" ht="15" hidden="false" customHeight="false" outlineLevel="0" collapsed="false">
      <c r="A415" s="6" t="n">
        <v>414</v>
      </c>
      <c r="B415" s="6" t="n">
        <v>650</v>
      </c>
      <c r="C415" s="6" t="n">
        <v>797</v>
      </c>
      <c r="D415" s="6" t="n">
        <v>591</v>
      </c>
      <c r="E415" s="6" t="n">
        <v>285</v>
      </c>
      <c r="F415" s="6" t="n">
        <v>76</v>
      </c>
      <c r="G415" s="6" t="n">
        <v>68</v>
      </c>
      <c r="H415" s="6" t="n">
        <v>2</v>
      </c>
      <c r="I415" s="7" t="n">
        <v>2149.08</v>
      </c>
      <c r="J415" s="7" t="n">
        <v>258.16</v>
      </c>
      <c r="K415" s="7" t="n">
        <v>3181.75</v>
      </c>
      <c r="L415" s="7" t="n">
        <v>913.14</v>
      </c>
      <c r="M415" s="6" t="n">
        <v>5.3</v>
      </c>
      <c r="N415" s="6" t="s">
        <v>24</v>
      </c>
      <c r="O415" s="8" t="n">
        <f aca="false">VLOOKUP(F415,DIM_SERVICO!$A$2:$D$151,4,FALSE())</f>
        <v>258.16</v>
      </c>
      <c r="P415" s="8" t="n">
        <f aca="false">VLOOKUP(E415,DIM_PECA!$A$2:$F$501,6,FALSE())</f>
        <v>1600.13</v>
      </c>
      <c r="Q415" s="8" t="n">
        <f aca="false">VLOOKUP(E415,DIM_PECA!$A$2:$F$501,5,FALSE())</f>
        <v>1074.54</v>
      </c>
      <c r="R415" s="8" t="n">
        <f aca="false">H415*P415</f>
        <v>3200.26</v>
      </c>
      <c r="S415" s="8" t="n">
        <f aca="false">O415*M415</f>
        <v>1368.248</v>
      </c>
      <c r="T415" s="8" t="n">
        <f aca="false">R415+S415</f>
        <v>4568.508</v>
      </c>
      <c r="U415" s="8" t="n">
        <f aca="false">T415-K415</f>
        <v>1386.758</v>
      </c>
      <c r="V415" s="8" t="n">
        <f aca="false">R415+S415-U415</f>
        <v>3181.75</v>
      </c>
      <c r="W415" s="9" t="str">
        <f aca="false">IF(ROUND(V415-K415,2)=0,"OK","ERRO")</f>
        <v>OK</v>
      </c>
      <c r="X415" s="9" t="str">
        <f aca="false">VLOOKUP(F415,DIM_SERVICO!$A$2:$D$151,3,FALSE())</f>
        <v>Diagnóstico</v>
      </c>
    </row>
    <row r="416" customFormat="false" ht="15" hidden="false" customHeight="false" outlineLevel="0" collapsed="false">
      <c r="A416" s="2" t="n">
        <v>415</v>
      </c>
      <c r="B416" s="2" t="n">
        <v>1302</v>
      </c>
      <c r="C416" s="2" t="n">
        <v>660</v>
      </c>
      <c r="D416" s="2" t="n">
        <v>219</v>
      </c>
      <c r="E416" s="2" t="n">
        <v>421</v>
      </c>
      <c r="F416" s="2" t="n">
        <v>107</v>
      </c>
      <c r="G416" s="2" t="n">
        <v>1311</v>
      </c>
      <c r="H416" s="2" t="n">
        <v>3</v>
      </c>
      <c r="I416" s="3" t="n">
        <v>3281.79</v>
      </c>
      <c r="J416" s="3" t="n">
        <v>550.68</v>
      </c>
      <c r="K416" s="3" t="n">
        <v>4843.43</v>
      </c>
      <c r="L416" s="3" t="n">
        <v>1319.05</v>
      </c>
      <c r="M416" s="2" t="n">
        <v>6.5</v>
      </c>
      <c r="N416" s="2" t="s">
        <v>24</v>
      </c>
      <c r="O416" s="4" t="n">
        <f aca="false">VLOOKUP(F416,DIM_SERVICO!$A$2:$D$151,4,FALSE())</f>
        <v>550.68</v>
      </c>
      <c r="P416" s="4" t="n">
        <f aca="false">VLOOKUP(E416,DIM_PECA!$A$2:$F$501,6,FALSE())</f>
        <v>1515.89</v>
      </c>
      <c r="Q416" s="4" t="n">
        <f aca="false">VLOOKUP(E416,DIM_PECA!$A$2:$F$501,5,FALSE())</f>
        <v>1093.93</v>
      </c>
      <c r="R416" s="4" t="n">
        <f aca="false">H416*P416</f>
        <v>4547.67</v>
      </c>
      <c r="S416" s="4" t="n">
        <f aca="false">O416*M416</f>
        <v>3579.42</v>
      </c>
      <c r="T416" s="4" t="n">
        <f aca="false">R416+S416</f>
        <v>8127.09</v>
      </c>
      <c r="U416" s="4" t="n">
        <f aca="false">T416-K416</f>
        <v>3283.66</v>
      </c>
      <c r="V416" s="4" t="n">
        <f aca="false">R416+S416-U416</f>
        <v>4843.43</v>
      </c>
      <c r="W416" s="5" t="str">
        <f aca="false">IF(ROUND(V416-K416,2)=0,"OK","ERRO")</f>
        <v>OK</v>
      </c>
      <c r="X416" s="5" t="str">
        <f aca="false">VLOOKUP(F416,DIM_SERVICO!$A$2:$D$151,3,FALSE())</f>
        <v>Diagnóstico</v>
      </c>
    </row>
    <row r="417" customFormat="false" ht="15" hidden="false" customHeight="false" outlineLevel="0" collapsed="false">
      <c r="A417" s="6" t="n">
        <v>416</v>
      </c>
      <c r="B417" s="6" t="n">
        <v>1124</v>
      </c>
      <c r="C417" s="6" t="n">
        <v>346</v>
      </c>
      <c r="D417" s="6" t="n">
        <v>433</v>
      </c>
      <c r="E417" s="6" t="n">
        <v>282</v>
      </c>
      <c r="F417" s="6" t="n">
        <v>99</v>
      </c>
      <c r="G417" s="6" t="n">
        <v>656</v>
      </c>
      <c r="H417" s="6" t="n">
        <v>4</v>
      </c>
      <c r="I417" s="7" t="n">
        <v>2152.88</v>
      </c>
      <c r="J417" s="7" t="n">
        <v>563.92</v>
      </c>
      <c r="K417" s="7" t="n">
        <v>4946.6</v>
      </c>
      <c r="L417" s="7" t="n">
        <v>2484.61</v>
      </c>
      <c r="M417" s="6" t="n">
        <v>11.9</v>
      </c>
      <c r="N417" s="6" t="s">
        <v>24</v>
      </c>
      <c r="O417" s="8" t="n">
        <f aca="false">VLOOKUP(F417,DIM_SERVICO!$A$2:$D$151,4,FALSE())</f>
        <v>563.92</v>
      </c>
      <c r="P417" s="8" t="n">
        <f aca="false">VLOOKUP(E417,DIM_PECA!$A$2:$F$501,6,FALSE())</f>
        <v>1095.67</v>
      </c>
      <c r="Q417" s="8" t="n">
        <f aca="false">VLOOKUP(E417,DIM_PECA!$A$2:$F$501,5,FALSE())</f>
        <v>538.22</v>
      </c>
      <c r="R417" s="8" t="n">
        <f aca="false">H417*P417</f>
        <v>4382.68</v>
      </c>
      <c r="S417" s="8" t="n">
        <f aca="false">O417*M417</f>
        <v>6710.648</v>
      </c>
      <c r="T417" s="8" t="n">
        <f aca="false">R417+S417</f>
        <v>11093.328</v>
      </c>
      <c r="U417" s="8" t="n">
        <f aca="false">T417-K417</f>
        <v>6146.728</v>
      </c>
      <c r="V417" s="8" t="n">
        <f aca="false">R417+S417-U417</f>
        <v>4946.6</v>
      </c>
      <c r="W417" s="9" t="str">
        <f aca="false">IF(ROUND(V417-K417,2)=0,"OK","ERRO")</f>
        <v>OK</v>
      </c>
      <c r="X417" s="9" t="str">
        <f aca="false">VLOOKUP(F417,DIM_SERVICO!$A$2:$D$151,3,FALSE())</f>
        <v>Funilaria</v>
      </c>
    </row>
    <row r="418" customFormat="false" ht="15" hidden="false" customHeight="false" outlineLevel="0" collapsed="false">
      <c r="A418" s="2" t="n">
        <v>417</v>
      </c>
      <c r="B418" s="2" t="n">
        <v>807</v>
      </c>
      <c r="C418" s="2" t="n">
        <v>1136</v>
      </c>
      <c r="D418" s="2" t="n">
        <v>16</v>
      </c>
      <c r="E418" s="2" t="n">
        <v>187</v>
      </c>
      <c r="F418" s="2" t="n">
        <v>149</v>
      </c>
      <c r="G418" s="2" t="n">
        <v>1114</v>
      </c>
      <c r="H418" s="2" t="n">
        <v>1</v>
      </c>
      <c r="I418" s="3" t="n">
        <v>1117.62</v>
      </c>
      <c r="J418" s="3" t="n">
        <v>142.63</v>
      </c>
      <c r="K418" s="3" t="n">
        <v>2156.57</v>
      </c>
      <c r="L418" s="3" t="n">
        <v>964.25</v>
      </c>
      <c r="M418" s="2" t="n">
        <v>6.5</v>
      </c>
      <c r="N418" s="2" t="s">
        <v>26</v>
      </c>
      <c r="O418" s="4" t="n">
        <f aca="false">VLOOKUP(F418,DIM_SERVICO!$A$2:$D$151,4,FALSE())</f>
        <v>142.63</v>
      </c>
      <c r="P418" s="4" t="n">
        <f aca="false">VLOOKUP(E418,DIM_PECA!$A$2:$F$501,6,FALSE())</f>
        <v>2201.47</v>
      </c>
      <c r="Q418" s="4" t="n">
        <f aca="false">VLOOKUP(E418,DIM_PECA!$A$2:$F$501,5,FALSE())</f>
        <v>1117.62</v>
      </c>
      <c r="R418" s="4" t="n">
        <f aca="false">H418*P418</f>
        <v>2201.47</v>
      </c>
      <c r="S418" s="4" t="n">
        <f aca="false">O418*M418</f>
        <v>927.095</v>
      </c>
      <c r="T418" s="4" t="n">
        <f aca="false">R418+S418</f>
        <v>3128.565</v>
      </c>
      <c r="U418" s="4" t="n">
        <f aca="false">T418-K418</f>
        <v>971.994999999999</v>
      </c>
      <c r="V418" s="4" t="n">
        <f aca="false">R418+S418-U418</f>
        <v>2156.57</v>
      </c>
      <c r="W418" s="5" t="str">
        <f aca="false">IF(ROUND(V418-K418,2)=0,"OK","ERRO")</f>
        <v>OK</v>
      </c>
      <c r="X418" s="5" t="str">
        <f aca="false">VLOOKUP(F418,DIM_SERVICO!$A$2:$D$151,3,FALSE())</f>
        <v>Motor</v>
      </c>
    </row>
    <row r="419" customFormat="false" ht="15" hidden="false" customHeight="false" outlineLevel="0" collapsed="false">
      <c r="A419" s="6" t="n">
        <v>418</v>
      </c>
      <c r="B419" s="6" t="n">
        <v>844</v>
      </c>
      <c r="C419" s="6" t="n">
        <v>1130</v>
      </c>
      <c r="D419" s="6" t="n">
        <v>918</v>
      </c>
      <c r="E419" s="6" t="n">
        <v>7</v>
      </c>
      <c r="F419" s="6" t="n">
        <v>2</v>
      </c>
      <c r="G419" s="6" t="n">
        <v>1432</v>
      </c>
      <c r="H419" s="6" t="n">
        <v>2</v>
      </c>
      <c r="I419" s="7" t="n">
        <v>1452.36</v>
      </c>
      <c r="J419" s="7" t="n">
        <v>1072.4</v>
      </c>
      <c r="K419" s="7" t="n">
        <v>3594.2</v>
      </c>
      <c r="L419" s="7" t="n">
        <v>1766.4</v>
      </c>
      <c r="M419" s="6" t="n">
        <v>5.7</v>
      </c>
      <c r="N419" s="6" t="s">
        <v>24</v>
      </c>
      <c r="O419" s="8" t="n">
        <f aca="false">VLOOKUP(F419,DIM_SERVICO!$A$2:$D$151,4,FALSE())</f>
        <v>1072.4</v>
      </c>
      <c r="P419" s="8" t="n">
        <f aca="false">VLOOKUP(E419,DIM_PECA!$A$2:$F$501,6,FALSE())</f>
        <v>1260.9</v>
      </c>
      <c r="Q419" s="8" t="n">
        <f aca="false">VLOOKUP(E419,DIM_PECA!$A$2:$F$501,5,FALSE())</f>
        <v>726.18</v>
      </c>
      <c r="R419" s="8" t="n">
        <f aca="false">H419*P419</f>
        <v>2521.8</v>
      </c>
      <c r="S419" s="8" t="n">
        <f aca="false">O419*M419</f>
        <v>6112.68</v>
      </c>
      <c r="T419" s="8" t="n">
        <f aca="false">R419+S419</f>
        <v>8634.48</v>
      </c>
      <c r="U419" s="8" t="n">
        <f aca="false">T419-K419</f>
        <v>5040.28</v>
      </c>
      <c r="V419" s="8" t="n">
        <f aca="false">R419+S419-U419</f>
        <v>3594.2</v>
      </c>
      <c r="W419" s="9" t="str">
        <f aca="false">IF(ROUND(V419-K419,2)=0,"OK","ERRO")</f>
        <v>OK</v>
      </c>
      <c r="X419" s="9" t="str">
        <f aca="false">VLOOKUP(F419,DIM_SERVICO!$A$2:$D$151,3,FALSE())</f>
        <v>Suspensão</v>
      </c>
    </row>
    <row r="420" customFormat="false" ht="15" hidden="false" customHeight="false" outlineLevel="0" collapsed="false">
      <c r="A420" s="2" t="n">
        <v>419</v>
      </c>
      <c r="B420" s="2" t="n">
        <v>171</v>
      </c>
      <c r="C420" s="2" t="n">
        <v>315</v>
      </c>
      <c r="D420" s="2" t="n">
        <v>983</v>
      </c>
      <c r="E420" s="2" t="n">
        <v>498</v>
      </c>
      <c r="F420" s="2" t="n">
        <v>102</v>
      </c>
      <c r="G420" s="2" t="n">
        <v>1773</v>
      </c>
      <c r="H420" s="2" t="n">
        <v>4</v>
      </c>
      <c r="I420" s="3" t="n">
        <v>171.88</v>
      </c>
      <c r="J420" s="3" t="n">
        <v>352.9</v>
      </c>
      <c r="K420" s="3" t="n">
        <v>652.22</v>
      </c>
      <c r="L420" s="3" t="n">
        <v>345.51</v>
      </c>
      <c r="M420" s="2" t="n">
        <v>8</v>
      </c>
      <c r="N420" s="2" t="s">
        <v>27</v>
      </c>
      <c r="O420" s="4" t="n">
        <f aca="false">VLOOKUP(F420,DIM_SERVICO!$A$2:$D$151,4,FALSE())</f>
        <v>352.9</v>
      </c>
      <c r="P420" s="4" t="n">
        <f aca="false">VLOOKUP(E420,DIM_PECA!$A$2:$F$501,6,FALSE())</f>
        <v>89.01</v>
      </c>
      <c r="Q420" s="4" t="n">
        <f aca="false">VLOOKUP(E420,DIM_PECA!$A$2:$F$501,5,FALSE())</f>
        <v>42.97</v>
      </c>
      <c r="R420" s="4" t="n">
        <f aca="false">H420*P420</f>
        <v>356.04</v>
      </c>
      <c r="S420" s="4" t="n">
        <f aca="false">O420*M420</f>
        <v>2823.2</v>
      </c>
      <c r="T420" s="4" t="n">
        <f aca="false">R420+S420</f>
        <v>3179.24</v>
      </c>
      <c r="U420" s="4" t="n">
        <f aca="false">T420-K420</f>
        <v>2527.02</v>
      </c>
      <c r="V420" s="4" t="n">
        <f aca="false">R420+S420-U420</f>
        <v>652.22</v>
      </c>
      <c r="W420" s="5" t="str">
        <f aca="false">IF(ROUND(V420-K420,2)=0,"OK","ERRO")</f>
        <v>OK</v>
      </c>
      <c r="X420" s="5" t="str">
        <f aca="false">VLOOKUP(F420,DIM_SERVICO!$A$2:$D$151,3,FALSE())</f>
        <v>Motor</v>
      </c>
    </row>
    <row r="421" customFormat="false" ht="15" hidden="false" customHeight="false" outlineLevel="0" collapsed="false">
      <c r="A421" s="6" t="n">
        <v>420</v>
      </c>
      <c r="B421" s="6" t="n">
        <v>1250</v>
      </c>
      <c r="C421" s="6" t="n">
        <v>1285</v>
      </c>
      <c r="D421" s="6" t="n">
        <v>282</v>
      </c>
      <c r="E421" s="6" t="n">
        <v>27</v>
      </c>
      <c r="F421" s="6" t="n">
        <v>49</v>
      </c>
      <c r="G421" s="6" t="n">
        <v>21</v>
      </c>
      <c r="H421" s="6" t="n">
        <v>4</v>
      </c>
      <c r="I421" s="7" t="n">
        <v>4500.8</v>
      </c>
      <c r="J421" s="7" t="n">
        <v>1883.63</v>
      </c>
      <c r="K421" s="7" t="n">
        <v>8843.83</v>
      </c>
      <c r="L421" s="7" t="n">
        <v>3660.62</v>
      </c>
      <c r="M421" s="6" t="n">
        <v>6.7</v>
      </c>
      <c r="N421" s="6" t="s">
        <v>26</v>
      </c>
      <c r="O421" s="8" t="n">
        <f aca="false">VLOOKUP(F421,DIM_SERVICO!$A$2:$D$151,4,FALSE())</f>
        <v>1883.63</v>
      </c>
      <c r="P421" s="8" t="n">
        <f aca="false">VLOOKUP(E421,DIM_PECA!$A$2:$F$501,6,FALSE())</f>
        <v>1740.05</v>
      </c>
      <c r="Q421" s="8" t="n">
        <f aca="false">VLOOKUP(E421,DIM_PECA!$A$2:$F$501,5,FALSE())</f>
        <v>1125.2</v>
      </c>
      <c r="R421" s="8" t="n">
        <f aca="false">H421*P421</f>
        <v>6960.2</v>
      </c>
      <c r="S421" s="8" t="n">
        <f aca="false">O421*M421</f>
        <v>12620.321</v>
      </c>
      <c r="T421" s="8" t="n">
        <f aca="false">R421+S421</f>
        <v>19580.521</v>
      </c>
      <c r="U421" s="8" t="n">
        <f aca="false">T421-K421</f>
        <v>10736.691</v>
      </c>
      <c r="V421" s="8" t="n">
        <f aca="false">R421+S421-U421</f>
        <v>8843.83</v>
      </c>
      <c r="W421" s="9" t="str">
        <f aca="false">IF(ROUND(V421-K421,2)=0,"OK","ERRO")</f>
        <v>OK</v>
      </c>
      <c r="X421" s="9" t="str">
        <f aca="false">VLOOKUP(F421,DIM_SERVICO!$A$2:$D$151,3,FALSE())</f>
        <v>Suspensão</v>
      </c>
    </row>
    <row r="422" customFormat="false" ht="15" hidden="false" customHeight="false" outlineLevel="0" collapsed="false">
      <c r="A422" s="2" t="n">
        <v>421</v>
      </c>
      <c r="B422" s="2" t="n">
        <v>348</v>
      </c>
      <c r="C422" s="2" t="n">
        <v>869</v>
      </c>
      <c r="D422" s="2" t="n">
        <v>1025</v>
      </c>
      <c r="E422" s="2" t="n">
        <v>378</v>
      </c>
      <c r="F422" s="2" t="n">
        <v>44</v>
      </c>
      <c r="G422" s="2" t="n">
        <v>341</v>
      </c>
      <c r="H422" s="2" t="n">
        <v>2</v>
      </c>
      <c r="I422" s="3" t="n">
        <v>893.66</v>
      </c>
      <c r="J422" s="3" t="n">
        <v>1855.21</v>
      </c>
      <c r="K422" s="3" t="n">
        <v>3117.21</v>
      </c>
      <c r="L422" s="3" t="n">
        <v>1311.68</v>
      </c>
      <c r="M422" s="2" t="n">
        <v>4.9</v>
      </c>
      <c r="N422" s="2" t="s">
        <v>24</v>
      </c>
      <c r="O422" s="4" t="n">
        <f aca="false">VLOOKUP(F422,DIM_SERVICO!$A$2:$D$151,4,FALSE())</f>
        <v>1855.21</v>
      </c>
      <c r="P422" s="4" t="n">
        <f aca="false">VLOOKUP(E422,DIM_PECA!$A$2:$F$501,6,FALSE())</f>
        <v>804.18</v>
      </c>
      <c r="Q422" s="4" t="n">
        <f aca="false">VLOOKUP(E422,DIM_PECA!$A$2:$F$501,5,FALSE())</f>
        <v>446.83</v>
      </c>
      <c r="R422" s="4" t="n">
        <f aca="false">H422*P422</f>
        <v>1608.36</v>
      </c>
      <c r="S422" s="4" t="n">
        <f aca="false">O422*M422</f>
        <v>9090.529</v>
      </c>
      <c r="T422" s="4" t="n">
        <f aca="false">R422+S422</f>
        <v>10698.889</v>
      </c>
      <c r="U422" s="4" t="n">
        <f aca="false">T422-K422</f>
        <v>7581.679</v>
      </c>
      <c r="V422" s="4" t="n">
        <f aca="false">R422+S422-U422</f>
        <v>3117.21</v>
      </c>
      <c r="W422" s="5" t="str">
        <f aca="false">IF(ROUND(V422-K422,2)=0,"OK","ERRO")</f>
        <v>OK</v>
      </c>
      <c r="X422" s="5" t="str">
        <f aca="false">VLOOKUP(F422,DIM_SERVICO!$A$2:$D$151,3,FALSE())</f>
        <v>Funilaria</v>
      </c>
    </row>
    <row r="423" customFormat="false" ht="15" hidden="false" customHeight="false" outlineLevel="0" collapsed="false">
      <c r="A423" s="6" t="n">
        <v>422</v>
      </c>
      <c r="B423" s="6" t="n">
        <v>1408</v>
      </c>
      <c r="C423" s="6" t="n">
        <v>1327</v>
      </c>
      <c r="D423" s="6" t="n">
        <v>723</v>
      </c>
      <c r="E423" s="6" t="n">
        <v>86</v>
      </c>
      <c r="F423" s="6" t="n">
        <v>29</v>
      </c>
      <c r="G423" s="6" t="n">
        <v>751</v>
      </c>
      <c r="H423" s="6" t="n">
        <v>3</v>
      </c>
      <c r="I423" s="7" t="n">
        <v>2277.24</v>
      </c>
      <c r="J423" s="7" t="n">
        <v>223.62</v>
      </c>
      <c r="K423" s="7" t="n">
        <v>3952.02</v>
      </c>
      <c r="L423" s="7" t="n">
        <v>1580.93</v>
      </c>
      <c r="M423" s="6" t="n">
        <v>1.3</v>
      </c>
      <c r="N423" s="6" t="s">
        <v>27</v>
      </c>
      <c r="O423" s="8" t="n">
        <f aca="false">VLOOKUP(F423,DIM_SERVICO!$A$2:$D$151,4,FALSE())</f>
        <v>223.62</v>
      </c>
      <c r="P423" s="8" t="n">
        <f aca="false">VLOOKUP(E423,DIM_PECA!$A$2:$F$501,6,FALSE())</f>
        <v>1242.8</v>
      </c>
      <c r="Q423" s="8" t="n">
        <f aca="false">VLOOKUP(E423,DIM_PECA!$A$2:$F$501,5,FALSE())</f>
        <v>759.08</v>
      </c>
      <c r="R423" s="8" t="n">
        <f aca="false">H423*P423</f>
        <v>3728.4</v>
      </c>
      <c r="S423" s="8" t="n">
        <f aca="false">O423*M423</f>
        <v>290.706</v>
      </c>
      <c r="T423" s="8" t="n">
        <f aca="false">R423+S423</f>
        <v>4019.106</v>
      </c>
      <c r="U423" s="8" t="n">
        <f aca="false">T423-K423</f>
        <v>67.0859999999998</v>
      </c>
      <c r="V423" s="8" t="n">
        <f aca="false">R423+S423-U423</f>
        <v>3952.02</v>
      </c>
      <c r="W423" s="9" t="str">
        <f aca="false">IF(ROUND(V423-K423,2)=0,"OK","ERRO")</f>
        <v>OK</v>
      </c>
      <c r="X423" s="9" t="str">
        <f aca="false">VLOOKUP(F423,DIM_SERVICO!$A$2:$D$151,3,FALSE())</f>
        <v>Diagnóstico</v>
      </c>
    </row>
    <row r="424" customFormat="false" ht="15" hidden="false" customHeight="false" outlineLevel="0" collapsed="false">
      <c r="A424" s="2" t="n">
        <v>423</v>
      </c>
      <c r="B424" s="2" t="n">
        <v>330</v>
      </c>
      <c r="C424" s="2" t="n">
        <v>1185</v>
      </c>
      <c r="D424" s="2" t="n">
        <v>1002</v>
      </c>
      <c r="E424" s="2" t="n">
        <v>31</v>
      </c>
      <c r="F424" s="2" t="n">
        <v>115</v>
      </c>
      <c r="G424" s="2" t="n">
        <v>6</v>
      </c>
      <c r="H424" s="2" t="n">
        <v>2</v>
      </c>
      <c r="I424" s="3" t="n">
        <v>779.96</v>
      </c>
      <c r="J424" s="3" t="n">
        <v>1374.43</v>
      </c>
      <c r="K424" s="3" t="n">
        <v>2977.37</v>
      </c>
      <c r="L424" s="3" t="n">
        <v>1514.63</v>
      </c>
      <c r="M424" s="2" t="n">
        <v>8.1</v>
      </c>
      <c r="N424" s="2" t="s">
        <v>25</v>
      </c>
      <c r="O424" s="4" t="n">
        <f aca="false">VLOOKUP(F424,DIM_SERVICO!$A$2:$D$151,4,FALSE())</f>
        <v>1374.43</v>
      </c>
      <c r="P424" s="4" t="n">
        <f aca="false">VLOOKUP(E424,DIM_PECA!$A$2:$F$501,6,FALSE())</f>
        <v>831.85</v>
      </c>
      <c r="Q424" s="4" t="n">
        <f aca="false">VLOOKUP(E424,DIM_PECA!$A$2:$F$501,5,FALSE())</f>
        <v>389.98</v>
      </c>
      <c r="R424" s="4" t="n">
        <f aca="false">H424*P424</f>
        <v>1663.7</v>
      </c>
      <c r="S424" s="4" t="n">
        <f aca="false">O424*M424</f>
        <v>11132.883</v>
      </c>
      <c r="T424" s="4" t="n">
        <f aca="false">R424+S424</f>
        <v>12796.583</v>
      </c>
      <c r="U424" s="4" t="n">
        <f aca="false">T424-K424</f>
        <v>9819.213</v>
      </c>
      <c r="V424" s="4" t="n">
        <f aca="false">R424+S424-U424</f>
        <v>2977.37</v>
      </c>
      <c r="W424" s="5" t="str">
        <f aca="false">IF(ROUND(V424-K424,2)=0,"OK","ERRO")</f>
        <v>OK</v>
      </c>
      <c r="X424" s="5" t="str">
        <f aca="false">VLOOKUP(F424,DIM_SERVICO!$A$2:$D$151,3,FALSE())</f>
        <v>Suspensão</v>
      </c>
    </row>
    <row r="425" customFormat="false" ht="15" hidden="false" customHeight="false" outlineLevel="0" collapsed="false">
      <c r="A425" s="6" t="n">
        <v>424</v>
      </c>
      <c r="B425" s="6" t="n">
        <v>818</v>
      </c>
      <c r="C425" s="6" t="n">
        <v>1423</v>
      </c>
      <c r="D425" s="6" t="n">
        <v>1070</v>
      </c>
      <c r="E425" s="6" t="n">
        <v>158</v>
      </c>
      <c r="F425" s="6" t="n">
        <v>40</v>
      </c>
      <c r="G425" s="6" t="n">
        <v>1357</v>
      </c>
      <c r="H425" s="6" t="n">
        <v>4</v>
      </c>
      <c r="I425" s="7" t="n">
        <v>4176.48</v>
      </c>
      <c r="J425" s="7" t="n">
        <v>1973.77</v>
      </c>
      <c r="K425" s="7" t="n">
        <v>9049.81</v>
      </c>
      <c r="L425" s="7" t="n">
        <v>4051.4</v>
      </c>
      <c r="M425" s="6" t="n">
        <v>10.3</v>
      </c>
      <c r="N425" s="6" t="s">
        <v>26</v>
      </c>
      <c r="O425" s="8" t="n">
        <f aca="false">VLOOKUP(F425,DIM_SERVICO!$A$2:$D$151,4,FALSE())</f>
        <v>1973.77</v>
      </c>
      <c r="P425" s="8" t="n">
        <f aca="false">VLOOKUP(E425,DIM_PECA!$A$2:$F$501,6,FALSE())</f>
        <v>1769.01</v>
      </c>
      <c r="Q425" s="8" t="n">
        <f aca="false">VLOOKUP(E425,DIM_PECA!$A$2:$F$501,5,FALSE())</f>
        <v>1044.12</v>
      </c>
      <c r="R425" s="8" t="n">
        <f aca="false">H425*P425</f>
        <v>7076.04</v>
      </c>
      <c r="S425" s="8" t="n">
        <f aca="false">O425*M425</f>
        <v>20329.831</v>
      </c>
      <c r="T425" s="8" t="n">
        <f aca="false">R425+S425</f>
        <v>27405.871</v>
      </c>
      <c r="U425" s="8" t="n">
        <f aca="false">T425-K425</f>
        <v>18356.061</v>
      </c>
      <c r="V425" s="8" t="n">
        <f aca="false">R425+S425-U425</f>
        <v>9049.81</v>
      </c>
      <c r="W425" s="9" t="str">
        <f aca="false">IF(ROUND(V425-K425,2)=0,"OK","ERRO")</f>
        <v>OK</v>
      </c>
      <c r="X425" s="9" t="str">
        <f aca="false">VLOOKUP(F425,DIM_SERVICO!$A$2:$D$151,3,FALSE())</f>
        <v>Elétrica</v>
      </c>
    </row>
    <row r="426" customFormat="false" ht="15" hidden="false" customHeight="false" outlineLevel="0" collapsed="false">
      <c r="A426" s="2" t="n">
        <v>425</v>
      </c>
      <c r="B426" s="2" t="n">
        <v>705</v>
      </c>
      <c r="C426" s="2" t="n">
        <v>628</v>
      </c>
      <c r="D426" s="2" t="n">
        <v>1050</v>
      </c>
      <c r="E426" s="2" t="n">
        <v>86</v>
      </c>
      <c r="F426" s="2" t="n">
        <v>100</v>
      </c>
      <c r="G426" s="2" t="n">
        <v>411</v>
      </c>
      <c r="H426" s="2" t="n">
        <v>4</v>
      </c>
      <c r="I426" s="3" t="n">
        <v>3036.32</v>
      </c>
      <c r="J426" s="3" t="n">
        <v>2148.55</v>
      </c>
      <c r="K426" s="3" t="n">
        <v>6550.17</v>
      </c>
      <c r="L426" s="3" t="n">
        <v>2480.39</v>
      </c>
      <c r="M426" s="2" t="n">
        <v>4.2</v>
      </c>
      <c r="N426" s="2" t="s">
        <v>25</v>
      </c>
      <c r="O426" s="4" t="n">
        <f aca="false">VLOOKUP(F426,DIM_SERVICO!$A$2:$D$151,4,FALSE())</f>
        <v>2148.55</v>
      </c>
      <c r="P426" s="4" t="n">
        <f aca="false">VLOOKUP(E426,DIM_PECA!$A$2:$F$501,6,FALSE())</f>
        <v>1242.8</v>
      </c>
      <c r="Q426" s="4" t="n">
        <f aca="false">VLOOKUP(E426,DIM_PECA!$A$2:$F$501,5,FALSE())</f>
        <v>759.08</v>
      </c>
      <c r="R426" s="4" t="n">
        <f aca="false">H426*P426</f>
        <v>4971.2</v>
      </c>
      <c r="S426" s="4" t="n">
        <f aca="false">O426*M426</f>
        <v>9023.91</v>
      </c>
      <c r="T426" s="4" t="n">
        <f aca="false">R426+S426</f>
        <v>13995.11</v>
      </c>
      <c r="U426" s="4" t="n">
        <f aca="false">T426-K426</f>
        <v>7444.94</v>
      </c>
      <c r="V426" s="4" t="n">
        <f aca="false">R426+S426-U426</f>
        <v>6550.17</v>
      </c>
      <c r="W426" s="5" t="str">
        <f aca="false">IF(ROUND(V426-K426,2)=0,"OK","ERRO")</f>
        <v>OK</v>
      </c>
      <c r="X426" s="5" t="str">
        <f aca="false">VLOOKUP(F426,DIM_SERVICO!$A$2:$D$151,3,FALSE())</f>
        <v>Motor</v>
      </c>
    </row>
    <row r="427" customFormat="false" ht="15" hidden="false" customHeight="false" outlineLevel="0" collapsed="false">
      <c r="A427" s="6" t="n">
        <v>426</v>
      </c>
      <c r="B427" s="6" t="n">
        <v>499</v>
      </c>
      <c r="C427" s="6" t="n">
        <v>1248</v>
      </c>
      <c r="D427" s="6" t="n">
        <v>154</v>
      </c>
      <c r="E427" s="6" t="n">
        <v>28</v>
      </c>
      <c r="F427" s="6" t="n">
        <v>37</v>
      </c>
      <c r="G427" s="6" t="n">
        <v>1580</v>
      </c>
      <c r="H427" s="6" t="n">
        <v>2</v>
      </c>
      <c r="I427" s="7" t="n">
        <v>724.02</v>
      </c>
      <c r="J427" s="7" t="n">
        <v>388.25</v>
      </c>
      <c r="K427" s="7" t="n">
        <v>1922.09</v>
      </c>
      <c r="L427" s="7" t="n">
        <v>1034.27</v>
      </c>
      <c r="M427" s="6" t="n">
        <v>6.5</v>
      </c>
      <c r="N427" s="6" t="s">
        <v>26</v>
      </c>
      <c r="O427" s="8" t="n">
        <f aca="false">VLOOKUP(F427,DIM_SERVICO!$A$2:$D$151,4,FALSE())</f>
        <v>388.25</v>
      </c>
      <c r="P427" s="8" t="n">
        <f aca="false">VLOOKUP(E427,DIM_PECA!$A$2:$F$501,6,FALSE())</f>
        <v>766.92</v>
      </c>
      <c r="Q427" s="8" t="n">
        <f aca="false">VLOOKUP(E427,DIM_PECA!$A$2:$F$501,5,FALSE())</f>
        <v>362.01</v>
      </c>
      <c r="R427" s="8" t="n">
        <f aca="false">H427*P427</f>
        <v>1533.84</v>
      </c>
      <c r="S427" s="8" t="n">
        <f aca="false">O427*M427</f>
        <v>2523.625</v>
      </c>
      <c r="T427" s="8" t="n">
        <f aca="false">R427+S427</f>
        <v>4057.465</v>
      </c>
      <c r="U427" s="8" t="n">
        <f aca="false">T427-K427</f>
        <v>2135.375</v>
      </c>
      <c r="V427" s="8" t="n">
        <f aca="false">R427+S427-U427</f>
        <v>1922.09</v>
      </c>
      <c r="W427" s="9" t="str">
        <f aca="false">IF(ROUND(V427-K427,2)=0,"OK","ERRO")</f>
        <v>OK</v>
      </c>
      <c r="X427" s="9" t="str">
        <f aca="false">VLOOKUP(F427,DIM_SERVICO!$A$2:$D$151,3,FALSE())</f>
        <v>Freios</v>
      </c>
    </row>
    <row r="428" customFormat="false" ht="15" hidden="false" customHeight="false" outlineLevel="0" collapsed="false">
      <c r="A428" s="2" t="n">
        <v>427</v>
      </c>
      <c r="B428" s="2" t="n">
        <v>716</v>
      </c>
      <c r="C428" s="2" t="n">
        <v>714</v>
      </c>
      <c r="D428" s="2" t="n">
        <v>828</v>
      </c>
      <c r="E428" s="2" t="n">
        <v>433</v>
      </c>
      <c r="F428" s="2" t="n">
        <v>39</v>
      </c>
      <c r="G428" s="2" t="n">
        <v>1056</v>
      </c>
      <c r="H428" s="2" t="n">
        <v>2</v>
      </c>
      <c r="I428" s="3" t="n">
        <v>1606.72</v>
      </c>
      <c r="J428" s="3" t="n">
        <v>1270.92</v>
      </c>
      <c r="K428" s="3" t="n">
        <v>3598.96</v>
      </c>
      <c r="L428" s="3" t="n">
        <v>1445.74</v>
      </c>
      <c r="M428" s="2" t="n">
        <v>7.9</v>
      </c>
      <c r="N428" s="2" t="s">
        <v>24</v>
      </c>
      <c r="O428" s="4" t="n">
        <f aca="false">VLOOKUP(F428,DIM_SERVICO!$A$2:$D$151,4,FALSE())</f>
        <v>1270.92</v>
      </c>
      <c r="P428" s="4" t="n">
        <f aca="false">VLOOKUP(E428,DIM_PECA!$A$2:$F$501,6,FALSE())</f>
        <v>1164.02</v>
      </c>
      <c r="Q428" s="4" t="n">
        <f aca="false">VLOOKUP(E428,DIM_PECA!$A$2:$F$501,5,FALSE())</f>
        <v>803.36</v>
      </c>
      <c r="R428" s="4" t="n">
        <f aca="false">H428*P428</f>
        <v>2328.04</v>
      </c>
      <c r="S428" s="4" t="n">
        <f aca="false">O428*M428</f>
        <v>10040.268</v>
      </c>
      <c r="T428" s="4" t="n">
        <f aca="false">R428+S428</f>
        <v>12368.308</v>
      </c>
      <c r="U428" s="4" t="n">
        <f aca="false">T428-K428</f>
        <v>8769.348</v>
      </c>
      <c r="V428" s="4" t="n">
        <f aca="false">R428+S428-U428</f>
        <v>3598.96</v>
      </c>
      <c r="W428" s="5" t="str">
        <f aca="false">IF(ROUND(V428-K428,2)=0,"OK","ERRO")</f>
        <v>OK</v>
      </c>
      <c r="X428" s="5" t="str">
        <f aca="false">VLOOKUP(F428,DIM_SERVICO!$A$2:$D$151,3,FALSE())</f>
        <v>Suspensão</v>
      </c>
    </row>
    <row r="429" customFormat="false" ht="15" hidden="false" customHeight="false" outlineLevel="0" collapsed="false">
      <c r="A429" s="6" t="n">
        <v>428</v>
      </c>
      <c r="B429" s="6" t="n">
        <v>499</v>
      </c>
      <c r="C429" s="6" t="n">
        <v>1248</v>
      </c>
      <c r="D429" s="6" t="n">
        <v>174</v>
      </c>
      <c r="E429" s="6" t="n">
        <v>455</v>
      </c>
      <c r="F429" s="6" t="n">
        <v>112</v>
      </c>
      <c r="G429" s="6" t="n">
        <v>168</v>
      </c>
      <c r="H429" s="6" t="n">
        <v>1</v>
      </c>
      <c r="I429" s="7" t="n">
        <v>516.05</v>
      </c>
      <c r="J429" s="7" t="n">
        <v>899.56</v>
      </c>
      <c r="K429" s="7" t="n">
        <v>1959.75</v>
      </c>
      <c r="L429" s="7" t="n">
        <v>1071.07</v>
      </c>
      <c r="M429" s="6" t="n">
        <v>6.1</v>
      </c>
      <c r="N429" s="6" t="s">
        <v>25</v>
      </c>
      <c r="O429" s="8" t="n">
        <f aca="false">VLOOKUP(F429,DIM_SERVICO!$A$2:$D$151,4,FALSE())</f>
        <v>899.56</v>
      </c>
      <c r="P429" s="8" t="n">
        <f aca="false">VLOOKUP(E429,DIM_PECA!$A$2:$F$501,6,FALSE())</f>
        <v>1060.19</v>
      </c>
      <c r="Q429" s="8" t="n">
        <f aca="false">VLOOKUP(E429,DIM_PECA!$A$2:$F$501,5,FALSE())</f>
        <v>516.05</v>
      </c>
      <c r="R429" s="8" t="n">
        <f aca="false">H429*P429</f>
        <v>1060.19</v>
      </c>
      <c r="S429" s="8" t="n">
        <f aca="false">O429*M429</f>
        <v>5487.316</v>
      </c>
      <c r="T429" s="8" t="n">
        <f aca="false">R429+S429</f>
        <v>6547.506</v>
      </c>
      <c r="U429" s="8" t="n">
        <f aca="false">T429-K429</f>
        <v>4587.756</v>
      </c>
      <c r="V429" s="8" t="n">
        <f aca="false">R429+S429-U429</f>
        <v>1959.75</v>
      </c>
      <c r="W429" s="9" t="str">
        <f aca="false">IF(ROUND(V429-K429,2)=0,"OK","ERRO")</f>
        <v>OK</v>
      </c>
      <c r="X429" s="9" t="str">
        <f aca="false">VLOOKUP(F429,DIM_SERVICO!$A$2:$D$151,3,FALSE())</f>
        <v>Elétrica</v>
      </c>
    </row>
    <row r="430" customFormat="false" ht="15" hidden="false" customHeight="false" outlineLevel="0" collapsed="false">
      <c r="A430" s="2" t="n">
        <v>429</v>
      </c>
      <c r="B430" s="2" t="n">
        <v>687</v>
      </c>
      <c r="C430" s="2" t="n">
        <v>426</v>
      </c>
      <c r="D430" s="2" t="n">
        <v>41</v>
      </c>
      <c r="E430" s="2" t="n">
        <v>358</v>
      </c>
      <c r="F430" s="2" t="n">
        <v>39</v>
      </c>
      <c r="G430" s="2" t="n">
        <v>1203</v>
      </c>
      <c r="H430" s="2" t="n">
        <v>4</v>
      </c>
      <c r="I430" s="3" t="n">
        <v>4557.28</v>
      </c>
      <c r="J430" s="3" t="n">
        <v>1270.92</v>
      </c>
      <c r="K430" s="3" t="n">
        <v>8701.6</v>
      </c>
      <c r="L430" s="3" t="n">
        <v>3630.39</v>
      </c>
      <c r="M430" s="2" t="n">
        <v>7.4</v>
      </c>
      <c r="N430" s="2" t="s">
        <v>25</v>
      </c>
      <c r="O430" s="4" t="n">
        <f aca="false">VLOOKUP(F430,DIM_SERVICO!$A$2:$D$151,4,FALSE())</f>
        <v>1270.92</v>
      </c>
      <c r="P430" s="4" t="n">
        <f aca="false">VLOOKUP(E430,DIM_PECA!$A$2:$F$501,6,FALSE())</f>
        <v>1857.67</v>
      </c>
      <c r="Q430" s="4" t="n">
        <f aca="false">VLOOKUP(E430,DIM_PECA!$A$2:$F$501,5,FALSE())</f>
        <v>1139.32</v>
      </c>
      <c r="R430" s="4" t="n">
        <f aca="false">H430*P430</f>
        <v>7430.68</v>
      </c>
      <c r="S430" s="4" t="n">
        <f aca="false">O430*M430</f>
        <v>9404.808</v>
      </c>
      <c r="T430" s="4" t="n">
        <f aca="false">R430+S430</f>
        <v>16835.488</v>
      </c>
      <c r="U430" s="4" t="n">
        <f aca="false">T430-K430</f>
        <v>8133.888</v>
      </c>
      <c r="V430" s="4" t="n">
        <f aca="false">R430+S430-U430</f>
        <v>8701.6</v>
      </c>
      <c r="W430" s="5" t="str">
        <f aca="false">IF(ROUND(V430-K430,2)=0,"OK","ERRO")</f>
        <v>OK</v>
      </c>
      <c r="X430" s="5" t="str">
        <f aca="false">VLOOKUP(F430,DIM_SERVICO!$A$2:$D$151,3,FALSE())</f>
        <v>Suspensão</v>
      </c>
    </row>
    <row r="431" customFormat="false" ht="15" hidden="false" customHeight="false" outlineLevel="0" collapsed="false">
      <c r="A431" s="6" t="n">
        <v>430</v>
      </c>
      <c r="B431" s="6" t="n">
        <v>540</v>
      </c>
      <c r="C431" s="6" t="n">
        <v>117</v>
      </c>
      <c r="D431" s="6" t="n">
        <v>1093</v>
      </c>
      <c r="E431" s="6" t="n">
        <v>153</v>
      </c>
      <c r="F431" s="6" t="n">
        <v>17</v>
      </c>
      <c r="G431" s="6" t="n">
        <v>878</v>
      </c>
      <c r="H431" s="6" t="n">
        <v>4</v>
      </c>
      <c r="I431" s="7" t="n">
        <v>3780.32</v>
      </c>
      <c r="J431" s="7" t="n">
        <v>131.97</v>
      </c>
      <c r="K431" s="7" t="n">
        <v>5191.72</v>
      </c>
      <c r="L431" s="7" t="n">
        <v>1356.56</v>
      </c>
      <c r="M431" s="6" t="n">
        <v>2.3</v>
      </c>
      <c r="N431" s="6" t="s">
        <v>27</v>
      </c>
      <c r="O431" s="8" t="n">
        <f aca="false">VLOOKUP(F431,DIM_SERVICO!$A$2:$D$151,4,FALSE())</f>
        <v>131.97</v>
      </c>
      <c r="P431" s="8" t="n">
        <f aca="false">VLOOKUP(E431,DIM_PECA!$A$2:$F$501,6,FALSE())</f>
        <v>1333.25</v>
      </c>
      <c r="Q431" s="8" t="n">
        <f aca="false">VLOOKUP(E431,DIM_PECA!$A$2:$F$501,5,FALSE())</f>
        <v>945.08</v>
      </c>
      <c r="R431" s="8" t="n">
        <f aca="false">H431*P431</f>
        <v>5333</v>
      </c>
      <c r="S431" s="8" t="n">
        <f aca="false">O431*M431</f>
        <v>303.531</v>
      </c>
      <c r="T431" s="8" t="n">
        <f aca="false">R431+S431</f>
        <v>5636.531</v>
      </c>
      <c r="U431" s="8" t="n">
        <f aca="false">T431-K431</f>
        <v>444.811</v>
      </c>
      <c r="V431" s="8" t="n">
        <f aca="false">R431+S431-U431</f>
        <v>5191.72</v>
      </c>
      <c r="W431" s="9" t="str">
        <f aca="false">IF(ROUND(V431-K431,2)=0,"OK","ERRO")</f>
        <v>OK</v>
      </c>
      <c r="X431" s="9" t="str">
        <f aca="false">VLOOKUP(F431,DIM_SERVICO!$A$2:$D$151,3,FALSE())</f>
        <v>Pintura</v>
      </c>
    </row>
    <row r="432" customFormat="false" ht="15" hidden="false" customHeight="false" outlineLevel="0" collapsed="false">
      <c r="A432" s="2" t="n">
        <v>431</v>
      </c>
      <c r="B432" s="2" t="n">
        <v>406</v>
      </c>
      <c r="C432" s="2" t="n">
        <v>87</v>
      </c>
      <c r="D432" s="2" t="n">
        <v>346</v>
      </c>
      <c r="E432" s="2" t="n">
        <v>238</v>
      </c>
      <c r="F432" s="2" t="n">
        <v>131</v>
      </c>
      <c r="G432" s="2" t="n">
        <v>1260</v>
      </c>
      <c r="H432" s="2" t="n">
        <v>1</v>
      </c>
      <c r="I432" s="3" t="n">
        <v>882.18</v>
      </c>
      <c r="J432" s="3" t="n">
        <v>419.61</v>
      </c>
      <c r="K432" s="3" t="n">
        <v>2012.09</v>
      </c>
      <c r="L432" s="3" t="n">
        <v>955.5</v>
      </c>
      <c r="M432" s="2" t="n">
        <v>11.1</v>
      </c>
      <c r="N432" s="2" t="s">
        <v>24</v>
      </c>
      <c r="O432" s="4" t="n">
        <f aca="false">VLOOKUP(F432,DIM_SERVICO!$A$2:$D$151,4,FALSE())</f>
        <v>419.61</v>
      </c>
      <c r="P432" s="4" t="n">
        <f aca="false">VLOOKUP(E432,DIM_PECA!$A$2:$F$501,6,FALSE())</f>
        <v>1592.48</v>
      </c>
      <c r="Q432" s="4" t="n">
        <f aca="false">VLOOKUP(E432,DIM_PECA!$A$2:$F$501,5,FALSE())</f>
        <v>882.18</v>
      </c>
      <c r="R432" s="4" t="n">
        <f aca="false">H432*P432</f>
        <v>1592.48</v>
      </c>
      <c r="S432" s="4" t="n">
        <f aca="false">O432*M432</f>
        <v>4657.671</v>
      </c>
      <c r="T432" s="4" t="n">
        <f aca="false">R432+S432</f>
        <v>6250.151</v>
      </c>
      <c r="U432" s="4" t="n">
        <f aca="false">T432-K432</f>
        <v>4238.061</v>
      </c>
      <c r="V432" s="4" t="n">
        <f aca="false">R432+S432-U432</f>
        <v>2012.09</v>
      </c>
      <c r="W432" s="5" t="str">
        <f aca="false">IF(ROUND(V432-K432,2)=0,"OK","ERRO")</f>
        <v>OK</v>
      </c>
      <c r="X432" s="5" t="str">
        <f aca="false">VLOOKUP(F432,DIM_SERVICO!$A$2:$D$151,3,FALSE())</f>
        <v>Freios</v>
      </c>
    </row>
    <row r="433" customFormat="false" ht="15" hidden="false" customHeight="false" outlineLevel="0" collapsed="false">
      <c r="A433" s="6" t="n">
        <v>432</v>
      </c>
      <c r="B433" s="6" t="n">
        <v>1014</v>
      </c>
      <c r="C433" s="6" t="n">
        <v>166</v>
      </c>
      <c r="D433" s="6" t="n">
        <v>128</v>
      </c>
      <c r="E433" s="6" t="n">
        <v>288</v>
      </c>
      <c r="F433" s="6" t="n">
        <v>31</v>
      </c>
      <c r="G433" s="6" t="n">
        <v>970</v>
      </c>
      <c r="H433" s="6" t="n">
        <v>2</v>
      </c>
      <c r="I433" s="7" t="n">
        <v>2033.74</v>
      </c>
      <c r="J433" s="7" t="n">
        <v>1359.86</v>
      </c>
      <c r="K433" s="7" t="n">
        <v>5290.83</v>
      </c>
      <c r="L433" s="7" t="n">
        <v>2705.11</v>
      </c>
      <c r="M433" s="6" t="n">
        <v>6.4</v>
      </c>
      <c r="N433" s="6" t="s">
        <v>26</v>
      </c>
      <c r="O433" s="8" t="n">
        <f aca="false">VLOOKUP(F433,DIM_SERVICO!$A$2:$D$151,4,FALSE())</f>
        <v>1359.86</v>
      </c>
      <c r="P433" s="8" t="n">
        <f aca="false">VLOOKUP(E433,DIM_PECA!$A$2:$F$501,6,FALSE())</f>
        <v>2104.72</v>
      </c>
      <c r="Q433" s="8" t="n">
        <f aca="false">VLOOKUP(E433,DIM_PECA!$A$2:$F$501,5,FALSE())</f>
        <v>1016.87</v>
      </c>
      <c r="R433" s="8" t="n">
        <f aca="false">H433*P433</f>
        <v>4209.44</v>
      </c>
      <c r="S433" s="8" t="n">
        <f aca="false">O433*M433</f>
        <v>8703.104</v>
      </c>
      <c r="T433" s="8" t="n">
        <f aca="false">R433+S433</f>
        <v>12912.544</v>
      </c>
      <c r="U433" s="8" t="n">
        <f aca="false">T433-K433</f>
        <v>7621.714</v>
      </c>
      <c r="V433" s="8" t="n">
        <f aca="false">R433+S433-U433</f>
        <v>5290.83</v>
      </c>
      <c r="W433" s="9" t="str">
        <f aca="false">IF(ROUND(V433-K433,2)=0,"OK","ERRO")</f>
        <v>OK</v>
      </c>
      <c r="X433" s="9" t="str">
        <f aca="false">VLOOKUP(F433,DIM_SERVICO!$A$2:$D$151,3,FALSE())</f>
        <v>Suspensão</v>
      </c>
    </row>
    <row r="434" customFormat="false" ht="15" hidden="false" customHeight="false" outlineLevel="0" collapsed="false">
      <c r="A434" s="2" t="n">
        <v>433</v>
      </c>
      <c r="B434" s="2" t="n">
        <v>1043</v>
      </c>
      <c r="C434" s="2" t="n">
        <v>1098</v>
      </c>
      <c r="D434" s="2" t="n">
        <v>871</v>
      </c>
      <c r="E434" s="2" t="n">
        <v>139</v>
      </c>
      <c r="F434" s="2" t="n">
        <v>66</v>
      </c>
      <c r="G434" s="2" t="n">
        <v>88</v>
      </c>
      <c r="H434" s="2" t="n">
        <v>1</v>
      </c>
      <c r="I434" s="3" t="n">
        <v>1091.22</v>
      </c>
      <c r="J434" s="3" t="n">
        <v>1805.9</v>
      </c>
      <c r="K434" s="3" t="n">
        <v>3204.29</v>
      </c>
      <c r="L434" s="3" t="n">
        <v>1167.23</v>
      </c>
      <c r="M434" s="2" t="n">
        <v>2.6</v>
      </c>
      <c r="N434" s="2" t="s">
        <v>24</v>
      </c>
      <c r="O434" s="4" t="n">
        <f aca="false">VLOOKUP(F434,DIM_SERVICO!$A$2:$D$151,4,FALSE())</f>
        <v>1805.9</v>
      </c>
      <c r="P434" s="4" t="n">
        <f aca="false">VLOOKUP(E434,DIM_PECA!$A$2:$F$501,6,FALSE())</f>
        <v>1567.04</v>
      </c>
      <c r="Q434" s="4" t="n">
        <f aca="false">VLOOKUP(E434,DIM_PECA!$A$2:$F$501,5,FALSE())</f>
        <v>1091.22</v>
      </c>
      <c r="R434" s="4" t="n">
        <f aca="false">H434*P434</f>
        <v>1567.04</v>
      </c>
      <c r="S434" s="4" t="n">
        <f aca="false">O434*M434</f>
        <v>4695.34</v>
      </c>
      <c r="T434" s="4" t="n">
        <f aca="false">R434+S434</f>
        <v>6262.38</v>
      </c>
      <c r="U434" s="4" t="n">
        <f aca="false">T434-K434</f>
        <v>3058.09</v>
      </c>
      <c r="V434" s="4" t="n">
        <f aca="false">R434+S434-U434</f>
        <v>3204.29</v>
      </c>
      <c r="W434" s="5" t="str">
        <f aca="false">IF(ROUND(V434-K434,2)=0,"OK","ERRO")</f>
        <v>OK</v>
      </c>
      <c r="X434" s="5" t="str">
        <f aca="false">VLOOKUP(F434,DIM_SERVICO!$A$2:$D$151,3,FALSE())</f>
        <v>Pintura</v>
      </c>
    </row>
    <row r="435" customFormat="false" ht="15" hidden="false" customHeight="false" outlineLevel="0" collapsed="false">
      <c r="A435" s="6" t="n">
        <v>434</v>
      </c>
      <c r="B435" s="6" t="n">
        <v>730</v>
      </c>
      <c r="C435" s="6" t="n">
        <v>1059</v>
      </c>
      <c r="D435" s="6" t="n">
        <v>732</v>
      </c>
      <c r="E435" s="6" t="n">
        <v>178</v>
      </c>
      <c r="F435" s="6" t="n">
        <v>139</v>
      </c>
      <c r="G435" s="6" t="n">
        <v>1721</v>
      </c>
      <c r="H435" s="6" t="n">
        <v>1</v>
      </c>
      <c r="I435" s="7" t="n">
        <v>87.52</v>
      </c>
      <c r="J435" s="7" t="n">
        <v>2138.46</v>
      </c>
      <c r="K435" s="7" t="n">
        <v>2229.73</v>
      </c>
      <c r="L435" s="7" t="n">
        <v>1112.85</v>
      </c>
      <c r="M435" s="6" t="n">
        <v>10</v>
      </c>
      <c r="N435" s="6" t="s">
        <v>24</v>
      </c>
      <c r="O435" s="8" t="n">
        <f aca="false">VLOOKUP(F435,DIM_SERVICO!$A$2:$D$151,4,FALSE())</f>
        <v>2138.46</v>
      </c>
      <c r="P435" s="8" t="n">
        <f aca="false">VLOOKUP(E435,DIM_PECA!$A$2:$F$501,6,FALSE())</f>
        <v>136.77</v>
      </c>
      <c r="Q435" s="8" t="n">
        <f aca="false">VLOOKUP(E435,DIM_PECA!$A$2:$F$501,5,FALSE())</f>
        <v>87.52</v>
      </c>
      <c r="R435" s="8" t="n">
        <f aca="false">H435*P435</f>
        <v>136.77</v>
      </c>
      <c r="S435" s="8" t="n">
        <f aca="false">O435*M435</f>
        <v>21384.6</v>
      </c>
      <c r="T435" s="8" t="n">
        <f aca="false">R435+S435</f>
        <v>21521.37</v>
      </c>
      <c r="U435" s="8" t="n">
        <f aca="false">T435-K435</f>
        <v>19291.64</v>
      </c>
      <c r="V435" s="8" t="n">
        <f aca="false">R435+S435-U435</f>
        <v>2229.73</v>
      </c>
      <c r="W435" s="9" t="str">
        <f aca="false">IF(ROUND(V435-K435,2)=0,"OK","ERRO")</f>
        <v>OK</v>
      </c>
      <c r="X435" s="9" t="str">
        <f aca="false">VLOOKUP(F435,DIM_SERVICO!$A$2:$D$151,3,FALSE())</f>
        <v>Revisão</v>
      </c>
    </row>
    <row r="436" customFormat="false" ht="15" hidden="false" customHeight="false" outlineLevel="0" collapsed="false">
      <c r="A436" s="2" t="n">
        <v>435</v>
      </c>
      <c r="B436" s="2" t="n">
        <v>502</v>
      </c>
      <c r="C436" s="2" t="n">
        <v>1142</v>
      </c>
      <c r="D436" s="2" t="n">
        <v>1144</v>
      </c>
      <c r="E436" s="2" t="n">
        <v>339</v>
      </c>
      <c r="F436" s="2" t="n">
        <v>6</v>
      </c>
      <c r="G436" s="2" t="n">
        <v>729</v>
      </c>
      <c r="H436" s="2" t="n">
        <v>4</v>
      </c>
      <c r="I436" s="3" t="n">
        <v>887.36</v>
      </c>
      <c r="J436" s="3" t="n">
        <v>1505.67</v>
      </c>
      <c r="K436" s="3" t="n">
        <v>3008.26</v>
      </c>
      <c r="L436" s="3" t="n">
        <v>1587.69</v>
      </c>
      <c r="M436" s="2" t="n">
        <v>10.9</v>
      </c>
      <c r="N436" s="2" t="s">
        <v>25</v>
      </c>
      <c r="O436" s="4" t="n">
        <f aca="false">VLOOKUP(F436,DIM_SERVICO!$A$2:$D$151,4,FALSE())</f>
        <v>1505.67</v>
      </c>
      <c r="P436" s="4" t="n">
        <f aca="false">VLOOKUP(E436,DIM_PECA!$A$2:$F$501,6,FALSE())</f>
        <v>459.21</v>
      </c>
      <c r="Q436" s="4" t="n">
        <f aca="false">VLOOKUP(E436,DIM_PECA!$A$2:$F$501,5,FALSE())</f>
        <v>221.84</v>
      </c>
      <c r="R436" s="4" t="n">
        <f aca="false">H436*P436</f>
        <v>1836.84</v>
      </c>
      <c r="S436" s="4" t="n">
        <f aca="false">O436*M436</f>
        <v>16411.803</v>
      </c>
      <c r="T436" s="4" t="n">
        <f aca="false">R436+S436</f>
        <v>18248.643</v>
      </c>
      <c r="U436" s="4" t="n">
        <f aca="false">T436-K436</f>
        <v>15240.383</v>
      </c>
      <c r="V436" s="4" t="n">
        <f aca="false">R436+S436-U436</f>
        <v>3008.26</v>
      </c>
      <c r="W436" s="5" t="str">
        <f aca="false">IF(ROUND(V436-K436,2)=0,"OK","ERRO")</f>
        <v>OK</v>
      </c>
      <c r="X436" s="5" t="str">
        <f aca="false">VLOOKUP(F436,DIM_SERVICO!$A$2:$D$151,3,FALSE())</f>
        <v>Motor</v>
      </c>
    </row>
    <row r="437" customFormat="false" ht="15" hidden="false" customHeight="false" outlineLevel="0" collapsed="false">
      <c r="A437" s="6" t="n">
        <v>436</v>
      </c>
      <c r="B437" s="6" t="n">
        <v>496</v>
      </c>
      <c r="C437" s="6" t="n">
        <v>585</v>
      </c>
      <c r="D437" s="6" t="n">
        <v>391</v>
      </c>
      <c r="E437" s="6" t="n">
        <v>494</v>
      </c>
      <c r="F437" s="6" t="n">
        <v>83</v>
      </c>
      <c r="G437" s="6" t="n">
        <v>915</v>
      </c>
      <c r="H437" s="6" t="n">
        <v>3</v>
      </c>
      <c r="I437" s="7" t="n">
        <v>2877.63</v>
      </c>
      <c r="J437" s="7" t="n">
        <v>2098.93</v>
      </c>
      <c r="K437" s="7" t="n">
        <v>6145.54</v>
      </c>
      <c r="L437" s="7" t="n">
        <v>2471.63</v>
      </c>
      <c r="M437" s="6" t="n">
        <v>2</v>
      </c>
      <c r="N437" s="6" t="s">
        <v>25</v>
      </c>
      <c r="O437" s="8" t="n">
        <f aca="false">VLOOKUP(F437,DIM_SERVICO!$A$2:$D$151,4,FALSE())</f>
        <v>2098.93</v>
      </c>
      <c r="P437" s="8" t="n">
        <f aca="false">VLOOKUP(E437,DIM_PECA!$A$2:$F$501,6,FALSE())</f>
        <v>1527</v>
      </c>
      <c r="Q437" s="8" t="n">
        <f aca="false">VLOOKUP(E437,DIM_PECA!$A$2:$F$501,5,FALSE())</f>
        <v>959.21</v>
      </c>
      <c r="R437" s="8" t="n">
        <f aca="false">H437*P437</f>
        <v>4581</v>
      </c>
      <c r="S437" s="8" t="n">
        <f aca="false">O437*M437</f>
        <v>4197.86</v>
      </c>
      <c r="T437" s="8" t="n">
        <f aca="false">R437+S437</f>
        <v>8778.86</v>
      </c>
      <c r="U437" s="8" t="n">
        <f aca="false">T437-K437</f>
        <v>2633.32</v>
      </c>
      <c r="V437" s="8" t="n">
        <f aca="false">R437+S437-U437</f>
        <v>6145.54</v>
      </c>
      <c r="W437" s="9" t="str">
        <f aca="false">IF(ROUND(V437-K437,2)=0,"OK","ERRO")</f>
        <v>OK</v>
      </c>
      <c r="X437" s="9" t="str">
        <f aca="false">VLOOKUP(F437,DIM_SERVICO!$A$2:$D$151,3,FALSE())</f>
        <v>Pintura</v>
      </c>
    </row>
    <row r="438" customFormat="false" ht="15" hidden="false" customHeight="false" outlineLevel="0" collapsed="false">
      <c r="A438" s="2" t="n">
        <v>437</v>
      </c>
      <c r="B438" s="2" t="n">
        <v>1227</v>
      </c>
      <c r="C438" s="2" t="n">
        <v>705</v>
      </c>
      <c r="D438" s="2" t="n">
        <v>693</v>
      </c>
      <c r="E438" s="2" t="n">
        <v>448</v>
      </c>
      <c r="F438" s="2" t="n">
        <v>108</v>
      </c>
      <c r="G438" s="2" t="n">
        <v>1025</v>
      </c>
      <c r="H438" s="2" t="n">
        <v>1</v>
      </c>
      <c r="I438" s="3" t="n">
        <v>961.99</v>
      </c>
      <c r="J438" s="3" t="n">
        <v>1178.47</v>
      </c>
      <c r="K438" s="3" t="n">
        <v>2605.07</v>
      </c>
      <c r="L438" s="3" t="n">
        <v>1068.56</v>
      </c>
      <c r="M438" s="2" t="n">
        <v>5.4</v>
      </c>
      <c r="N438" s="2" t="s">
        <v>24</v>
      </c>
      <c r="O438" s="4" t="n">
        <f aca="false">VLOOKUP(F438,DIM_SERVICO!$A$2:$D$151,4,FALSE())</f>
        <v>1178.47</v>
      </c>
      <c r="P438" s="4" t="n">
        <f aca="false">VLOOKUP(E438,DIM_PECA!$A$2:$F$501,6,FALSE())</f>
        <v>1653.13</v>
      </c>
      <c r="Q438" s="4" t="n">
        <f aca="false">VLOOKUP(E438,DIM_PECA!$A$2:$F$501,5,FALSE())</f>
        <v>961.99</v>
      </c>
      <c r="R438" s="4" t="n">
        <f aca="false">H438*P438</f>
        <v>1653.13</v>
      </c>
      <c r="S438" s="4" t="n">
        <f aca="false">O438*M438</f>
        <v>6363.738</v>
      </c>
      <c r="T438" s="4" t="n">
        <f aca="false">R438+S438</f>
        <v>8016.868</v>
      </c>
      <c r="U438" s="4" t="n">
        <f aca="false">T438-K438</f>
        <v>5411.798</v>
      </c>
      <c r="V438" s="4" t="n">
        <f aca="false">R438+S438-U438</f>
        <v>2605.07</v>
      </c>
      <c r="W438" s="5" t="str">
        <f aca="false">IF(ROUND(V438-K438,2)=0,"OK","ERRO")</f>
        <v>OK</v>
      </c>
      <c r="X438" s="5" t="str">
        <f aca="false">VLOOKUP(F438,DIM_SERVICO!$A$2:$D$151,3,FALSE())</f>
        <v>Funilaria</v>
      </c>
    </row>
    <row r="439" customFormat="false" ht="15" hidden="false" customHeight="false" outlineLevel="0" collapsed="false">
      <c r="A439" s="6" t="n">
        <v>438</v>
      </c>
      <c r="B439" s="6" t="n">
        <v>636</v>
      </c>
      <c r="C439" s="6" t="n">
        <v>1229</v>
      </c>
      <c r="D439" s="6" t="n">
        <v>30</v>
      </c>
      <c r="E439" s="6" t="n">
        <v>1</v>
      </c>
      <c r="F439" s="6" t="n">
        <v>27</v>
      </c>
      <c r="G439" s="6" t="n">
        <v>696</v>
      </c>
      <c r="H439" s="6" t="n">
        <v>1</v>
      </c>
      <c r="I439" s="7" t="n">
        <v>994.02</v>
      </c>
      <c r="J439" s="7" t="n">
        <v>662.68</v>
      </c>
      <c r="K439" s="7" t="n">
        <v>2150.71</v>
      </c>
      <c r="L439" s="7" t="n">
        <v>821.32</v>
      </c>
      <c r="M439" s="6" t="n">
        <v>10.4</v>
      </c>
      <c r="N439" s="6" t="s">
        <v>24</v>
      </c>
      <c r="O439" s="8" t="n">
        <f aca="false">VLOOKUP(F439,DIM_SERVICO!$A$2:$D$151,4,FALSE())</f>
        <v>662.68</v>
      </c>
      <c r="P439" s="8" t="n">
        <f aca="false">VLOOKUP(E439,DIM_PECA!$A$2:$F$501,6,FALSE())</f>
        <v>1488.03</v>
      </c>
      <c r="Q439" s="8" t="n">
        <f aca="false">VLOOKUP(E439,DIM_PECA!$A$2:$F$501,5,FALSE())</f>
        <v>994.02</v>
      </c>
      <c r="R439" s="8" t="n">
        <f aca="false">H439*P439</f>
        <v>1488.03</v>
      </c>
      <c r="S439" s="8" t="n">
        <f aca="false">O439*M439</f>
        <v>6891.872</v>
      </c>
      <c r="T439" s="8" t="n">
        <f aca="false">R439+S439</f>
        <v>8379.902</v>
      </c>
      <c r="U439" s="8" t="n">
        <f aca="false">T439-K439</f>
        <v>6229.192</v>
      </c>
      <c r="V439" s="8" t="n">
        <f aca="false">R439+S439-U439</f>
        <v>2150.71</v>
      </c>
      <c r="W439" s="9" t="str">
        <f aca="false">IF(ROUND(V439-K439,2)=0,"OK","ERRO")</f>
        <v>OK</v>
      </c>
      <c r="X439" s="9" t="str">
        <f aca="false">VLOOKUP(F439,DIM_SERVICO!$A$2:$D$151,3,FALSE())</f>
        <v>Revisão</v>
      </c>
    </row>
    <row r="440" customFormat="false" ht="15" hidden="false" customHeight="false" outlineLevel="0" collapsed="false">
      <c r="A440" s="2" t="n">
        <v>439</v>
      </c>
      <c r="B440" s="2" t="n">
        <v>407</v>
      </c>
      <c r="C440" s="2" t="n">
        <v>560</v>
      </c>
      <c r="D440" s="2" t="n">
        <v>346</v>
      </c>
      <c r="E440" s="2" t="n">
        <v>151</v>
      </c>
      <c r="F440" s="2" t="n">
        <v>74</v>
      </c>
      <c r="G440" s="2" t="n">
        <v>1608</v>
      </c>
      <c r="H440" s="2" t="n">
        <v>4</v>
      </c>
      <c r="I440" s="3" t="n">
        <v>2241.96</v>
      </c>
      <c r="J440" s="3" t="n">
        <v>821.88</v>
      </c>
      <c r="K440" s="3" t="n">
        <v>4151.19</v>
      </c>
      <c r="L440" s="3" t="n">
        <v>1615.46</v>
      </c>
      <c r="M440" s="2" t="n">
        <v>11.7</v>
      </c>
      <c r="N440" s="2" t="s">
        <v>24</v>
      </c>
      <c r="O440" s="4" t="n">
        <f aca="false">VLOOKUP(F440,DIM_SERVICO!$A$2:$D$151,4,FALSE())</f>
        <v>821.88</v>
      </c>
      <c r="P440" s="4" t="n">
        <f aca="false">VLOOKUP(E440,DIM_PECA!$A$2:$F$501,6,FALSE())</f>
        <v>922.57</v>
      </c>
      <c r="Q440" s="4" t="n">
        <f aca="false">VLOOKUP(E440,DIM_PECA!$A$2:$F$501,5,FALSE())</f>
        <v>560.49</v>
      </c>
      <c r="R440" s="4" t="n">
        <f aca="false">H440*P440</f>
        <v>3690.28</v>
      </c>
      <c r="S440" s="4" t="n">
        <f aca="false">O440*M440</f>
        <v>9615.996</v>
      </c>
      <c r="T440" s="4" t="n">
        <f aca="false">R440+S440</f>
        <v>13306.276</v>
      </c>
      <c r="U440" s="4" t="n">
        <f aca="false">T440-K440</f>
        <v>9155.086</v>
      </c>
      <c r="V440" s="4" t="n">
        <f aca="false">R440+S440-U440</f>
        <v>4151.19</v>
      </c>
      <c r="W440" s="5" t="str">
        <f aca="false">IF(ROUND(V440-K440,2)=0,"OK","ERRO")</f>
        <v>OK</v>
      </c>
      <c r="X440" s="5" t="str">
        <f aca="false">VLOOKUP(F440,DIM_SERVICO!$A$2:$D$151,3,FALSE())</f>
        <v>Revisão</v>
      </c>
    </row>
    <row r="441" customFormat="false" ht="15" hidden="false" customHeight="false" outlineLevel="0" collapsed="false">
      <c r="A441" s="6" t="n">
        <v>440</v>
      </c>
      <c r="B441" s="6" t="n">
        <v>938</v>
      </c>
      <c r="C441" s="6" t="n">
        <v>707</v>
      </c>
      <c r="D441" s="6" t="n">
        <v>207</v>
      </c>
      <c r="E441" s="6" t="n">
        <v>293</v>
      </c>
      <c r="F441" s="6" t="n">
        <v>11</v>
      </c>
      <c r="G441" s="6" t="n">
        <v>806</v>
      </c>
      <c r="H441" s="6" t="n">
        <v>4</v>
      </c>
      <c r="I441" s="7" t="n">
        <v>4706.56</v>
      </c>
      <c r="J441" s="7" t="n">
        <v>2164.78</v>
      </c>
      <c r="K441" s="7" t="n">
        <v>10458.66</v>
      </c>
      <c r="L441" s="7" t="n">
        <v>4860.96</v>
      </c>
      <c r="M441" s="6" t="n">
        <v>9.5</v>
      </c>
      <c r="N441" s="6" t="s">
        <v>24</v>
      </c>
      <c r="O441" s="8" t="n">
        <f aca="false">VLOOKUP(F441,DIM_SERVICO!$A$2:$D$151,4,FALSE())</f>
        <v>2164.78</v>
      </c>
      <c r="P441" s="8" t="n">
        <f aca="false">VLOOKUP(E441,DIM_PECA!$A$2:$F$501,6,FALSE())</f>
        <v>2073.47</v>
      </c>
      <c r="Q441" s="8" t="n">
        <f aca="false">VLOOKUP(E441,DIM_PECA!$A$2:$F$501,5,FALSE())</f>
        <v>1176.64</v>
      </c>
      <c r="R441" s="8" t="n">
        <f aca="false">H441*P441</f>
        <v>8293.88</v>
      </c>
      <c r="S441" s="8" t="n">
        <f aca="false">O441*M441</f>
        <v>20565.41</v>
      </c>
      <c r="T441" s="8" t="n">
        <f aca="false">R441+S441</f>
        <v>28859.29</v>
      </c>
      <c r="U441" s="8" t="n">
        <f aca="false">T441-K441</f>
        <v>18400.63</v>
      </c>
      <c r="V441" s="8" t="n">
        <f aca="false">R441+S441-U441</f>
        <v>10458.66</v>
      </c>
      <c r="W441" s="9" t="str">
        <f aca="false">IF(ROUND(V441-K441,2)=0,"OK","ERRO")</f>
        <v>OK</v>
      </c>
      <c r="X441" s="9" t="str">
        <f aca="false">VLOOKUP(F441,DIM_SERVICO!$A$2:$D$151,3,FALSE())</f>
        <v>Freios</v>
      </c>
    </row>
    <row r="442" customFormat="false" ht="15" hidden="false" customHeight="false" outlineLevel="0" collapsed="false">
      <c r="A442" s="2" t="n">
        <v>441</v>
      </c>
      <c r="B442" s="2" t="n">
        <v>1243</v>
      </c>
      <c r="C442" s="2" t="n">
        <v>104</v>
      </c>
      <c r="D442" s="2" t="n">
        <v>1108</v>
      </c>
      <c r="E442" s="2" t="n">
        <v>481</v>
      </c>
      <c r="F442" s="2" t="n">
        <v>93</v>
      </c>
      <c r="G442" s="2" t="n">
        <v>1657</v>
      </c>
      <c r="H442" s="2" t="n">
        <v>4</v>
      </c>
      <c r="I442" s="3" t="n">
        <v>4603.8</v>
      </c>
      <c r="J442" s="3" t="n">
        <v>2049.66</v>
      </c>
      <c r="K442" s="3" t="n">
        <v>9941.72</v>
      </c>
      <c r="L442" s="3" t="n">
        <v>4421.89</v>
      </c>
      <c r="M442" s="2" t="n">
        <v>10.1</v>
      </c>
      <c r="N442" s="2" t="s">
        <v>24</v>
      </c>
      <c r="O442" s="4" t="n">
        <f aca="false">VLOOKUP(F442,DIM_SERVICO!$A$2:$D$151,4,FALSE())</f>
        <v>2049.66</v>
      </c>
      <c r="P442" s="4" t="n">
        <f aca="false">VLOOKUP(E442,DIM_PECA!$A$2:$F$501,6,FALSE())</f>
        <v>2189.14</v>
      </c>
      <c r="Q442" s="4" t="n">
        <f aca="false">VLOOKUP(E442,DIM_PECA!$A$2:$F$501,5,FALSE())</f>
        <v>1150.95</v>
      </c>
      <c r="R442" s="4" t="n">
        <f aca="false">H442*P442</f>
        <v>8756.56</v>
      </c>
      <c r="S442" s="4" t="n">
        <f aca="false">O442*M442</f>
        <v>20701.566</v>
      </c>
      <c r="T442" s="4" t="n">
        <f aca="false">R442+S442</f>
        <v>29458.126</v>
      </c>
      <c r="U442" s="4" t="n">
        <f aca="false">T442-K442</f>
        <v>19516.406</v>
      </c>
      <c r="V442" s="4" t="n">
        <f aca="false">R442+S442-U442</f>
        <v>9941.72</v>
      </c>
      <c r="W442" s="5" t="str">
        <f aca="false">IF(ROUND(V442-K442,2)=0,"OK","ERRO")</f>
        <v>OK</v>
      </c>
      <c r="X442" s="5" t="str">
        <f aca="false">VLOOKUP(F442,DIM_SERVICO!$A$2:$D$151,3,FALSE())</f>
        <v>Revisão</v>
      </c>
    </row>
    <row r="443" customFormat="false" ht="15" hidden="false" customHeight="false" outlineLevel="0" collapsed="false">
      <c r="A443" s="6" t="n">
        <v>442</v>
      </c>
      <c r="B443" s="6" t="n">
        <v>1319</v>
      </c>
      <c r="C443" s="6" t="n">
        <v>1091</v>
      </c>
      <c r="D443" s="6" t="n">
        <v>865</v>
      </c>
      <c r="E443" s="6" t="n">
        <v>249</v>
      </c>
      <c r="F443" s="6" t="n">
        <v>74</v>
      </c>
      <c r="G443" s="6" t="n">
        <v>939</v>
      </c>
      <c r="H443" s="6" t="n">
        <v>4</v>
      </c>
      <c r="I443" s="7" t="n">
        <v>4174.4</v>
      </c>
      <c r="J443" s="7" t="n">
        <v>821.88</v>
      </c>
      <c r="K443" s="7" t="n">
        <v>9756.04</v>
      </c>
      <c r="L443" s="7" t="n">
        <v>5137.39</v>
      </c>
      <c r="M443" s="6" t="n">
        <v>11.4</v>
      </c>
      <c r="N443" s="6" t="s">
        <v>24</v>
      </c>
      <c r="O443" s="8" t="n">
        <f aca="false">VLOOKUP(F443,DIM_SERVICO!$A$2:$D$151,4,FALSE())</f>
        <v>821.88</v>
      </c>
      <c r="P443" s="8" t="n">
        <f aca="false">VLOOKUP(E443,DIM_PECA!$A$2:$F$501,6,FALSE())</f>
        <v>2233.54</v>
      </c>
      <c r="Q443" s="8" t="n">
        <f aca="false">VLOOKUP(E443,DIM_PECA!$A$2:$F$501,5,FALSE())</f>
        <v>1043.6</v>
      </c>
      <c r="R443" s="8" t="n">
        <f aca="false">H443*P443</f>
        <v>8934.16</v>
      </c>
      <c r="S443" s="8" t="n">
        <f aca="false">O443*M443</f>
        <v>9369.432</v>
      </c>
      <c r="T443" s="8" t="n">
        <f aca="false">R443+S443</f>
        <v>18303.592</v>
      </c>
      <c r="U443" s="8" t="n">
        <f aca="false">T443-K443</f>
        <v>8547.552</v>
      </c>
      <c r="V443" s="8" t="n">
        <f aca="false">R443+S443-U443</f>
        <v>9756.04</v>
      </c>
      <c r="W443" s="9" t="str">
        <f aca="false">IF(ROUND(V443-K443,2)=0,"OK","ERRO")</f>
        <v>OK</v>
      </c>
      <c r="X443" s="9" t="str">
        <f aca="false">VLOOKUP(F443,DIM_SERVICO!$A$2:$D$151,3,FALSE())</f>
        <v>Revisão</v>
      </c>
    </row>
    <row r="444" customFormat="false" ht="15" hidden="false" customHeight="false" outlineLevel="0" collapsed="false">
      <c r="A444" s="2" t="n">
        <v>443</v>
      </c>
      <c r="B444" s="2" t="n">
        <v>1258</v>
      </c>
      <c r="C444" s="2" t="n">
        <v>1089</v>
      </c>
      <c r="D444" s="2" t="n">
        <v>395</v>
      </c>
      <c r="E444" s="2" t="n">
        <v>171</v>
      </c>
      <c r="F444" s="2" t="n">
        <v>113</v>
      </c>
      <c r="G444" s="2" t="n">
        <v>271</v>
      </c>
      <c r="H444" s="2" t="n">
        <v>1</v>
      </c>
      <c r="I444" s="3" t="n">
        <v>1194.68</v>
      </c>
      <c r="J444" s="3" t="n">
        <v>1709.25</v>
      </c>
      <c r="K444" s="3" t="n">
        <v>3730.98</v>
      </c>
      <c r="L444" s="3" t="n">
        <v>1905.76</v>
      </c>
      <c r="M444" s="2" t="n">
        <v>8.3</v>
      </c>
      <c r="N444" s="2" t="s">
        <v>26</v>
      </c>
      <c r="O444" s="4" t="n">
        <f aca="false">VLOOKUP(F444,DIM_SERVICO!$A$2:$D$151,4,FALSE())</f>
        <v>1709.25</v>
      </c>
      <c r="P444" s="4" t="n">
        <f aca="false">VLOOKUP(E444,DIM_PECA!$A$2:$F$501,6,FALSE())</f>
        <v>2218.1</v>
      </c>
      <c r="Q444" s="4" t="n">
        <f aca="false">VLOOKUP(E444,DIM_PECA!$A$2:$F$501,5,FALSE())</f>
        <v>1194.68</v>
      </c>
      <c r="R444" s="4" t="n">
        <f aca="false">H444*P444</f>
        <v>2218.1</v>
      </c>
      <c r="S444" s="4" t="n">
        <f aca="false">O444*M444</f>
        <v>14186.775</v>
      </c>
      <c r="T444" s="4" t="n">
        <f aca="false">R444+S444</f>
        <v>16404.875</v>
      </c>
      <c r="U444" s="4" t="n">
        <f aca="false">T444-K444</f>
        <v>12673.895</v>
      </c>
      <c r="V444" s="4" t="n">
        <f aca="false">R444+S444-U444</f>
        <v>3730.98</v>
      </c>
      <c r="W444" s="5" t="str">
        <f aca="false">IF(ROUND(V444-K444,2)=0,"OK","ERRO")</f>
        <v>OK</v>
      </c>
      <c r="X444" s="5" t="str">
        <f aca="false">VLOOKUP(F444,DIM_SERVICO!$A$2:$D$151,3,FALSE())</f>
        <v>Pintura</v>
      </c>
    </row>
    <row r="445" customFormat="false" ht="15" hidden="false" customHeight="false" outlineLevel="0" collapsed="false">
      <c r="A445" s="6" t="n">
        <v>444</v>
      </c>
      <c r="B445" s="6" t="n">
        <v>230</v>
      </c>
      <c r="C445" s="6" t="n">
        <v>76</v>
      </c>
      <c r="D445" s="6" t="n">
        <v>767</v>
      </c>
      <c r="E445" s="6" t="n">
        <v>128</v>
      </c>
      <c r="F445" s="6" t="n">
        <v>69</v>
      </c>
      <c r="G445" s="6" t="n">
        <v>1313</v>
      </c>
      <c r="H445" s="6" t="n">
        <v>4</v>
      </c>
      <c r="I445" s="7" t="n">
        <v>618.12</v>
      </c>
      <c r="J445" s="7" t="n">
        <v>905.47</v>
      </c>
      <c r="K445" s="7" t="n">
        <v>2231.99</v>
      </c>
      <c r="L445" s="7" t="n">
        <v>1183.31</v>
      </c>
      <c r="M445" s="6" t="n">
        <v>1.4</v>
      </c>
      <c r="N445" s="6" t="s">
        <v>27</v>
      </c>
      <c r="O445" s="8" t="n">
        <f aca="false">VLOOKUP(F445,DIM_SERVICO!$A$2:$D$151,4,FALSE())</f>
        <v>905.47</v>
      </c>
      <c r="P445" s="8" t="n">
        <f aca="false">VLOOKUP(E445,DIM_PECA!$A$2:$F$501,6,FALSE())</f>
        <v>331.63</v>
      </c>
      <c r="Q445" s="8" t="n">
        <f aca="false">VLOOKUP(E445,DIM_PECA!$A$2:$F$501,5,FALSE())</f>
        <v>154.53</v>
      </c>
      <c r="R445" s="8" t="n">
        <f aca="false">H445*P445</f>
        <v>1326.52</v>
      </c>
      <c r="S445" s="8" t="n">
        <f aca="false">O445*M445</f>
        <v>1267.658</v>
      </c>
      <c r="T445" s="8" t="n">
        <f aca="false">R445+S445</f>
        <v>2594.178</v>
      </c>
      <c r="U445" s="8" t="n">
        <f aca="false">T445-K445</f>
        <v>362.188</v>
      </c>
      <c r="V445" s="8" t="n">
        <f aca="false">R445+S445-U445</f>
        <v>2231.99</v>
      </c>
      <c r="W445" s="9" t="str">
        <f aca="false">IF(ROUND(V445-K445,2)=0,"OK","ERRO")</f>
        <v>OK</v>
      </c>
      <c r="X445" s="9" t="str">
        <f aca="false">VLOOKUP(F445,DIM_SERVICO!$A$2:$D$151,3,FALSE())</f>
        <v>Motor</v>
      </c>
    </row>
    <row r="446" customFormat="false" ht="15" hidden="false" customHeight="false" outlineLevel="0" collapsed="false">
      <c r="A446" s="2" t="n">
        <v>445</v>
      </c>
      <c r="B446" s="2" t="n">
        <v>60</v>
      </c>
      <c r="C446" s="2" t="n">
        <v>30</v>
      </c>
      <c r="D446" s="2" t="n">
        <v>474</v>
      </c>
      <c r="E446" s="2" t="n">
        <v>456</v>
      </c>
      <c r="F446" s="2" t="n">
        <v>35</v>
      </c>
      <c r="G446" s="2" t="n">
        <v>94</v>
      </c>
      <c r="H446" s="2" t="n">
        <v>2</v>
      </c>
      <c r="I446" s="3" t="n">
        <v>1660.84</v>
      </c>
      <c r="J446" s="3" t="n">
        <v>1082.38</v>
      </c>
      <c r="K446" s="3" t="n">
        <v>4588.44</v>
      </c>
      <c r="L446" s="3" t="n">
        <v>2506.61</v>
      </c>
      <c r="M446" s="2" t="n">
        <v>9.5</v>
      </c>
      <c r="N446" s="2" t="s">
        <v>24</v>
      </c>
      <c r="O446" s="4" t="n">
        <f aca="false">VLOOKUP(F446,DIM_SERVICO!$A$2:$D$151,4,FALSE())</f>
        <v>1082.38</v>
      </c>
      <c r="P446" s="4" t="n">
        <f aca="false">VLOOKUP(E446,DIM_PECA!$A$2:$F$501,6,FALSE())</f>
        <v>1753.03</v>
      </c>
      <c r="Q446" s="4" t="n">
        <f aca="false">VLOOKUP(E446,DIM_PECA!$A$2:$F$501,5,FALSE())</f>
        <v>830.42</v>
      </c>
      <c r="R446" s="4" t="n">
        <f aca="false">H446*P446</f>
        <v>3506.06</v>
      </c>
      <c r="S446" s="4" t="n">
        <f aca="false">O446*M446</f>
        <v>10282.61</v>
      </c>
      <c r="T446" s="4" t="n">
        <f aca="false">R446+S446</f>
        <v>13788.67</v>
      </c>
      <c r="U446" s="4" t="n">
        <f aca="false">T446-K446</f>
        <v>9200.23</v>
      </c>
      <c r="V446" s="4" t="n">
        <f aca="false">R446+S446-U446</f>
        <v>4588.44</v>
      </c>
      <c r="W446" s="5" t="str">
        <f aca="false">IF(ROUND(V446-K446,2)=0,"OK","ERRO")</f>
        <v>OK</v>
      </c>
      <c r="X446" s="5" t="str">
        <f aca="false">VLOOKUP(F446,DIM_SERVICO!$A$2:$D$151,3,FALSE())</f>
        <v>Diagnóstico</v>
      </c>
    </row>
    <row r="447" customFormat="false" ht="15" hidden="false" customHeight="false" outlineLevel="0" collapsed="false">
      <c r="A447" s="6" t="n">
        <v>446</v>
      </c>
      <c r="B447" s="6" t="n">
        <v>405</v>
      </c>
      <c r="C447" s="6" t="n">
        <v>1155</v>
      </c>
      <c r="D447" s="6" t="n">
        <v>863</v>
      </c>
      <c r="E447" s="6" t="n">
        <v>449</v>
      </c>
      <c r="F447" s="6" t="n">
        <v>89</v>
      </c>
      <c r="G447" s="6" t="n">
        <v>936</v>
      </c>
      <c r="H447" s="6" t="n">
        <v>2</v>
      </c>
      <c r="I447" s="7" t="n">
        <v>1660.7</v>
      </c>
      <c r="J447" s="7" t="n">
        <v>310.79</v>
      </c>
      <c r="K447" s="7" t="n">
        <v>3405.49</v>
      </c>
      <c r="L447" s="7" t="n">
        <v>1574.84</v>
      </c>
      <c r="M447" s="6" t="n">
        <v>5.5</v>
      </c>
      <c r="N447" s="6" t="s">
        <v>26</v>
      </c>
      <c r="O447" s="8" t="n">
        <f aca="false">VLOOKUP(F447,DIM_SERVICO!$A$2:$D$151,4,FALSE())</f>
        <v>310.79</v>
      </c>
      <c r="P447" s="8" t="n">
        <f aca="false">VLOOKUP(E447,DIM_PECA!$A$2:$F$501,6,FALSE())</f>
        <v>1547.35</v>
      </c>
      <c r="Q447" s="8" t="n">
        <f aca="false">VLOOKUP(E447,DIM_PECA!$A$2:$F$501,5,FALSE())</f>
        <v>830.35</v>
      </c>
      <c r="R447" s="8" t="n">
        <f aca="false">H447*P447</f>
        <v>3094.7</v>
      </c>
      <c r="S447" s="8" t="n">
        <f aca="false">O447*M447</f>
        <v>1709.345</v>
      </c>
      <c r="T447" s="8" t="n">
        <f aca="false">R447+S447</f>
        <v>4804.045</v>
      </c>
      <c r="U447" s="8" t="n">
        <f aca="false">T447-K447</f>
        <v>1398.555</v>
      </c>
      <c r="V447" s="8" t="n">
        <f aca="false">R447+S447-U447</f>
        <v>3405.49</v>
      </c>
      <c r="W447" s="9" t="str">
        <f aca="false">IF(ROUND(V447-K447,2)=0,"OK","ERRO")</f>
        <v>OK</v>
      </c>
      <c r="X447" s="9" t="str">
        <f aca="false">VLOOKUP(F447,DIM_SERVICO!$A$2:$D$151,3,FALSE())</f>
        <v>Elétrica</v>
      </c>
    </row>
    <row r="448" customFormat="false" ht="15" hidden="false" customHeight="false" outlineLevel="0" collapsed="false">
      <c r="A448" s="2" t="n">
        <v>447</v>
      </c>
      <c r="B448" s="2" t="n">
        <v>168</v>
      </c>
      <c r="C448" s="2" t="n">
        <v>1138</v>
      </c>
      <c r="D448" s="2" t="n">
        <v>1167</v>
      </c>
      <c r="E448" s="2" t="n">
        <v>385</v>
      </c>
      <c r="F448" s="2" t="n">
        <v>48</v>
      </c>
      <c r="G448" s="2" t="n">
        <v>1027</v>
      </c>
      <c r="H448" s="2" t="n">
        <v>4</v>
      </c>
      <c r="I448" s="3" t="n">
        <v>3365.44</v>
      </c>
      <c r="J448" s="3" t="n">
        <v>863.62</v>
      </c>
      <c r="K448" s="3" t="n">
        <v>5482.73</v>
      </c>
      <c r="L448" s="3" t="n">
        <v>1755.57</v>
      </c>
      <c r="M448" s="2" t="n">
        <v>4.6</v>
      </c>
      <c r="N448" s="2" t="s">
        <v>24</v>
      </c>
      <c r="O448" s="4" t="n">
        <f aca="false">VLOOKUP(F448,DIM_SERVICO!$A$2:$D$151,4,FALSE())</f>
        <v>863.62</v>
      </c>
      <c r="P448" s="4" t="n">
        <f aca="false">VLOOKUP(E448,DIM_PECA!$A$2:$F$501,6,FALSE())</f>
        <v>1182.75</v>
      </c>
      <c r="Q448" s="4" t="n">
        <f aca="false">VLOOKUP(E448,DIM_PECA!$A$2:$F$501,5,FALSE())</f>
        <v>841.36</v>
      </c>
      <c r="R448" s="4" t="n">
        <f aca="false">H448*P448</f>
        <v>4731</v>
      </c>
      <c r="S448" s="4" t="n">
        <f aca="false">O448*M448</f>
        <v>3972.652</v>
      </c>
      <c r="T448" s="4" t="n">
        <f aca="false">R448+S448</f>
        <v>8703.652</v>
      </c>
      <c r="U448" s="4" t="n">
        <f aca="false">T448-K448</f>
        <v>3220.922</v>
      </c>
      <c r="V448" s="4" t="n">
        <f aca="false">R448+S448-U448</f>
        <v>5482.73</v>
      </c>
      <c r="W448" s="5" t="str">
        <f aca="false">IF(ROUND(V448-K448,2)=0,"OK","ERRO")</f>
        <v>OK</v>
      </c>
      <c r="X448" s="5" t="str">
        <f aca="false">VLOOKUP(F448,DIM_SERVICO!$A$2:$D$151,3,FALSE())</f>
        <v>Elétrica</v>
      </c>
    </row>
    <row r="449" customFormat="false" ht="15" hidden="false" customHeight="false" outlineLevel="0" collapsed="false">
      <c r="A449" s="6" t="n">
        <v>448</v>
      </c>
      <c r="B449" s="6" t="n">
        <v>1157</v>
      </c>
      <c r="C449" s="6" t="n">
        <v>732</v>
      </c>
      <c r="D449" s="6" t="n">
        <v>639</v>
      </c>
      <c r="E449" s="6" t="n">
        <v>72</v>
      </c>
      <c r="F449" s="6" t="n">
        <v>85</v>
      </c>
      <c r="G449" s="6" t="n">
        <v>1043</v>
      </c>
      <c r="H449" s="6" t="n">
        <v>4</v>
      </c>
      <c r="I449" s="7" t="n">
        <v>3731.56</v>
      </c>
      <c r="J449" s="7" t="n">
        <v>328.76</v>
      </c>
      <c r="K449" s="7" t="n">
        <v>7056.52</v>
      </c>
      <c r="L449" s="7" t="n">
        <v>3188.61</v>
      </c>
      <c r="M449" s="6" t="n">
        <v>10.6</v>
      </c>
      <c r="N449" s="6" t="s">
        <v>24</v>
      </c>
      <c r="O449" s="8" t="n">
        <f aca="false">VLOOKUP(F449,DIM_SERVICO!$A$2:$D$151,4,FALSE())</f>
        <v>328.76</v>
      </c>
      <c r="P449" s="8" t="n">
        <f aca="false">VLOOKUP(E449,DIM_PECA!$A$2:$F$501,6,FALSE())</f>
        <v>1774.79</v>
      </c>
      <c r="Q449" s="8" t="n">
        <f aca="false">VLOOKUP(E449,DIM_PECA!$A$2:$F$501,5,FALSE())</f>
        <v>932.89</v>
      </c>
      <c r="R449" s="8" t="n">
        <f aca="false">H449*P449</f>
        <v>7099.16</v>
      </c>
      <c r="S449" s="8" t="n">
        <f aca="false">O449*M449</f>
        <v>3484.856</v>
      </c>
      <c r="T449" s="8" t="n">
        <f aca="false">R449+S449</f>
        <v>10584.016</v>
      </c>
      <c r="U449" s="8" t="n">
        <f aca="false">T449-K449</f>
        <v>3527.496</v>
      </c>
      <c r="V449" s="8" t="n">
        <f aca="false">R449+S449-U449</f>
        <v>7056.52</v>
      </c>
      <c r="W449" s="9" t="str">
        <f aca="false">IF(ROUND(V449-K449,2)=0,"OK","ERRO")</f>
        <v>OK</v>
      </c>
      <c r="X449" s="9" t="str">
        <f aca="false">VLOOKUP(F449,DIM_SERVICO!$A$2:$D$151,3,FALSE())</f>
        <v>Motor</v>
      </c>
    </row>
    <row r="450" customFormat="false" ht="15" hidden="false" customHeight="false" outlineLevel="0" collapsed="false">
      <c r="A450" s="2" t="n">
        <v>449</v>
      </c>
      <c r="B450" s="2" t="n">
        <v>1333</v>
      </c>
      <c r="C450" s="2" t="n">
        <v>738</v>
      </c>
      <c r="D450" s="2" t="n">
        <v>51</v>
      </c>
      <c r="E450" s="2" t="n">
        <v>372</v>
      </c>
      <c r="F450" s="2" t="n">
        <v>110</v>
      </c>
      <c r="G450" s="2" t="n">
        <v>1561</v>
      </c>
      <c r="H450" s="2" t="n">
        <v>4</v>
      </c>
      <c r="I450" s="3" t="n">
        <v>1561.36</v>
      </c>
      <c r="J450" s="3" t="n">
        <v>587.35</v>
      </c>
      <c r="K450" s="3" t="n">
        <v>2987.71</v>
      </c>
      <c r="L450" s="3" t="n">
        <v>1104.98</v>
      </c>
      <c r="M450" s="2" t="n">
        <v>6</v>
      </c>
      <c r="N450" s="2" t="s">
        <v>25</v>
      </c>
      <c r="O450" s="4" t="n">
        <f aca="false">VLOOKUP(F450,DIM_SERVICO!$A$2:$D$151,4,FALSE())</f>
        <v>587.35</v>
      </c>
      <c r="P450" s="4" t="n">
        <f aca="false">VLOOKUP(E450,DIM_PECA!$A$2:$F$501,6,FALSE())</f>
        <v>600.09</v>
      </c>
      <c r="Q450" s="4" t="n">
        <f aca="false">VLOOKUP(E450,DIM_PECA!$A$2:$F$501,5,FALSE())</f>
        <v>390.34</v>
      </c>
      <c r="R450" s="4" t="n">
        <f aca="false">H450*P450</f>
        <v>2400.36</v>
      </c>
      <c r="S450" s="4" t="n">
        <f aca="false">O450*M450</f>
        <v>3524.1</v>
      </c>
      <c r="T450" s="4" t="n">
        <f aca="false">R450+S450</f>
        <v>5924.46</v>
      </c>
      <c r="U450" s="4" t="n">
        <f aca="false">T450-K450</f>
        <v>2936.75</v>
      </c>
      <c r="V450" s="4" t="n">
        <f aca="false">R450+S450-U450</f>
        <v>2987.71</v>
      </c>
      <c r="W450" s="5" t="str">
        <f aca="false">IF(ROUND(V450-K450,2)=0,"OK","ERRO")</f>
        <v>OK</v>
      </c>
      <c r="X450" s="5" t="str">
        <f aca="false">VLOOKUP(F450,DIM_SERVICO!$A$2:$D$151,3,FALSE())</f>
        <v>Funilaria</v>
      </c>
    </row>
    <row r="451" customFormat="false" ht="15" hidden="false" customHeight="false" outlineLevel="0" collapsed="false">
      <c r="A451" s="6" t="n">
        <v>450</v>
      </c>
      <c r="B451" s="6" t="n">
        <v>402</v>
      </c>
      <c r="C451" s="6" t="n">
        <v>344</v>
      </c>
      <c r="D451" s="6" t="n">
        <v>1174</v>
      </c>
      <c r="E451" s="6" t="n">
        <v>206</v>
      </c>
      <c r="F451" s="6" t="n">
        <v>80</v>
      </c>
      <c r="G451" s="6" t="n">
        <v>1792</v>
      </c>
      <c r="H451" s="6" t="n">
        <v>4</v>
      </c>
      <c r="I451" s="7" t="n">
        <v>925.12</v>
      </c>
      <c r="J451" s="7" t="n">
        <v>2134.39</v>
      </c>
      <c r="K451" s="7" t="n">
        <v>3595.87</v>
      </c>
      <c r="L451" s="7" t="n">
        <v>1828.02</v>
      </c>
      <c r="M451" s="6" t="n">
        <v>1.1</v>
      </c>
      <c r="N451" s="6" t="s">
        <v>24</v>
      </c>
      <c r="O451" s="8" t="n">
        <f aca="false">VLOOKUP(F451,DIM_SERVICO!$A$2:$D$151,4,FALSE())</f>
        <v>2134.39</v>
      </c>
      <c r="P451" s="8" t="n">
        <f aca="false">VLOOKUP(E451,DIM_PECA!$A$2:$F$501,6,FALSE())</f>
        <v>365.37</v>
      </c>
      <c r="Q451" s="8" t="n">
        <f aca="false">VLOOKUP(E451,DIM_PECA!$A$2:$F$501,5,FALSE())</f>
        <v>231.28</v>
      </c>
      <c r="R451" s="8" t="n">
        <f aca="false">H451*P451</f>
        <v>1461.48</v>
      </c>
      <c r="S451" s="8" t="n">
        <f aca="false">O451*M451</f>
        <v>2347.829</v>
      </c>
      <c r="T451" s="8" t="n">
        <f aca="false">R451+S451</f>
        <v>3809.309</v>
      </c>
      <c r="U451" s="8" t="n">
        <f aca="false">T451-K451</f>
        <v>213.439</v>
      </c>
      <c r="V451" s="8" t="n">
        <f aca="false">R451+S451-U451</f>
        <v>3595.87</v>
      </c>
      <c r="W451" s="9" t="str">
        <f aca="false">IF(ROUND(V451-K451,2)=0,"OK","ERRO")</f>
        <v>OK</v>
      </c>
      <c r="X451" s="9" t="str">
        <f aca="false">VLOOKUP(F451,DIM_SERVICO!$A$2:$D$151,3,FALSE())</f>
        <v>Suspensão</v>
      </c>
    </row>
    <row r="452" customFormat="false" ht="15" hidden="false" customHeight="false" outlineLevel="0" collapsed="false">
      <c r="A452" s="2" t="n">
        <v>451</v>
      </c>
      <c r="B452" s="2" t="n">
        <v>1110</v>
      </c>
      <c r="C452" s="2" t="n">
        <v>704</v>
      </c>
      <c r="D452" s="2" t="n">
        <v>648</v>
      </c>
      <c r="E452" s="2" t="n">
        <v>134</v>
      </c>
      <c r="F452" s="2" t="n">
        <v>104</v>
      </c>
      <c r="G452" s="2" t="n">
        <v>1313</v>
      </c>
      <c r="H452" s="2" t="n">
        <v>3</v>
      </c>
      <c r="I452" s="3" t="n">
        <v>1554.51</v>
      </c>
      <c r="J452" s="3" t="n">
        <v>409.99</v>
      </c>
      <c r="K452" s="3" t="n">
        <v>3419.08</v>
      </c>
      <c r="L452" s="3" t="n">
        <v>1651.5</v>
      </c>
      <c r="M452" s="2" t="n">
        <v>3.8</v>
      </c>
      <c r="N452" s="2" t="s">
        <v>24</v>
      </c>
      <c r="O452" s="4" t="n">
        <f aca="false">VLOOKUP(F452,DIM_SERVICO!$A$2:$D$151,4,FALSE())</f>
        <v>409.99</v>
      </c>
      <c r="P452" s="4" t="n">
        <f aca="false">VLOOKUP(E452,DIM_PECA!$A$2:$F$501,6,FALSE())</f>
        <v>1003.03</v>
      </c>
      <c r="Q452" s="4" t="n">
        <f aca="false">VLOOKUP(E452,DIM_PECA!$A$2:$F$501,5,FALSE())</f>
        <v>518.17</v>
      </c>
      <c r="R452" s="4" t="n">
        <f aca="false">H452*P452</f>
        <v>3009.09</v>
      </c>
      <c r="S452" s="4" t="n">
        <f aca="false">O452*M452</f>
        <v>1557.962</v>
      </c>
      <c r="T452" s="4" t="n">
        <f aca="false">R452+S452</f>
        <v>4567.052</v>
      </c>
      <c r="U452" s="4" t="n">
        <f aca="false">T452-K452</f>
        <v>1147.972</v>
      </c>
      <c r="V452" s="4" t="n">
        <f aca="false">R452+S452-U452</f>
        <v>3419.08</v>
      </c>
      <c r="W452" s="5" t="str">
        <f aca="false">IF(ROUND(V452-K452,2)=0,"OK","ERRO")</f>
        <v>OK</v>
      </c>
      <c r="X452" s="5" t="str">
        <f aca="false">VLOOKUP(F452,DIM_SERVICO!$A$2:$D$151,3,FALSE())</f>
        <v>Diagnóstico</v>
      </c>
    </row>
    <row r="453" customFormat="false" ht="15" hidden="false" customHeight="false" outlineLevel="0" collapsed="false">
      <c r="A453" s="6" t="n">
        <v>452</v>
      </c>
      <c r="B453" s="6" t="n">
        <v>1442</v>
      </c>
      <c r="C453" s="6" t="n">
        <v>1274</v>
      </c>
      <c r="D453" s="6" t="n">
        <v>913</v>
      </c>
      <c r="E453" s="6" t="n">
        <v>179</v>
      </c>
      <c r="F453" s="6" t="n">
        <v>35</v>
      </c>
      <c r="G453" s="6" t="n">
        <v>1199</v>
      </c>
      <c r="H453" s="6" t="n">
        <v>3</v>
      </c>
      <c r="I453" s="7" t="n">
        <v>645.96</v>
      </c>
      <c r="J453" s="7" t="n">
        <v>1082.38</v>
      </c>
      <c r="K453" s="7" t="n">
        <v>2223.55</v>
      </c>
      <c r="L453" s="7" t="n">
        <v>1063.1</v>
      </c>
      <c r="M453" s="6" t="n">
        <v>3.8</v>
      </c>
      <c r="N453" s="6" t="s">
        <v>25</v>
      </c>
      <c r="O453" s="8" t="n">
        <f aca="false">VLOOKUP(F453,DIM_SERVICO!$A$2:$D$151,4,FALSE())</f>
        <v>1082.38</v>
      </c>
      <c r="P453" s="8" t="n">
        <f aca="false">VLOOKUP(E453,DIM_PECA!$A$2:$F$501,6,FALSE())</f>
        <v>444.84</v>
      </c>
      <c r="Q453" s="8" t="n">
        <f aca="false">VLOOKUP(E453,DIM_PECA!$A$2:$F$501,5,FALSE())</f>
        <v>215.32</v>
      </c>
      <c r="R453" s="8" t="n">
        <f aca="false">H453*P453</f>
        <v>1334.52</v>
      </c>
      <c r="S453" s="8" t="n">
        <f aca="false">O453*M453</f>
        <v>4113.044</v>
      </c>
      <c r="T453" s="8" t="n">
        <f aca="false">R453+S453</f>
        <v>5447.564</v>
      </c>
      <c r="U453" s="8" t="n">
        <f aca="false">T453-K453</f>
        <v>3224.014</v>
      </c>
      <c r="V453" s="8" t="n">
        <f aca="false">R453+S453-U453</f>
        <v>2223.55</v>
      </c>
      <c r="W453" s="9" t="str">
        <f aca="false">IF(ROUND(V453-K453,2)=0,"OK","ERRO")</f>
        <v>OK</v>
      </c>
      <c r="X453" s="9" t="str">
        <f aca="false">VLOOKUP(F453,DIM_SERVICO!$A$2:$D$151,3,FALSE())</f>
        <v>Diagnóstico</v>
      </c>
    </row>
    <row r="454" customFormat="false" ht="15" hidden="false" customHeight="false" outlineLevel="0" collapsed="false">
      <c r="A454" s="2" t="n">
        <v>453</v>
      </c>
      <c r="B454" s="2" t="n">
        <v>96</v>
      </c>
      <c r="C454" s="2" t="n">
        <v>933</v>
      </c>
      <c r="D454" s="2" t="n">
        <v>11</v>
      </c>
      <c r="E454" s="2" t="n">
        <v>147</v>
      </c>
      <c r="F454" s="2" t="n">
        <v>31</v>
      </c>
      <c r="G454" s="2" t="n">
        <v>1412</v>
      </c>
      <c r="H454" s="2" t="n">
        <v>3</v>
      </c>
      <c r="I454" s="3" t="n">
        <v>2768.43</v>
      </c>
      <c r="J454" s="3" t="n">
        <v>1359.86</v>
      </c>
      <c r="K454" s="3" t="n">
        <v>5954.12</v>
      </c>
      <c r="L454" s="3" t="n">
        <v>2700.16</v>
      </c>
      <c r="M454" s="2" t="n">
        <v>9.1</v>
      </c>
      <c r="N454" s="2" t="s">
        <v>27</v>
      </c>
      <c r="O454" s="4" t="n">
        <f aca="false">VLOOKUP(F454,DIM_SERVICO!$A$2:$D$151,4,FALSE())</f>
        <v>1359.86</v>
      </c>
      <c r="P454" s="4" t="n">
        <f aca="false">VLOOKUP(E454,DIM_PECA!$A$2:$F$501,6,FALSE())</f>
        <v>1531.42</v>
      </c>
      <c r="Q454" s="4" t="n">
        <f aca="false">VLOOKUP(E454,DIM_PECA!$A$2:$F$501,5,FALSE())</f>
        <v>922.81</v>
      </c>
      <c r="R454" s="4" t="n">
        <f aca="false">H454*P454</f>
        <v>4594.26</v>
      </c>
      <c r="S454" s="4" t="n">
        <f aca="false">O454*M454</f>
        <v>12374.726</v>
      </c>
      <c r="T454" s="4" t="n">
        <f aca="false">R454+S454</f>
        <v>16968.986</v>
      </c>
      <c r="U454" s="4" t="n">
        <f aca="false">T454-K454</f>
        <v>11014.866</v>
      </c>
      <c r="V454" s="4" t="n">
        <f aca="false">R454+S454-U454</f>
        <v>5954.12</v>
      </c>
      <c r="W454" s="5" t="str">
        <f aca="false">IF(ROUND(V454-K454,2)=0,"OK","ERRO")</f>
        <v>OK</v>
      </c>
      <c r="X454" s="5" t="str">
        <f aca="false">VLOOKUP(F454,DIM_SERVICO!$A$2:$D$151,3,FALSE())</f>
        <v>Suspensão</v>
      </c>
    </row>
    <row r="455" customFormat="false" ht="15" hidden="false" customHeight="false" outlineLevel="0" collapsed="false">
      <c r="A455" s="6" t="n">
        <v>454</v>
      </c>
      <c r="B455" s="6" t="n">
        <v>1359</v>
      </c>
      <c r="C455" s="6" t="n">
        <v>435</v>
      </c>
      <c r="D455" s="6" t="n">
        <v>364</v>
      </c>
      <c r="E455" s="6" t="n">
        <v>247</v>
      </c>
      <c r="F455" s="6" t="n">
        <v>11</v>
      </c>
      <c r="G455" s="6" t="n">
        <v>876</v>
      </c>
      <c r="H455" s="6" t="n">
        <v>3</v>
      </c>
      <c r="I455" s="7" t="n">
        <v>462.72</v>
      </c>
      <c r="J455" s="7" t="n">
        <v>2164.78</v>
      </c>
      <c r="K455" s="7" t="n">
        <v>2771.16</v>
      </c>
      <c r="L455" s="7" t="n">
        <v>1504.92</v>
      </c>
      <c r="M455" s="6" t="n">
        <v>6.5</v>
      </c>
      <c r="N455" s="6" t="s">
        <v>24</v>
      </c>
      <c r="O455" s="8" t="n">
        <f aca="false">VLOOKUP(F455,DIM_SERVICO!$A$2:$D$151,4,FALSE())</f>
        <v>2164.78</v>
      </c>
      <c r="P455" s="8" t="n">
        <f aca="false">VLOOKUP(E455,DIM_PECA!$A$2:$F$501,6,FALSE())</f>
        <v>282.45</v>
      </c>
      <c r="Q455" s="8" t="n">
        <f aca="false">VLOOKUP(E455,DIM_PECA!$A$2:$F$501,5,FALSE())</f>
        <v>154.24</v>
      </c>
      <c r="R455" s="8" t="n">
        <f aca="false">H455*P455</f>
        <v>847.35</v>
      </c>
      <c r="S455" s="8" t="n">
        <f aca="false">O455*M455</f>
        <v>14071.07</v>
      </c>
      <c r="T455" s="8" t="n">
        <f aca="false">R455+S455</f>
        <v>14918.42</v>
      </c>
      <c r="U455" s="8" t="n">
        <f aca="false">T455-K455</f>
        <v>12147.26</v>
      </c>
      <c r="V455" s="8" t="n">
        <f aca="false">R455+S455-U455</f>
        <v>2771.16</v>
      </c>
      <c r="W455" s="9" t="str">
        <f aca="false">IF(ROUND(V455-K455,2)=0,"OK","ERRO")</f>
        <v>OK</v>
      </c>
      <c r="X455" s="9" t="str">
        <f aca="false">VLOOKUP(F455,DIM_SERVICO!$A$2:$D$151,3,FALSE())</f>
        <v>Freios</v>
      </c>
    </row>
    <row r="456" customFormat="false" ht="15" hidden="false" customHeight="false" outlineLevel="0" collapsed="false">
      <c r="A456" s="2" t="n">
        <v>455</v>
      </c>
      <c r="B456" s="2" t="n">
        <v>877</v>
      </c>
      <c r="C456" s="2" t="n">
        <v>1210</v>
      </c>
      <c r="D456" s="2" t="n">
        <v>727</v>
      </c>
      <c r="E456" s="2" t="n">
        <v>332</v>
      </c>
      <c r="F456" s="2" t="n">
        <v>31</v>
      </c>
      <c r="G456" s="2" t="n">
        <v>406</v>
      </c>
      <c r="H456" s="2" t="n">
        <v>4</v>
      </c>
      <c r="I456" s="3" t="n">
        <v>1082.68</v>
      </c>
      <c r="J456" s="3" t="n">
        <v>1359.86</v>
      </c>
      <c r="K456" s="3" t="n">
        <v>3243.33</v>
      </c>
      <c r="L456" s="3" t="n">
        <v>1446.81</v>
      </c>
      <c r="M456" s="2" t="n">
        <v>7.6</v>
      </c>
      <c r="N456" s="2" t="s">
        <v>27</v>
      </c>
      <c r="O456" s="4" t="n">
        <f aca="false">VLOOKUP(F456,DIM_SERVICO!$A$2:$D$151,4,FALSE())</f>
        <v>1359.86</v>
      </c>
      <c r="P456" s="4" t="n">
        <f aca="false">VLOOKUP(E456,DIM_PECA!$A$2:$F$501,6,FALSE())</f>
        <v>560.96</v>
      </c>
      <c r="Q456" s="4" t="n">
        <f aca="false">VLOOKUP(E456,DIM_PECA!$A$2:$F$501,5,FALSE())</f>
        <v>270.67</v>
      </c>
      <c r="R456" s="4" t="n">
        <f aca="false">H456*P456</f>
        <v>2243.84</v>
      </c>
      <c r="S456" s="4" t="n">
        <f aca="false">O456*M456</f>
        <v>10334.936</v>
      </c>
      <c r="T456" s="4" t="n">
        <f aca="false">R456+S456</f>
        <v>12578.776</v>
      </c>
      <c r="U456" s="4" t="n">
        <f aca="false">T456-K456</f>
        <v>9335.446</v>
      </c>
      <c r="V456" s="4" t="n">
        <f aca="false">R456+S456-U456</f>
        <v>3243.33</v>
      </c>
      <c r="W456" s="5" t="str">
        <f aca="false">IF(ROUND(V456-K456,2)=0,"OK","ERRO")</f>
        <v>OK</v>
      </c>
      <c r="X456" s="5" t="str">
        <f aca="false">VLOOKUP(F456,DIM_SERVICO!$A$2:$D$151,3,FALSE())</f>
        <v>Suspensão</v>
      </c>
    </row>
    <row r="457" customFormat="false" ht="15" hidden="false" customHeight="false" outlineLevel="0" collapsed="false">
      <c r="A457" s="6" t="n">
        <v>456</v>
      </c>
      <c r="B457" s="6" t="n">
        <v>930</v>
      </c>
      <c r="C457" s="6" t="n">
        <v>668</v>
      </c>
      <c r="D457" s="6" t="n">
        <v>1006</v>
      </c>
      <c r="E457" s="6" t="n">
        <v>144</v>
      </c>
      <c r="F457" s="6" t="n">
        <v>42</v>
      </c>
      <c r="G457" s="6" t="n">
        <v>365</v>
      </c>
      <c r="H457" s="6" t="n">
        <v>1</v>
      </c>
      <c r="I457" s="7" t="n">
        <v>74.74</v>
      </c>
      <c r="J457" s="7" t="n">
        <v>1029.92</v>
      </c>
      <c r="K457" s="7" t="n">
        <v>1090.59</v>
      </c>
      <c r="L457" s="7" t="n">
        <v>616.04</v>
      </c>
      <c r="M457" s="6" t="n">
        <v>2.2</v>
      </c>
      <c r="N457" s="6" t="s">
        <v>27</v>
      </c>
      <c r="O457" s="8" t="n">
        <f aca="false">VLOOKUP(F457,DIM_SERVICO!$A$2:$D$151,4,FALSE())</f>
        <v>1029.92</v>
      </c>
      <c r="P457" s="8" t="n">
        <f aca="false">VLOOKUP(E457,DIM_PECA!$A$2:$F$501,6,FALSE())</f>
        <v>155.5</v>
      </c>
      <c r="Q457" s="8" t="n">
        <f aca="false">VLOOKUP(E457,DIM_PECA!$A$2:$F$501,5,FALSE())</f>
        <v>74.74</v>
      </c>
      <c r="R457" s="8" t="n">
        <f aca="false">H457*P457</f>
        <v>155.5</v>
      </c>
      <c r="S457" s="8" t="n">
        <f aca="false">O457*M457</f>
        <v>2265.824</v>
      </c>
      <c r="T457" s="8" t="n">
        <f aca="false">R457+S457</f>
        <v>2421.324</v>
      </c>
      <c r="U457" s="8" t="n">
        <f aca="false">T457-K457</f>
        <v>1330.734</v>
      </c>
      <c r="V457" s="8" t="n">
        <f aca="false">R457+S457-U457</f>
        <v>1090.59</v>
      </c>
      <c r="W457" s="9" t="str">
        <f aca="false">IF(ROUND(V457-K457,2)=0,"OK","ERRO")</f>
        <v>OK</v>
      </c>
      <c r="X457" s="9" t="str">
        <f aca="false">VLOOKUP(F457,DIM_SERVICO!$A$2:$D$151,3,FALSE())</f>
        <v>Elétrica</v>
      </c>
    </row>
    <row r="458" customFormat="false" ht="15" hidden="false" customHeight="false" outlineLevel="0" collapsed="false">
      <c r="A458" s="2" t="n">
        <v>457</v>
      </c>
      <c r="B458" s="2" t="n">
        <v>409</v>
      </c>
      <c r="C458" s="2" t="n">
        <v>157</v>
      </c>
      <c r="D458" s="2" t="n">
        <v>1102</v>
      </c>
      <c r="E458" s="2" t="n">
        <v>342</v>
      </c>
      <c r="F458" s="2" t="n">
        <v>118</v>
      </c>
      <c r="G458" s="2" t="n">
        <v>1735</v>
      </c>
      <c r="H458" s="2" t="n">
        <v>4</v>
      </c>
      <c r="I458" s="3" t="n">
        <v>507.6</v>
      </c>
      <c r="J458" s="3" t="n">
        <v>114.25</v>
      </c>
      <c r="K458" s="3" t="n">
        <v>908.09</v>
      </c>
      <c r="L458" s="3" t="n">
        <v>358.51</v>
      </c>
      <c r="M458" s="2" t="n">
        <v>0.6</v>
      </c>
      <c r="N458" s="2" t="s">
        <v>25</v>
      </c>
      <c r="O458" s="4" t="n">
        <f aca="false">VLOOKUP(F458,DIM_SERVICO!$A$2:$D$151,4,FALSE())</f>
        <v>114.25</v>
      </c>
      <c r="P458" s="4" t="n">
        <f aca="false">VLOOKUP(E458,DIM_PECA!$A$2:$F$501,6,FALSE())</f>
        <v>218.2</v>
      </c>
      <c r="Q458" s="4" t="n">
        <f aca="false">VLOOKUP(E458,DIM_PECA!$A$2:$F$501,5,FALSE())</f>
        <v>126.9</v>
      </c>
      <c r="R458" s="4" t="n">
        <f aca="false">H458*P458</f>
        <v>872.8</v>
      </c>
      <c r="S458" s="4" t="n">
        <f aca="false">O458*M458</f>
        <v>68.55</v>
      </c>
      <c r="T458" s="4" t="n">
        <f aca="false">R458+S458</f>
        <v>941.35</v>
      </c>
      <c r="U458" s="4" t="n">
        <f aca="false">T458-K458</f>
        <v>33.2599999999999</v>
      </c>
      <c r="V458" s="4" t="n">
        <f aca="false">R458+S458-U458</f>
        <v>908.09</v>
      </c>
      <c r="W458" s="5" t="str">
        <f aca="false">IF(ROUND(V458-K458,2)=0,"OK","ERRO")</f>
        <v>OK</v>
      </c>
      <c r="X458" s="5" t="str">
        <f aca="false">VLOOKUP(F458,DIM_SERVICO!$A$2:$D$151,3,FALSE())</f>
        <v>Elétrica</v>
      </c>
    </row>
    <row r="459" customFormat="false" ht="15" hidden="false" customHeight="false" outlineLevel="0" collapsed="false">
      <c r="A459" s="6" t="n">
        <v>458</v>
      </c>
      <c r="B459" s="6" t="n">
        <v>240</v>
      </c>
      <c r="C459" s="6" t="n">
        <v>222</v>
      </c>
      <c r="D459" s="6" t="n">
        <v>698</v>
      </c>
      <c r="E459" s="6" t="n">
        <v>227</v>
      </c>
      <c r="F459" s="6" t="n">
        <v>118</v>
      </c>
      <c r="G459" s="6" t="n">
        <v>604</v>
      </c>
      <c r="H459" s="6" t="n">
        <v>2</v>
      </c>
      <c r="I459" s="7" t="n">
        <v>307.4</v>
      </c>
      <c r="J459" s="7" t="n">
        <v>114.25</v>
      </c>
      <c r="K459" s="7" t="n">
        <v>619.43</v>
      </c>
      <c r="L459" s="7" t="n">
        <v>270.86</v>
      </c>
      <c r="M459" s="6" t="n">
        <v>6.8</v>
      </c>
      <c r="N459" s="6" t="s">
        <v>24</v>
      </c>
      <c r="O459" s="8" t="n">
        <f aca="false">VLOOKUP(F459,DIM_SERVICO!$A$2:$D$151,4,FALSE())</f>
        <v>114.25</v>
      </c>
      <c r="P459" s="8" t="n">
        <f aca="false">VLOOKUP(E459,DIM_PECA!$A$2:$F$501,6,FALSE())</f>
        <v>258.91</v>
      </c>
      <c r="Q459" s="8" t="n">
        <f aca="false">VLOOKUP(E459,DIM_PECA!$A$2:$F$501,5,FALSE())</f>
        <v>153.7</v>
      </c>
      <c r="R459" s="8" t="n">
        <f aca="false">H459*P459</f>
        <v>517.82</v>
      </c>
      <c r="S459" s="8" t="n">
        <f aca="false">O459*M459</f>
        <v>776.9</v>
      </c>
      <c r="T459" s="8" t="n">
        <f aca="false">R459+S459</f>
        <v>1294.72</v>
      </c>
      <c r="U459" s="8" t="n">
        <f aca="false">T459-K459</f>
        <v>675.29</v>
      </c>
      <c r="V459" s="8" t="n">
        <f aca="false">R459+S459-U459</f>
        <v>619.43</v>
      </c>
      <c r="W459" s="9" t="str">
        <f aca="false">IF(ROUND(V459-K459,2)=0,"OK","ERRO")</f>
        <v>OK</v>
      </c>
      <c r="X459" s="9" t="str">
        <f aca="false">VLOOKUP(F459,DIM_SERVICO!$A$2:$D$151,3,FALSE())</f>
        <v>Elétrica</v>
      </c>
    </row>
    <row r="460" customFormat="false" ht="15" hidden="false" customHeight="false" outlineLevel="0" collapsed="false">
      <c r="A460" s="2" t="n">
        <v>459</v>
      </c>
      <c r="B460" s="2" t="n">
        <v>274</v>
      </c>
      <c r="C460" s="2" t="n">
        <v>6</v>
      </c>
      <c r="D460" s="2" t="n">
        <v>1068</v>
      </c>
      <c r="E460" s="2" t="n">
        <v>267</v>
      </c>
      <c r="F460" s="2" t="n">
        <v>85</v>
      </c>
      <c r="G460" s="2" t="n">
        <v>1237</v>
      </c>
      <c r="H460" s="2" t="n">
        <v>2</v>
      </c>
      <c r="I460" s="3" t="n">
        <v>1803.16</v>
      </c>
      <c r="J460" s="3" t="n">
        <v>328.76</v>
      </c>
      <c r="K460" s="3" t="n">
        <v>3195.35</v>
      </c>
      <c r="L460" s="3" t="n">
        <v>1270.59</v>
      </c>
      <c r="M460" s="2" t="n">
        <v>3.1</v>
      </c>
      <c r="N460" s="2" t="s">
        <v>24</v>
      </c>
      <c r="O460" s="4" t="n">
        <f aca="false">VLOOKUP(F460,DIM_SERVICO!$A$2:$D$151,4,FALSE())</f>
        <v>328.76</v>
      </c>
      <c r="P460" s="4" t="n">
        <f aca="false">VLOOKUP(E460,DIM_PECA!$A$2:$F$501,6,FALSE())</f>
        <v>1465.9</v>
      </c>
      <c r="Q460" s="4" t="n">
        <f aca="false">VLOOKUP(E460,DIM_PECA!$A$2:$F$501,5,FALSE())</f>
        <v>901.58</v>
      </c>
      <c r="R460" s="4" t="n">
        <f aca="false">H460*P460</f>
        <v>2931.8</v>
      </c>
      <c r="S460" s="4" t="n">
        <f aca="false">O460*M460</f>
        <v>1019.156</v>
      </c>
      <c r="T460" s="4" t="n">
        <f aca="false">R460+S460</f>
        <v>3950.956</v>
      </c>
      <c r="U460" s="4" t="n">
        <f aca="false">T460-K460</f>
        <v>755.606</v>
      </c>
      <c r="V460" s="4" t="n">
        <f aca="false">R460+S460-U460</f>
        <v>3195.35</v>
      </c>
      <c r="W460" s="5" t="str">
        <f aca="false">IF(ROUND(V460-K460,2)=0,"OK","ERRO")</f>
        <v>OK</v>
      </c>
      <c r="X460" s="5" t="str">
        <f aca="false">VLOOKUP(F460,DIM_SERVICO!$A$2:$D$151,3,FALSE())</f>
        <v>Motor</v>
      </c>
    </row>
    <row r="461" customFormat="false" ht="15" hidden="false" customHeight="false" outlineLevel="0" collapsed="false">
      <c r="A461" s="6" t="n">
        <v>460</v>
      </c>
      <c r="B461" s="6" t="n">
        <v>1159</v>
      </c>
      <c r="C461" s="6" t="n">
        <v>852</v>
      </c>
      <c r="D461" s="6" t="n">
        <v>1033</v>
      </c>
      <c r="E461" s="6" t="n">
        <v>395</v>
      </c>
      <c r="F461" s="6" t="n">
        <v>70</v>
      </c>
      <c r="G461" s="6" t="n">
        <v>964</v>
      </c>
      <c r="H461" s="6" t="n">
        <v>3</v>
      </c>
      <c r="I461" s="7" t="n">
        <v>3076.86</v>
      </c>
      <c r="J461" s="7" t="n">
        <v>688.79</v>
      </c>
      <c r="K461" s="7" t="n">
        <v>6884.59</v>
      </c>
      <c r="L461" s="7" t="n">
        <v>3538.35</v>
      </c>
      <c r="M461" s="6" t="n">
        <v>4</v>
      </c>
      <c r="N461" s="6" t="s">
        <v>27</v>
      </c>
      <c r="O461" s="8" t="n">
        <f aca="false">VLOOKUP(F461,DIM_SERVICO!$A$2:$D$151,4,FALSE())</f>
        <v>688.79</v>
      </c>
      <c r="P461" s="8" t="n">
        <f aca="false">VLOOKUP(E461,DIM_PECA!$A$2:$F$501,6,FALSE())</f>
        <v>2186.05</v>
      </c>
      <c r="Q461" s="8" t="n">
        <f aca="false">VLOOKUP(E461,DIM_PECA!$A$2:$F$501,5,FALSE())</f>
        <v>1025.62</v>
      </c>
      <c r="R461" s="8" t="n">
        <f aca="false">H461*P461</f>
        <v>6558.15</v>
      </c>
      <c r="S461" s="8" t="n">
        <f aca="false">O461*M461</f>
        <v>2755.16</v>
      </c>
      <c r="T461" s="8" t="n">
        <f aca="false">R461+S461</f>
        <v>9313.31</v>
      </c>
      <c r="U461" s="8" t="n">
        <f aca="false">T461-K461</f>
        <v>2428.72</v>
      </c>
      <c r="V461" s="8" t="n">
        <f aca="false">R461+S461-U461</f>
        <v>6884.59</v>
      </c>
      <c r="W461" s="9" t="str">
        <f aca="false">IF(ROUND(V461-K461,2)=0,"OK","ERRO")</f>
        <v>OK</v>
      </c>
      <c r="X461" s="9" t="str">
        <f aca="false">VLOOKUP(F461,DIM_SERVICO!$A$2:$D$151,3,FALSE())</f>
        <v>Freios</v>
      </c>
    </row>
    <row r="462" customFormat="false" ht="15" hidden="false" customHeight="false" outlineLevel="0" collapsed="false">
      <c r="A462" s="2" t="n">
        <v>461</v>
      </c>
      <c r="B462" s="2" t="n">
        <v>1236</v>
      </c>
      <c r="C462" s="2" t="n">
        <v>983</v>
      </c>
      <c r="D462" s="2" t="n">
        <v>719</v>
      </c>
      <c r="E462" s="2" t="n">
        <v>357</v>
      </c>
      <c r="F462" s="2" t="n">
        <v>133</v>
      </c>
      <c r="G462" s="2" t="n">
        <v>1093</v>
      </c>
      <c r="H462" s="2" t="n">
        <v>2</v>
      </c>
      <c r="I462" s="3" t="n">
        <v>1959.24</v>
      </c>
      <c r="J462" s="3" t="n">
        <v>1635.43</v>
      </c>
      <c r="K462" s="3" t="n">
        <v>4552.41</v>
      </c>
      <c r="L462" s="3" t="n">
        <v>1855.38</v>
      </c>
      <c r="M462" s="2" t="n">
        <v>5</v>
      </c>
      <c r="N462" s="2" t="s">
        <v>24</v>
      </c>
      <c r="O462" s="4" t="n">
        <f aca="false">VLOOKUP(F462,DIM_SERVICO!$A$2:$D$151,4,FALSE())</f>
        <v>1635.43</v>
      </c>
      <c r="P462" s="4" t="n">
        <f aca="false">VLOOKUP(E462,DIM_PECA!$A$2:$F$501,6,FALSE())</f>
        <v>1656.42</v>
      </c>
      <c r="Q462" s="4" t="n">
        <f aca="false">VLOOKUP(E462,DIM_PECA!$A$2:$F$501,5,FALSE())</f>
        <v>979.62</v>
      </c>
      <c r="R462" s="4" t="n">
        <f aca="false">H462*P462</f>
        <v>3312.84</v>
      </c>
      <c r="S462" s="4" t="n">
        <f aca="false">O462*M462</f>
        <v>8177.15</v>
      </c>
      <c r="T462" s="4" t="n">
        <f aca="false">R462+S462</f>
        <v>11489.99</v>
      </c>
      <c r="U462" s="4" t="n">
        <f aca="false">T462-K462</f>
        <v>6937.58</v>
      </c>
      <c r="V462" s="4" t="n">
        <f aca="false">R462+S462-U462</f>
        <v>4552.41</v>
      </c>
      <c r="W462" s="5" t="str">
        <f aca="false">IF(ROUND(V462-K462,2)=0,"OK","ERRO")</f>
        <v>OK</v>
      </c>
      <c r="X462" s="5" t="str">
        <f aca="false">VLOOKUP(F462,DIM_SERVICO!$A$2:$D$151,3,FALSE())</f>
        <v>Suspensão</v>
      </c>
    </row>
    <row r="463" customFormat="false" ht="15" hidden="false" customHeight="false" outlineLevel="0" collapsed="false">
      <c r="A463" s="6" t="n">
        <v>462</v>
      </c>
      <c r="B463" s="6" t="n">
        <v>27</v>
      </c>
      <c r="C463" s="6" t="n">
        <v>186</v>
      </c>
      <c r="D463" s="6" t="n">
        <v>948</v>
      </c>
      <c r="E463" s="6" t="n">
        <v>341</v>
      </c>
      <c r="F463" s="6" t="n">
        <v>124</v>
      </c>
      <c r="G463" s="6" t="n">
        <v>1649</v>
      </c>
      <c r="H463" s="6" t="n">
        <v>4</v>
      </c>
      <c r="I463" s="7" t="n">
        <v>797.96</v>
      </c>
      <c r="J463" s="7" t="n">
        <v>2049.22</v>
      </c>
      <c r="K463" s="7" t="n">
        <v>3371.14</v>
      </c>
      <c r="L463" s="7" t="n">
        <v>1730.08</v>
      </c>
      <c r="M463" s="6" t="n">
        <v>4.1</v>
      </c>
      <c r="N463" s="6" t="s">
        <v>27</v>
      </c>
      <c r="O463" s="8" t="n">
        <f aca="false">VLOOKUP(F463,DIM_SERVICO!$A$2:$D$151,4,FALSE())</f>
        <v>2049.22</v>
      </c>
      <c r="P463" s="8" t="n">
        <f aca="false">VLOOKUP(E463,DIM_PECA!$A$2:$F$501,6,FALSE())</f>
        <v>347.68</v>
      </c>
      <c r="Q463" s="8" t="n">
        <f aca="false">VLOOKUP(E463,DIM_PECA!$A$2:$F$501,5,FALSE())</f>
        <v>199.49</v>
      </c>
      <c r="R463" s="8" t="n">
        <f aca="false">H463*P463</f>
        <v>1390.72</v>
      </c>
      <c r="S463" s="8" t="n">
        <f aca="false">O463*M463</f>
        <v>8401.802</v>
      </c>
      <c r="T463" s="8" t="n">
        <f aca="false">R463+S463</f>
        <v>9792.522</v>
      </c>
      <c r="U463" s="8" t="n">
        <f aca="false">T463-K463</f>
        <v>6421.382</v>
      </c>
      <c r="V463" s="8" t="n">
        <f aca="false">R463+S463-U463</f>
        <v>3371.14</v>
      </c>
      <c r="W463" s="9" t="str">
        <f aca="false">IF(ROUND(V463-K463,2)=0,"OK","ERRO")</f>
        <v>OK</v>
      </c>
      <c r="X463" s="9" t="str">
        <f aca="false">VLOOKUP(F463,DIM_SERVICO!$A$2:$D$151,3,FALSE())</f>
        <v>Freios</v>
      </c>
    </row>
    <row r="464" customFormat="false" ht="15" hidden="false" customHeight="false" outlineLevel="0" collapsed="false">
      <c r="A464" s="2" t="n">
        <v>463</v>
      </c>
      <c r="B464" s="2" t="n">
        <v>850</v>
      </c>
      <c r="C464" s="2" t="n">
        <v>1381</v>
      </c>
      <c r="D464" s="2" t="n">
        <v>105</v>
      </c>
      <c r="E464" s="2" t="n">
        <v>277</v>
      </c>
      <c r="F464" s="2" t="n">
        <v>75</v>
      </c>
      <c r="G464" s="2" t="n">
        <v>388</v>
      </c>
      <c r="H464" s="2" t="n">
        <v>1</v>
      </c>
      <c r="I464" s="3" t="n">
        <v>966.33</v>
      </c>
      <c r="J464" s="3" t="n">
        <v>1549.88</v>
      </c>
      <c r="K464" s="3" t="n">
        <v>3200.08</v>
      </c>
      <c r="L464" s="3" t="n">
        <v>1499.63</v>
      </c>
      <c r="M464" s="2" t="n">
        <v>4.2</v>
      </c>
      <c r="N464" s="2" t="s">
        <v>27</v>
      </c>
      <c r="O464" s="4" t="n">
        <f aca="false">VLOOKUP(F464,DIM_SERVICO!$A$2:$D$151,4,FALSE())</f>
        <v>1549.88</v>
      </c>
      <c r="P464" s="4" t="n">
        <f aca="false">VLOOKUP(E464,DIM_PECA!$A$2:$F$501,6,FALSE())</f>
        <v>2005.76</v>
      </c>
      <c r="Q464" s="4" t="n">
        <f aca="false">VLOOKUP(E464,DIM_PECA!$A$2:$F$501,5,FALSE())</f>
        <v>966.33</v>
      </c>
      <c r="R464" s="4" t="n">
        <f aca="false">H464*P464</f>
        <v>2005.76</v>
      </c>
      <c r="S464" s="4" t="n">
        <f aca="false">O464*M464</f>
        <v>6509.496</v>
      </c>
      <c r="T464" s="4" t="n">
        <f aca="false">R464+S464</f>
        <v>8515.256</v>
      </c>
      <c r="U464" s="4" t="n">
        <f aca="false">T464-K464</f>
        <v>5315.176</v>
      </c>
      <c r="V464" s="4" t="n">
        <f aca="false">R464+S464-U464</f>
        <v>3200.08</v>
      </c>
      <c r="W464" s="5" t="str">
        <f aca="false">IF(ROUND(V464-K464,2)=0,"OK","ERRO")</f>
        <v>OK</v>
      </c>
      <c r="X464" s="5" t="str">
        <f aca="false">VLOOKUP(F464,DIM_SERVICO!$A$2:$D$151,3,FALSE())</f>
        <v>Freios</v>
      </c>
    </row>
    <row r="465" customFormat="false" ht="15" hidden="false" customHeight="false" outlineLevel="0" collapsed="false">
      <c r="A465" s="6" t="n">
        <v>464</v>
      </c>
      <c r="B465" s="6" t="n">
        <v>1177</v>
      </c>
      <c r="C465" s="6" t="n">
        <v>1487</v>
      </c>
      <c r="D465" s="6" t="n">
        <v>120</v>
      </c>
      <c r="E465" s="6" t="n">
        <v>464</v>
      </c>
      <c r="F465" s="6" t="n">
        <v>115</v>
      </c>
      <c r="G465" s="6" t="n">
        <v>1715</v>
      </c>
      <c r="H465" s="6" t="n">
        <v>1</v>
      </c>
      <c r="I465" s="7" t="n">
        <v>677.83</v>
      </c>
      <c r="J465" s="7" t="n">
        <v>1374.43</v>
      </c>
      <c r="K465" s="7" t="n">
        <v>2126.64</v>
      </c>
      <c r="L465" s="7" t="n">
        <v>751.11</v>
      </c>
      <c r="M465" s="6" t="n">
        <v>4.2</v>
      </c>
      <c r="N465" s="6" t="s">
        <v>26</v>
      </c>
      <c r="O465" s="8" t="n">
        <f aca="false">VLOOKUP(F465,DIM_SERVICO!$A$2:$D$151,4,FALSE())</f>
        <v>1374.43</v>
      </c>
      <c r="P465" s="8" t="n">
        <f aca="false">VLOOKUP(E465,DIM_PECA!$A$2:$F$501,6,FALSE())</f>
        <v>937.14</v>
      </c>
      <c r="Q465" s="8" t="n">
        <f aca="false">VLOOKUP(E465,DIM_PECA!$A$2:$F$501,5,FALSE())</f>
        <v>677.83</v>
      </c>
      <c r="R465" s="8" t="n">
        <f aca="false">H465*P465</f>
        <v>937.14</v>
      </c>
      <c r="S465" s="8" t="n">
        <f aca="false">O465*M465</f>
        <v>5772.606</v>
      </c>
      <c r="T465" s="8" t="n">
        <f aca="false">R465+S465</f>
        <v>6709.746</v>
      </c>
      <c r="U465" s="8" t="n">
        <f aca="false">T465-K465</f>
        <v>4583.106</v>
      </c>
      <c r="V465" s="8" t="n">
        <f aca="false">R465+S465-U465</f>
        <v>2126.64</v>
      </c>
      <c r="W465" s="9" t="str">
        <f aca="false">IF(ROUND(V465-K465,2)=0,"OK","ERRO")</f>
        <v>OK</v>
      </c>
      <c r="X465" s="9" t="str">
        <f aca="false">VLOOKUP(F465,DIM_SERVICO!$A$2:$D$151,3,FALSE())</f>
        <v>Suspensão</v>
      </c>
    </row>
    <row r="466" customFormat="false" ht="15" hidden="false" customHeight="false" outlineLevel="0" collapsed="false">
      <c r="A466" s="2" t="n">
        <v>465</v>
      </c>
      <c r="B466" s="2" t="n">
        <v>1317</v>
      </c>
      <c r="C466" s="2" t="n">
        <v>1359</v>
      </c>
      <c r="D466" s="2" t="n">
        <v>118</v>
      </c>
      <c r="E466" s="2" t="n">
        <v>69</v>
      </c>
      <c r="F466" s="2" t="n">
        <v>108</v>
      </c>
      <c r="G466" s="2" t="n">
        <v>41</v>
      </c>
      <c r="H466" s="2" t="n">
        <v>3</v>
      </c>
      <c r="I466" s="3" t="n">
        <v>1662.81</v>
      </c>
      <c r="J466" s="3" t="n">
        <v>1178.47</v>
      </c>
      <c r="K466" s="3" t="n">
        <v>3465.13</v>
      </c>
      <c r="L466" s="3" t="n">
        <v>1225.6</v>
      </c>
      <c r="M466" s="2" t="n">
        <v>3.9</v>
      </c>
      <c r="N466" s="2" t="s">
        <v>24</v>
      </c>
      <c r="O466" s="4" t="n">
        <f aca="false">VLOOKUP(F466,DIM_SERVICO!$A$2:$D$151,4,FALSE())</f>
        <v>1178.47</v>
      </c>
      <c r="P466" s="4" t="n">
        <f aca="false">VLOOKUP(E466,DIM_PECA!$A$2:$F$501,6,FALSE())</f>
        <v>762.22</v>
      </c>
      <c r="Q466" s="4" t="n">
        <f aca="false">VLOOKUP(E466,DIM_PECA!$A$2:$F$501,5,FALSE())</f>
        <v>554.27</v>
      </c>
      <c r="R466" s="4" t="n">
        <f aca="false">H466*P466</f>
        <v>2286.66</v>
      </c>
      <c r="S466" s="4" t="n">
        <f aca="false">O466*M466</f>
        <v>4596.033</v>
      </c>
      <c r="T466" s="4" t="n">
        <f aca="false">R466+S466</f>
        <v>6882.693</v>
      </c>
      <c r="U466" s="4" t="n">
        <f aca="false">T466-K466</f>
        <v>3417.563</v>
      </c>
      <c r="V466" s="4" t="n">
        <f aca="false">R466+S466-U466</f>
        <v>3465.13</v>
      </c>
      <c r="W466" s="5" t="str">
        <f aca="false">IF(ROUND(V466-K466,2)=0,"OK","ERRO")</f>
        <v>OK</v>
      </c>
      <c r="X466" s="5" t="str">
        <f aca="false">VLOOKUP(F466,DIM_SERVICO!$A$2:$D$151,3,FALSE())</f>
        <v>Funilaria</v>
      </c>
    </row>
    <row r="467" customFormat="false" ht="15" hidden="false" customHeight="false" outlineLevel="0" collapsed="false">
      <c r="A467" s="6" t="n">
        <v>466</v>
      </c>
      <c r="B467" s="6" t="n">
        <v>46</v>
      </c>
      <c r="C467" s="6" t="n">
        <v>287</v>
      </c>
      <c r="D467" s="6" t="n">
        <v>1120</v>
      </c>
      <c r="E467" s="6" t="n">
        <v>410</v>
      </c>
      <c r="F467" s="6" t="n">
        <v>137</v>
      </c>
      <c r="G467" s="6" t="n">
        <v>1542</v>
      </c>
      <c r="H467" s="6" t="n">
        <v>3</v>
      </c>
      <c r="I467" s="7" t="n">
        <v>3289.89</v>
      </c>
      <c r="J467" s="7" t="n">
        <v>1147.35</v>
      </c>
      <c r="K467" s="7" t="n">
        <v>7945.17</v>
      </c>
      <c r="L467" s="7" t="n">
        <v>4111.17</v>
      </c>
      <c r="M467" s="6" t="n">
        <v>9.3</v>
      </c>
      <c r="N467" s="6" t="s">
        <v>25</v>
      </c>
      <c r="O467" s="8" t="n">
        <f aca="false">VLOOKUP(F467,DIM_SERVICO!$A$2:$D$151,4,FALSE())</f>
        <v>1147.35</v>
      </c>
      <c r="P467" s="8" t="n">
        <f aca="false">VLOOKUP(E467,DIM_PECA!$A$2:$F$501,6,FALSE())</f>
        <v>2265.94</v>
      </c>
      <c r="Q467" s="8" t="n">
        <f aca="false">VLOOKUP(E467,DIM_PECA!$A$2:$F$501,5,FALSE())</f>
        <v>1096.63</v>
      </c>
      <c r="R467" s="8" t="n">
        <f aca="false">H467*P467</f>
        <v>6797.82</v>
      </c>
      <c r="S467" s="8" t="n">
        <f aca="false">O467*M467</f>
        <v>10670.355</v>
      </c>
      <c r="T467" s="8" t="n">
        <f aca="false">R467+S467</f>
        <v>17468.175</v>
      </c>
      <c r="U467" s="8" t="n">
        <f aca="false">T467-K467</f>
        <v>9523.005</v>
      </c>
      <c r="V467" s="8" t="n">
        <f aca="false">R467+S467-U467</f>
        <v>7945.17</v>
      </c>
      <c r="W467" s="9" t="str">
        <f aca="false">IF(ROUND(V467-K467,2)=0,"OK","ERRO")</f>
        <v>OK</v>
      </c>
      <c r="X467" s="9" t="str">
        <f aca="false">VLOOKUP(F467,DIM_SERVICO!$A$2:$D$151,3,FALSE())</f>
        <v>Diagnóstico</v>
      </c>
    </row>
    <row r="468" customFormat="false" ht="15" hidden="false" customHeight="false" outlineLevel="0" collapsed="false">
      <c r="A468" s="2" t="n">
        <v>467</v>
      </c>
      <c r="B468" s="2" t="n">
        <v>1119</v>
      </c>
      <c r="C468" s="2" t="n">
        <v>905</v>
      </c>
      <c r="D468" s="2" t="n">
        <v>778</v>
      </c>
      <c r="E468" s="2" t="n">
        <v>294</v>
      </c>
      <c r="F468" s="2" t="n">
        <v>83</v>
      </c>
      <c r="G468" s="2" t="n">
        <v>767</v>
      </c>
      <c r="H468" s="2" t="n">
        <v>1</v>
      </c>
      <c r="I468" s="3" t="n">
        <v>1029.03</v>
      </c>
      <c r="J468" s="3" t="n">
        <v>2098.93</v>
      </c>
      <c r="K468" s="3" t="n">
        <v>3840.84</v>
      </c>
      <c r="L468" s="3" t="n">
        <v>2005.58</v>
      </c>
      <c r="M468" s="2" t="n">
        <v>1.5</v>
      </c>
      <c r="N468" s="2" t="s">
        <v>25</v>
      </c>
      <c r="O468" s="4" t="n">
        <f aca="false">VLOOKUP(F468,DIM_SERVICO!$A$2:$D$151,4,FALSE())</f>
        <v>2098.93</v>
      </c>
      <c r="P468" s="4" t="n">
        <f aca="false">VLOOKUP(E468,DIM_PECA!$A$2:$F$501,6,FALSE())</f>
        <v>2075.9</v>
      </c>
      <c r="Q468" s="4" t="n">
        <f aca="false">VLOOKUP(E468,DIM_PECA!$A$2:$F$501,5,FALSE())</f>
        <v>1029.03</v>
      </c>
      <c r="R468" s="4" t="n">
        <f aca="false">H468*P468</f>
        <v>2075.9</v>
      </c>
      <c r="S468" s="4" t="n">
        <f aca="false">O468*M468</f>
        <v>3148.395</v>
      </c>
      <c r="T468" s="4" t="n">
        <f aca="false">R468+S468</f>
        <v>5224.295</v>
      </c>
      <c r="U468" s="4" t="n">
        <f aca="false">T468-K468</f>
        <v>1383.455</v>
      </c>
      <c r="V468" s="4" t="n">
        <f aca="false">R468+S468-U468</f>
        <v>3840.84</v>
      </c>
      <c r="W468" s="5" t="str">
        <f aca="false">IF(ROUND(V468-K468,2)=0,"OK","ERRO")</f>
        <v>OK</v>
      </c>
      <c r="X468" s="5" t="str">
        <f aca="false">VLOOKUP(F468,DIM_SERVICO!$A$2:$D$151,3,FALSE())</f>
        <v>Pintura</v>
      </c>
    </row>
    <row r="469" customFormat="false" ht="15" hidden="false" customHeight="false" outlineLevel="0" collapsed="false">
      <c r="A469" s="6" t="n">
        <v>468</v>
      </c>
      <c r="B469" s="6" t="n">
        <v>646</v>
      </c>
      <c r="C469" s="6" t="n">
        <v>72</v>
      </c>
      <c r="D469" s="6" t="n">
        <v>890</v>
      </c>
      <c r="E469" s="6" t="n">
        <v>266</v>
      </c>
      <c r="F469" s="6" t="n">
        <v>62</v>
      </c>
      <c r="G469" s="6" t="n">
        <v>924</v>
      </c>
      <c r="H469" s="6" t="n">
        <v>2</v>
      </c>
      <c r="I469" s="7" t="n">
        <v>1966.34</v>
      </c>
      <c r="J469" s="7" t="n">
        <v>709.8</v>
      </c>
      <c r="K469" s="7" t="n">
        <v>3626.96</v>
      </c>
      <c r="L469" s="7" t="n">
        <v>1301.28</v>
      </c>
      <c r="M469" s="6" t="n">
        <v>8.4</v>
      </c>
      <c r="N469" s="6" t="s">
        <v>27</v>
      </c>
      <c r="O469" s="8" t="n">
        <f aca="false">VLOOKUP(F469,DIM_SERVICO!$A$2:$D$151,4,FALSE())</f>
        <v>709.8</v>
      </c>
      <c r="P469" s="8" t="n">
        <f aca="false">VLOOKUP(E469,DIM_PECA!$A$2:$F$501,6,FALSE())</f>
        <v>1458.58</v>
      </c>
      <c r="Q469" s="8" t="n">
        <f aca="false">VLOOKUP(E469,DIM_PECA!$A$2:$F$501,5,FALSE())</f>
        <v>983.17</v>
      </c>
      <c r="R469" s="8" t="n">
        <f aca="false">H469*P469</f>
        <v>2917.16</v>
      </c>
      <c r="S469" s="8" t="n">
        <f aca="false">O469*M469</f>
        <v>5962.32</v>
      </c>
      <c r="T469" s="8" t="n">
        <f aca="false">R469+S469</f>
        <v>8879.48</v>
      </c>
      <c r="U469" s="8" t="n">
        <f aca="false">T469-K469</f>
        <v>5252.52</v>
      </c>
      <c r="V469" s="8" t="n">
        <f aca="false">R469+S469-U469</f>
        <v>3626.96</v>
      </c>
      <c r="W469" s="9" t="str">
        <f aca="false">IF(ROUND(V469-K469,2)=0,"OK","ERRO")</f>
        <v>OK</v>
      </c>
      <c r="X469" s="9" t="str">
        <f aca="false">VLOOKUP(F469,DIM_SERVICO!$A$2:$D$151,3,FALSE())</f>
        <v>Pintura</v>
      </c>
    </row>
    <row r="470" customFormat="false" ht="15" hidden="false" customHeight="false" outlineLevel="0" collapsed="false">
      <c r="A470" s="2" t="n">
        <v>469</v>
      </c>
      <c r="B470" s="2" t="n">
        <v>716</v>
      </c>
      <c r="C470" s="2" t="n">
        <v>714</v>
      </c>
      <c r="D470" s="2" t="n">
        <v>1047</v>
      </c>
      <c r="E470" s="2" t="n">
        <v>471</v>
      </c>
      <c r="F470" s="2" t="n">
        <v>79</v>
      </c>
      <c r="G470" s="2" t="n">
        <v>224</v>
      </c>
      <c r="H470" s="2" t="n">
        <v>2</v>
      </c>
      <c r="I470" s="3" t="n">
        <v>212.22</v>
      </c>
      <c r="J470" s="3" t="n">
        <v>748.05</v>
      </c>
      <c r="K470" s="3" t="n">
        <v>1068.83</v>
      </c>
      <c r="L470" s="3" t="n">
        <v>559.49</v>
      </c>
      <c r="M470" s="2" t="n">
        <v>11.9</v>
      </c>
      <c r="N470" s="2" t="s">
        <v>27</v>
      </c>
      <c r="O470" s="4" t="n">
        <f aca="false">VLOOKUP(F470,DIM_SERVICO!$A$2:$D$151,4,FALSE())</f>
        <v>748.05</v>
      </c>
      <c r="P470" s="4" t="n">
        <f aca="false">VLOOKUP(E470,DIM_PECA!$A$2:$F$501,6,FALSE())</f>
        <v>206.86</v>
      </c>
      <c r="Q470" s="4" t="n">
        <f aca="false">VLOOKUP(E470,DIM_PECA!$A$2:$F$501,5,FALSE())</f>
        <v>106.11</v>
      </c>
      <c r="R470" s="4" t="n">
        <f aca="false">H470*P470</f>
        <v>413.72</v>
      </c>
      <c r="S470" s="4" t="n">
        <f aca="false">O470*M470</f>
        <v>8901.795</v>
      </c>
      <c r="T470" s="4" t="n">
        <f aca="false">R470+S470</f>
        <v>9315.515</v>
      </c>
      <c r="U470" s="4" t="n">
        <f aca="false">T470-K470</f>
        <v>8246.685</v>
      </c>
      <c r="V470" s="4" t="n">
        <f aca="false">R470+S470-U470</f>
        <v>1068.83</v>
      </c>
      <c r="W470" s="5" t="str">
        <f aca="false">IF(ROUND(V470-K470,2)=0,"OK","ERRO")</f>
        <v>OK</v>
      </c>
      <c r="X470" s="5" t="str">
        <f aca="false">VLOOKUP(F470,DIM_SERVICO!$A$2:$D$151,3,FALSE())</f>
        <v>Freios</v>
      </c>
    </row>
    <row r="471" customFormat="false" ht="15" hidden="false" customHeight="false" outlineLevel="0" collapsed="false">
      <c r="A471" s="6" t="n">
        <v>470</v>
      </c>
      <c r="B471" s="6" t="n">
        <v>256</v>
      </c>
      <c r="C471" s="6" t="n">
        <v>672</v>
      </c>
      <c r="D471" s="6" t="n">
        <v>1048</v>
      </c>
      <c r="E471" s="6" t="n">
        <v>368</v>
      </c>
      <c r="F471" s="6" t="n">
        <v>45</v>
      </c>
      <c r="G471" s="6" t="n">
        <v>414</v>
      </c>
      <c r="H471" s="6" t="n">
        <v>2</v>
      </c>
      <c r="I471" s="7" t="n">
        <v>2208.8</v>
      </c>
      <c r="J471" s="7" t="n">
        <v>510.5</v>
      </c>
      <c r="K471" s="7" t="n">
        <v>3284.17</v>
      </c>
      <c r="L471" s="7" t="n">
        <v>858.94</v>
      </c>
      <c r="M471" s="6" t="n">
        <v>1.1</v>
      </c>
      <c r="N471" s="6" t="s">
        <v>25</v>
      </c>
      <c r="O471" s="8" t="n">
        <f aca="false">VLOOKUP(F471,DIM_SERVICO!$A$2:$D$151,4,FALSE())</f>
        <v>510.5</v>
      </c>
      <c r="P471" s="8" t="n">
        <f aca="false">VLOOKUP(E471,DIM_PECA!$A$2:$F$501,6,FALSE())</f>
        <v>1569.29</v>
      </c>
      <c r="Q471" s="8" t="n">
        <f aca="false">VLOOKUP(E471,DIM_PECA!$A$2:$F$501,5,FALSE())</f>
        <v>1104.4</v>
      </c>
      <c r="R471" s="8" t="n">
        <f aca="false">H471*P471</f>
        <v>3138.58</v>
      </c>
      <c r="S471" s="8" t="n">
        <f aca="false">O471*M471</f>
        <v>561.55</v>
      </c>
      <c r="T471" s="8" t="n">
        <f aca="false">R471+S471</f>
        <v>3700.13</v>
      </c>
      <c r="U471" s="8" t="n">
        <f aca="false">T471-K471</f>
        <v>415.96</v>
      </c>
      <c r="V471" s="8" t="n">
        <f aca="false">R471+S471-U471</f>
        <v>3284.17</v>
      </c>
      <c r="W471" s="9" t="str">
        <f aca="false">IF(ROUND(V471-K471,2)=0,"OK","ERRO")</f>
        <v>OK</v>
      </c>
      <c r="X471" s="9" t="str">
        <f aca="false">VLOOKUP(F471,DIM_SERVICO!$A$2:$D$151,3,FALSE())</f>
        <v>Revisão</v>
      </c>
    </row>
    <row r="472" customFormat="false" ht="15" hidden="false" customHeight="false" outlineLevel="0" collapsed="false">
      <c r="A472" s="2" t="n">
        <v>471</v>
      </c>
      <c r="B472" s="2" t="n">
        <v>775</v>
      </c>
      <c r="C472" s="2" t="n">
        <v>371</v>
      </c>
      <c r="D472" s="2" t="n">
        <v>523</v>
      </c>
      <c r="E472" s="2" t="n">
        <v>178</v>
      </c>
      <c r="F472" s="2" t="n">
        <v>82</v>
      </c>
      <c r="G472" s="2" t="n">
        <v>1714</v>
      </c>
      <c r="H472" s="2" t="n">
        <v>4</v>
      </c>
      <c r="I472" s="3" t="n">
        <v>350.08</v>
      </c>
      <c r="J472" s="3" t="n">
        <v>673.49</v>
      </c>
      <c r="K472" s="3" t="n">
        <v>1220.57</v>
      </c>
      <c r="L472" s="3" t="n">
        <v>511.24</v>
      </c>
      <c r="M472" s="2" t="n">
        <v>4.9</v>
      </c>
      <c r="N472" s="2" t="s">
        <v>26</v>
      </c>
      <c r="O472" s="4" t="n">
        <f aca="false">VLOOKUP(F472,DIM_SERVICO!$A$2:$D$151,4,FALSE())</f>
        <v>673.49</v>
      </c>
      <c r="P472" s="4" t="n">
        <f aca="false">VLOOKUP(E472,DIM_PECA!$A$2:$F$501,6,FALSE())</f>
        <v>136.77</v>
      </c>
      <c r="Q472" s="4" t="n">
        <f aca="false">VLOOKUP(E472,DIM_PECA!$A$2:$F$501,5,FALSE())</f>
        <v>87.52</v>
      </c>
      <c r="R472" s="4" t="n">
        <f aca="false">H472*P472</f>
        <v>547.08</v>
      </c>
      <c r="S472" s="4" t="n">
        <f aca="false">O472*M472</f>
        <v>3300.101</v>
      </c>
      <c r="T472" s="4" t="n">
        <f aca="false">R472+S472</f>
        <v>3847.181</v>
      </c>
      <c r="U472" s="4" t="n">
        <f aca="false">T472-K472</f>
        <v>2626.611</v>
      </c>
      <c r="V472" s="4" t="n">
        <f aca="false">R472+S472-U472</f>
        <v>1220.57</v>
      </c>
      <c r="W472" s="5" t="str">
        <f aca="false">IF(ROUND(V472-K472,2)=0,"OK","ERRO")</f>
        <v>OK</v>
      </c>
      <c r="X472" s="5" t="str">
        <f aca="false">VLOOKUP(F472,DIM_SERVICO!$A$2:$D$151,3,FALSE())</f>
        <v>Diagnóstico</v>
      </c>
    </row>
    <row r="473" customFormat="false" ht="15" hidden="false" customHeight="false" outlineLevel="0" collapsed="false">
      <c r="A473" s="6" t="n">
        <v>472</v>
      </c>
      <c r="B473" s="6" t="n">
        <v>306</v>
      </c>
      <c r="C473" s="6" t="n">
        <v>367</v>
      </c>
      <c r="D473" s="6" t="n">
        <v>842</v>
      </c>
      <c r="E473" s="6" t="n">
        <v>139</v>
      </c>
      <c r="F473" s="6" t="n">
        <v>54</v>
      </c>
      <c r="G473" s="6" t="n">
        <v>682</v>
      </c>
      <c r="H473" s="6" t="n">
        <v>1</v>
      </c>
      <c r="I473" s="7" t="n">
        <v>1091.22</v>
      </c>
      <c r="J473" s="7" t="n">
        <v>952.31</v>
      </c>
      <c r="K473" s="7" t="n">
        <v>2267.41</v>
      </c>
      <c r="L473" s="7" t="n">
        <v>788.98</v>
      </c>
      <c r="M473" s="6" t="n">
        <v>6.4</v>
      </c>
      <c r="N473" s="6" t="s">
        <v>24</v>
      </c>
      <c r="O473" s="8" t="n">
        <f aca="false">VLOOKUP(F473,DIM_SERVICO!$A$2:$D$151,4,FALSE())</f>
        <v>952.31</v>
      </c>
      <c r="P473" s="8" t="n">
        <f aca="false">VLOOKUP(E473,DIM_PECA!$A$2:$F$501,6,FALSE())</f>
        <v>1567.04</v>
      </c>
      <c r="Q473" s="8" t="n">
        <f aca="false">VLOOKUP(E473,DIM_PECA!$A$2:$F$501,5,FALSE())</f>
        <v>1091.22</v>
      </c>
      <c r="R473" s="8" t="n">
        <f aca="false">H473*P473</f>
        <v>1567.04</v>
      </c>
      <c r="S473" s="8" t="n">
        <f aca="false">O473*M473</f>
        <v>6094.784</v>
      </c>
      <c r="T473" s="8" t="n">
        <f aca="false">R473+S473</f>
        <v>7661.824</v>
      </c>
      <c r="U473" s="8" t="n">
        <f aca="false">T473-K473</f>
        <v>5394.414</v>
      </c>
      <c r="V473" s="8" t="n">
        <f aca="false">R473+S473-U473</f>
        <v>2267.41</v>
      </c>
      <c r="W473" s="9" t="str">
        <f aca="false">IF(ROUND(V473-K473,2)=0,"OK","ERRO")</f>
        <v>OK</v>
      </c>
      <c r="X473" s="9" t="str">
        <f aca="false">VLOOKUP(F473,DIM_SERVICO!$A$2:$D$151,3,FALSE())</f>
        <v>Revisão</v>
      </c>
    </row>
    <row r="474" customFormat="false" ht="15" hidden="false" customHeight="false" outlineLevel="0" collapsed="false">
      <c r="A474" s="2" t="n">
        <v>473</v>
      </c>
      <c r="B474" s="2" t="n">
        <v>1285</v>
      </c>
      <c r="C474" s="2" t="n">
        <v>844</v>
      </c>
      <c r="D474" s="2" t="n">
        <v>372</v>
      </c>
      <c r="E474" s="2" t="n">
        <v>69</v>
      </c>
      <c r="F474" s="2" t="n">
        <v>127</v>
      </c>
      <c r="G474" s="2" t="n">
        <v>1436</v>
      </c>
      <c r="H474" s="2" t="n">
        <v>1</v>
      </c>
      <c r="I474" s="3" t="n">
        <v>554.27</v>
      </c>
      <c r="J474" s="3" t="n">
        <v>165.02</v>
      </c>
      <c r="K474" s="3" t="n">
        <v>927.24</v>
      </c>
      <c r="L474" s="3" t="n">
        <v>308.43</v>
      </c>
      <c r="M474" s="2" t="n">
        <v>3.4</v>
      </c>
      <c r="N474" s="2" t="s">
        <v>24</v>
      </c>
      <c r="O474" s="4" t="n">
        <f aca="false">VLOOKUP(F474,DIM_SERVICO!$A$2:$D$151,4,FALSE())</f>
        <v>165.02</v>
      </c>
      <c r="P474" s="4" t="n">
        <f aca="false">VLOOKUP(E474,DIM_PECA!$A$2:$F$501,6,FALSE())</f>
        <v>762.22</v>
      </c>
      <c r="Q474" s="4" t="n">
        <f aca="false">VLOOKUP(E474,DIM_PECA!$A$2:$F$501,5,FALSE())</f>
        <v>554.27</v>
      </c>
      <c r="R474" s="4" t="n">
        <f aca="false">H474*P474</f>
        <v>762.22</v>
      </c>
      <c r="S474" s="4" t="n">
        <f aca="false">O474*M474</f>
        <v>561.068</v>
      </c>
      <c r="T474" s="4" t="n">
        <f aca="false">R474+S474</f>
        <v>1323.288</v>
      </c>
      <c r="U474" s="4" t="n">
        <f aca="false">T474-K474</f>
        <v>396.048</v>
      </c>
      <c r="V474" s="4" t="n">
        <f aca="false">R474+S474-U474</f>
        <v>927.24</v>
      </c>
      <c r="W474" s="5" t="str">
        <f aca="false">IF(ROUND(V474-K474,2)=0,"OK","ERRO")</f>
        <v>OK</v>
      </c>
      <c r="X474" s="5" t="str">
        <f aca="false">VLOOKUP(F474,DIM_SERVICO!$A$2:$D$151,3,FALSE())</f>
        <v>Suspensão</v>
      </c>
    </row>
    <row r="475" customFormat="false" ht="15" hidden="false" customHeight="false" outlineLevel="0" collapsed="false">
      <c r="A475" s="6" t="n">
        <v>474</v>
      </c>
      <c r="B475" s="6" t="n">
        <v>823</v>
      </c>
      <c r="C475" s="6" t="n">
        <v>69</v>
      </c>
      <c r="D475" s="6" t="n">
        <v>226</v>
      </c>
      <c r="E475" s="6" t="n">
        <v>269</v>
      </c>
      <c r="F475" s="6" t="n">
        <v>20</v>
      </c>
      <c r="G475" s="6" t="n">
        <v>92</v>
      </c>
      <c r="H475" s="6" t="n">
        <v>4</v>
      </c>
      <c r="I475" s="7" t="n">
        <v>4370.96</v>
      </c>
      <c r="J475" s="7" t="n">
        <v>295.88</v>
      </c>
      <c r="K475" s="7" t="n">
        <v>8333.92</v>
      </c>
      <c r="L475" s="7" t="n">
        <v>3813.18</v>
      </c>
      <c r="M475" s="6" t="n">
        <v>6.1</v>
      </c>
      <c r="N475" s="6" t="s">
        <v>26</v>
      </c>
      <c r="O475" s="8" t="n">
        <f aca="false">VLOOKUP(F475,DIM_SERVICO!$A$2:$D$151,4,FALSE())</f>
        <v>295.88</v>
      </c>
      <c r="P475" s="8" t="n">
        <f aca="false">VLOOKUP(E475,DIM_PECA!$A$2:$F$501,6,FALSE())</f>
        <v>2009.51</v>
      </c>
      <c r="Q475" s="8" t="n">
        <f aca="false">VLOOKUP(E475,DIM_PECA!$A$2:$F$501,5,FALSE())</f>
        <v>1092.74</v>
      </c>
      <c r="R475" s="8" t="n">
        <f aca="false">H475*P475</f>
        <v>8038.04</v>
      </c>
      <c r="S475" s="8" t="n">
        <f aca="false">O475*M475</f>
        <v>1804.868</v>
      </c>
      <c r="T475" s="8" t="n">
        <f aca="false">R475+S475</f>
        <v>9842.908</v>
      </c>
      <c r="U475" s="8" t="n">
        <f aca="false">T475-K475</f>
        <v>1508.988</v>
      </c>
      <c r="V475" s="8" t="n">
        <f aca="false">R475+S475-U475</f>
        <v>8333.92</v>
      </c>
      <c r="W475" s="9" t="str">
        <f aca="false">IF(ROUND(V475-K475,2)=0,"OK","ERRO")</f>
        <v>OK</v>
      </c>
      <c r="X475" s="9" t="str">
        <f aca="false">VLOOKUP(F475,DIM_SERVICO!$A$2:$D$151,3,FALSE())</f>
        <v>Elétrica</v>
      </c>
    </row>
    <row r="476" customFormat="false" ht="15" hidden="false" customHeight="false" outlineLevel="0" collapsed="false">
      <c r="A476" s="2" t="n">
        <v>475</v>
      </c>
      <c r="B476" s="2" t="n">
        <v>279</v>
      </c>
      <c r="C476" s="2" t="n">
        <v>476</v>
      </c>
      <c r="D476" s="2" t="n">
        <v>534</v>
      </c>
      <c r="E476" s="2" t="n">
        <v>141</v>
      </c>
      <c r="F476" s="2" t="n">
        <v>54</v>
      </c>
      <c r="G476" s="2" t="n">
        <v>426</v>
      </c>
      <c r="H476" s="2" t="n">
        <v>3</v>
      </c>
      <c r="I476" s="3" t="n">
        <v>1606.68</v>
      </c>
      <c r="J476" s="3" t="n">
        <v>952.31</v>
      </c>
      <c r="K476" s="3" t="n">
        <v>3171.23</v>
      </c>
      <c r="L476" s="3" t="n">
        <v>1152.18</v>
      </c>
      <c r="M476" s="2" t="n">
        <v>8</v>
      </c>
      <c r="N476" s="2" t="s">
        <v>24</v>
      </c>
      <c r="O476" s="4" t="n">
        <f aca="false">VLOOKUP(F476,DIM_SERVICO!$A$2:$D$151,4,FALSE())</f>
        <v>952.31</v>
      </c>
      <c r="P476" s="4" t="n">
        <f aca="false">VLOOKUP(E476,DIM_PECA!$A$2:$F$501,6,FALSE())</f>
        <v>831.56</v>
      </c>
      <c r="Q476" s="4" t="n">
        <f aca="false">VLOOKUP(E476,DIM_PECA!$A$2:$F$501,5,FALSE())</f>
        <v>535.56</v>
      </c>
      <c r="R476" s="4" t="n">
        <f aca="false">H476*P476</f>
        <v>2494.68</v>
      </c>
      <c r="S476" s="4" t="n">
        <f aca="false">O476*M476</f>
        <v>7618.48</v>
      </c>
      <c r="T476" s="4" t="n">
        <f aca="false">R476+S476</f>
        <v>10113.16</v>
      </c>
      <c r="U476" s="4" t="n">
        <f aca="false">T476-K476</f>
        <v>6941.93</v>
      </c>
      <c r="V476" s="4" t="n">
        <f aca="false">R476+S476-U476</f>
        <v>3171.23</v>
      </c>
      <c r="W476" s="5" t="str">
        <f aca="false">IF(ROUND(V476-K476,2)=0,"OK","ERRO")</f>
        <v>OK</v>
      </c>
      <c r="X476" s="5" t="str">
        <f aca="false">VLOOKUP(F476,DIM_SERVICO!$A$2:$D$151,3,FALSE())</f>
        <v>Revisão</v>
      </c>
    </row>
    <row r="477" customFormat="false" ht="15" hidden="false" customHeight="false" outlineLevel="0" collapsed="false">
      <c r="A477" s="6" t="n">
        <v>476</v>
      </c>
      <c r="B477" s="6" t="n">
        <v>359</v>
      </c>
      <c r="C477" s="6" t="n">
        <v>769</v>
      </c>
      <c r="D477" s="6" t="n">
        <v>389</v>
      </c>
      <c r="E477" s="6" t="n">
        <v>126</v>
      </c>
      <c r="F477" s="6" t="n">
        <v>94</v>
      </c>
      <c r="G477" s="6" t="n">
        <v>816</v>
      </c>
      <c r="H477" s="6" t="n">
        <v>3</v>
      </c>
      <c r="I477" s="7" t="n">
        <v>2377.53</v>
      </c>
      <c r="J477" s="7" t="n">
        <v>308.51</v>
      </c>
      <c r="K477" s="7" t="n">
        <v>4313.9</v>
      </c>
      <c r="L477" s="7" t="n">
        <v>1784.56</v>
      </c>
      <c r="M477" s="6" t="n">
        <v>2.6</v>
      </c>
      <c r="N477" s="6" t="s">
        <v>27</v>
      </c>
      <c r="O477" s="8" t="n">
        <f aca="false">VLOOKUP(F477,DIM_SERVICO!$A$2:$D$151,4,FALSE())</f>
        <v>308.51</v>
      </c>
      <c r="P477" s="8" t="n">
        <f aca="false">VLOOKUP(E477,DIM_PECA!$A$2:$F$501,6,FALSE())</f>
        <v>1335.13</v>
      </c>
      <c r="Q477" s="8" t="n">
        <f aca="false">VLOOKUP(E477,DIM_PECA!$A$2:$F$501,5,FALSE())</f>
        <v>792.51</v>
      </c>
      <c r="R477" s="8" t="n">
        <f aca="false">H477*P477</f>
        <v>4005.39</v>
      </c>
      <c r="S477" s="8" t="n">
        <f aca="false">O477*M477</f>
        <v>802.126</v>
      </c>
      <c r="T477" s="8" t="n">
        <f aca="false">R477+S477</f>
        <v>4807.516</v>
      </c>
      <c r="U477" s="8" t="n">
        <f aca="false">T477-K477</f>
        <v>493.616000000001</v>
      </c>
      <c r="V477" s="8" t="n">
        <f aca="false">R477+S477-U477</f>
        <v>4313.9</v>
      </c>
      <c r="W477" s="9" t="str">
        <f aca="false">IF(ROUND(V477-K477,2)=0,"OK","ERRO")</f>
        <v>OK</v>
      </c>
      <c r="X477" s="9" t="str">
        <f aca="false">VLOOKUP(F477,DIM_SERVICO!$A$2:$D$151,3,FALSE())</f>
        <v>Funilaria</v>
      </c>
    </row>
    <row r="478" customFormat="false" ht="15" hidden="false" customHeight="false" outlineLevel="0" collapsed="false">
      <c r="A478" s="2" t="n">
        <v>477</v>
      </c>
      <c r="B478" s="2" t="n">
        <v>1124</v>
      </c>
      <c r="C478" s="2" t="n">
        <v>1121</v>
      </c>
      <c r="D478" s="2" t="n">
        <v>1191</v>
      </c>
      <c r="E478" s="2" t="n">
        <v>483</v>
      </c>
      <c r="F478" s="2" t="n">
        <v>127</v>
      </c>
      <c r="G478" s="2" t="n">
        <v>78</v>
      </c>
      <c r="H478" s="2" t="n">
        <v>2</v>
      </c>
      <c r="I478" s="3" t="n">
        <v>504.22</v>
      </c>
      <c r="J478" s="3" t="n">
        <v>165.02</v>
      </c>
      <c r="K478" s="3" t="n">
        <v>1226.64</v>
      </c>
      <c r="L478" s="3" t="n">
        <v>659.69</v>
      </c>
      <c r="M478" s="2" t="n">
        <v>8.8</v>
      </c>
      <c r="N478" s="2" t="s">
        <v>24</v>
      </c>
      <c r="O478" s="4" t="n">
        <f aca="false">VLOOKUP(F478,DIM_SERVICO!$A$2:$D$151,4,FALSE())</f>
        <v>165.02</v>
      </c>
      <c r="P478" s="4" t="n">
        <f aca="false">VLOOKUP(E478,DIM_PECA!$A$2:$F$501,6,FALSE())</f>
        <v>530.81</v>
      </c>
      <c r="Q478" s="4" t="n">
        <f aca="false">VLOOKUP(E478,DIM_PECA!$A$2:$F$501,5,FALSE())</f>
        <v>252.11</v>
      </c>
      <c r="R478" s="4" t="n">
        <f aca="false">H478*P478</f>
        <v>1061.62</v>
      </c>
      <c r="S478" s="4" t="n">
        <f aca="false">O478*M478</f>
        <v>1452.176</v>
      </c>
      <c r="T478" s="4" t="n">
        <f aca="false">R478+S478</f>
        <v>2513.796</v>
      </c>
      <c r="U478" s="4" t="n">
        <f aca="false">T478-K478</f>
        <v>1287.156</v>
      </c>
      <c r="V478" s="4" t="n">
        <f aca="false">R478+S478-U478</f>
        <v>1226.64</v>
      </c>
      <c r="W478" s="5" t="str">
        <f aca="false">IF(ROUND(V478-K478,2)=0,"OK","ERRO")</f>
        <v>OK</v>
      </c>
      <c r="X478" s="5" t="str">
        <f aca="false">VLOOKUP(F478,DIM_SERVICO!$A$2:$D$151,3,FALSE())</f>
        <v>Suspensão</v>
      </c>
    </row>
    <row r="479" customFormat="false" ht="15" hidden="false" customHeight="false" outlineLevel="0" collapsed="false">
      <c r="A479" s="6" t="n">
        <v>478</v>
      </c>
      <c r="B479" s="6" t="n">
        <v>1203</v>
      </c>
      <c r="C479" s="6" t="n">
        <v>181</v>
      </c>
      <c r="D479" s="6" t="n">
        <v>480</v>
      </c>
      <c r="E479" s="6" t="n">
        <v>348</v>
      </c>
      <c r="F479" s="6" t="n">
        <v>59</v>
      </c>
      <c r="G479" s="6" t="n">
        <v>719</v>
      </c>
      <c r="H479" s="6" t="n">
        <v>1</v>
      </c>
      <c r="I479" s="7" t="n">
        <v>695.14</v>
      </c>
      <c r="J479" s="7" t="n">
        <v>340.97</v>
      </c>
      <c r="K479" s="7" t="n">
        <v>1790.7</v>
      </c>
      <c r="L479" s="7" t="n">
        <v>967.31</v>
      </c>
      <c r="M479" s="6" t="n">
        <v>8.2</v>
      </c>
      <c r="N479" s="6" t="s">
        <v>24</v>
      </c>
      <c r="O479" s="8" t="n">
        <f aca="false">VLOOKUP(F479,DIM_SERVICO!$A$2:$D$151,4,FALSE())</f>
        <v>340.97</v>
      </c>
      <c r="P479" s="8" t="n">
        <f aca="false">VLOOKUP(E479,DIM_PECA!$A$2:$F$501,6,FALSE())</f>
        <v>1486.28</v>
      </c>
      <c r="Q479" s="8" t="n">
        <f aca="false">VLOOKUP(E479,DIM_PECA!$A$2:$F$501,5,FALSE())</f>
        <v>695.14</v>
      </c>
      <c r="R479" s="8" t="n">
        <f aca="false">H479*P479</f>
        <v>1486.28</v>
      </c>
      <c r="S479" s="8" t="n">
        <f aca="false">O479*M479</f>
        <v>2795.954</v>
      </c>
      <c r="T479" s="8" t="n">
        <f aca="false">R479+S479</f>
        <v>4282.234</v>
      </c>
      <c r="U479" s="8" t="n">
        <f aca="false">T479-K479</f>
        <v>2491.534</v>
      </c>
      <c r="V479" s="8" t="n">
        <f aca="false">R479+S479-U479</f>
        <v>1790.7</v>
      </c>
      <c r="W479" s="9" t="str">
        <f aca="false">IF(ROUND(V479-K479,2)=0,"OK","ERRO")</f>
        <v>OK</v>
      </c>
      <c r="X479" s="9" t="str">
        <f aca="false">VLOOKUP(F479,DIM_SERVICO!$A$2:$D$151,3,FALSE())</f>
        <v>Revisão</v>
      </c>
    </row>
    <row r="480" customFormat="false" ht="15" hidden="false" customHeight="false" outlineLevel="0" collapsed="false">
      <c r="A480" s="2" t="n">
        <v>479</v>
      </c>
      <c r="B480" s="2" t="n">
        <v>118</v>
      </c>
      <c r="C480" s="2" t="n">
        <v>1040</v>
      </c>
      <c r="D480" s="2" t="n">
        <v>677</v>
      </c>
      <c r="E480" s="2" t="n">
        <v>23</v>
      </c>
      <c r="F480" s="2" t="n">
        <v>68</v>
      </c>
      <c r="G480" s="2" t="n">
        <v>1496</v>
      </c>
      <c r="H480" s="2" t="n">
        <v>3</v>
      </c>
      <c r="I480" s="3" t="n">
        <v>704.79</v>
      </c>
      <c r="J480" s="3" t="n">
        <v>1974.4</v>
      </c>
      <c r="K480" s="3" t="n">
        <v>3262.86</v>
      </c>
      <c r="L480" s="3" t="n">
        <v>1723.43</v>
      </c>
      <c r="M480" s="2" t="n">
        <v>1.1</v>
      </c>
      <c r="N480" s="2" t="s">
        <v>24</v>
      </c>
      <c r="O480" s="4" t="n">
        <f aca="false">VLOOKUP(F480,DIM_SERVICO!$A$2:$D$151,4,FALSE())</f>
        <v>1974.4</v>
      </c>
      <c r="P480" s="4" t="n">
        <f aca="false">VLOOKUP(E480,DIM_PECA!$A$2:$F$501,6,FALSE())</f>
        <v>486.73</v>
      </c>
      <c r="Q480" s="4" t="n">
        <f aca="false">VLOOKUP(E480,DIM_PECA!$A$2:$F$501,5,FALSE())</f>
        <v>234.93</v>
      </c>
      <c r="R480" s="4" t="n">
        <f aca="false">H480*P480</f>
        <v>1460.19</v>
      </c>
      <c r="S480" s="4" t="n">
        <f aca="false">O480*M480</f>
        <v>2171.84</v>
      </c>
      <c r="T480" s="4" t="n">
        <f aca="false">R480+S480</f>
        <v>3632.03</v>
      </c>
      <c r="U480" s="4" t="n">
        <f aca="false">T480-K480</f>
        <v>369.17</v>
      </c>
      <c r="V480" s="4" t="n">
        <f aca="false">R480+S480-U480</f>
        <v>3262.86</v>
      </c>
      <c r="W480" s="5" t="str">
        <f aca="false">IF(ROUND(V480-K480,2)=0,"OK","ERRO")</f>
        <v>OK</v>
      </c>
      <c r="X480" s="5" t="str">
        <f aca="false">VLOOKUP(F480,DIM_SERVICO!$A$2:$D$151,3,FALSE())</f>
        <v>Suspensão</v>
      </c>
    </row>
    <row r="481" customFormat="false" ht="15" hidden="false" customHeight="false" outlineLevel="0" collapsed="false">
      <c r="A481" s="6" t="n">
        <v>480</v>
      </c>
      <c r="B481" s="6" t="n">
        <v>812</v>
      </c>
      <c r="C481" s="6" t="n">
        <v>291</v>
      </c>
      <c r="D481" s="6" t="n">
        <v>446</v>
      </c>
      <c r="E481" s="6" t="n">
        <v>171</v>
      </c>
      <c r="F481" s="6" t="n">
        <v>74</v>
      </c>
      <c r="G481" s="6" t="n">
        <v>1342</v>
      </c>
      <c r="H481" s="6" t="n">
        <v>4</v>
      </c>
      <c r="I481" s="7" t="n">
        <v>4778.72</v>
      </c>
      <c r="J481" s="7" t="n">
        <v>821.88</v>
      </c>
      <c r="K481" s="7" t="n">
        <v>9694.28</v>
      </c>
      <c r="L481" s="7" t="n">
        <v>4483.7</v>
      </c>
      <c r="M481" s="6" t="n">
        <v>0.9</v>
      </c>
      <c r="N481" s="6" t="s">
        <v>24</v>
      </c>
      <c r="O481" s="8" t="n">
        <f aca="false">VLOOKUP(F481,DIM_SERVICO!$A$2:$D$151,4,FALSE())</f>
        <v>821.88</v>
      </c>
      <c r="P481" s="8" t="n">
        <f aca="false">VLOOKUP(E481,DIM_PECA!$A$2:$F$501,6,FALSE())</f>
        <v>2218.1</v>
      </c>
      <c r="Q481" s="8" t="n">
        <f aca="false">VLOOKUP(E481,DIM_PECA!$A$2:$F$501,5,FALSE())</f>
        <v>1194.68</v>
      </c>
      <c r="R481" s="8" t="n">
        <f aca="false">H481*P481</f>
        <v>8872.4</v>
      </c>
      <c r="S481" s="8" t="n">
        <f aca="false">O481*M481</f>
        <v>739.692</v>
      </c>
      <c r="T481" s="8" t="n">
        <f aca="false">R481+S481</f>
        <v>9612.092</v>
      </c>
      <c r="U481" s="8" t="n">
        <f aca="false">T481-K481</f>
        <v>-82.1880000000001</v>
      </c>
      <c r="V481" s="8" t="n">
        <f aca="false">R481+S481-U481</f>
        <v>9694.28</v>
      </c>
      <c r="W481" s="9" t="str">
        <f aca="false">IF(ROUND(V481-K481,2)=0,"OK","ERRO")</f>
        <v>OK</v>
      </c>
      <c r="X481" s="9" t="str">
        <f aca="false">VLOOKUP(F481,DIM_SERVICO!$A$2:$D$151,3,FALSE())</f>
        <v>Revisão</v>
      </c>
    </row>
    <row r="482" customFormat="false" ht="15" hidden="false" customHeight="false" outlineLevel="0" collapsed="false">
      <c r="A482" s="2" t="n">
        <v>481</v>
      </c>
      <c r="B482" s="2" t="n">
        <v>410</v>
      </c>
      <c r="C482" s="2" t="n">
        <v>655</v>
      </c>
      <c r="D482" s="2" t="n">
        <v>664</v>
      </c>
      <c r="E482" s="2" t="n">
        <v>412</v>
      </c>
      <c r="F482" s="2" t="n">
        <v>61</v>
      </c>
      <c r="G482" s="2" t="n">
        <v>94</v>
      </c>
      <c r="H482" s="2" t="n">
        <v>4</v>
      </c>
      <c r="I482" s="3" t="n">
        <v>1355.76</v>
      </c>
      <c r="J482" s="3" t="n">
        <v>1372.66</v>
      </c>
      <c r="K482" s="3" t="n">
        <v>3409.74</v>
      </c>
      <c r="L482" s="3" t="n">
        <v>1309.67</v>
      </c>
      <c r="M482" s="2" t="n">
        <v>7.5</v>
      </c>
      <c r="N482" s="2" t="s">
        <v>24</v>
      </c>
      <c r="O482" s="4" t="n">
        <f aca="false">VLOOKUP(F482,DIM_SERVICO!$A$2:$D$151,4,FALSE())</f>
        <v>1372.66</v>
      </c>
      <c r="P482" s="4" t="n">
        <f aca="false">VLOOKUP(E482,DIM_PECA!$A$2:$F$501,6,FALSE())</f>
        <v>509.27</v>
      </c>
      <c r="Q482" s="4" t="n">
        <f aca="false">VLOOKUP(E482,DIM_PECA!$A$2:$F$501,5,FALSE())</f>
        <v>338.94</v>
      </c>
      <c r="R482" s="4" t="n">
        <f aca="false">H482*P482</f>
        <v>2037.08</v>
      </c>
      <c r="S482" s="4" t="n">
        <f aca="false">O482*M482</f>
        <v>10294.95</v>
      </c>
      <c r="T482" s="4" t="n">
        <f aca="false">R482+S482</f>
        <v>12332.03</v>
      </c>
      <c r="U482" s="4" t="n">
        <f aca="false">T482-K482</f>
        <v>8922.29</v>
      </c>
      <c r="V482" s="4" t="n">
        <f aca="false">R482+S482-U482</f>
        <v>3409.74</v>
      </c>
      <c r="W482" s="5" t="str">
        <f aca="false">IF(ROUND(V482-K482,2)=0,"OK","ERRO")</f>
        <v>OK</v>
      </c>
      <c r="X482" s="5" t="str">
        <f aca="false">VLOOKUP(F482,DIM_SERVICO!$A$2:$D$151,3,FALSE())</f>
        <v>Funilaria</v>
      </c>
    </row>
    <row r="483" customFormat="false" ht="15" hidden="false" customHeight="false" outlineLevel="0" collapsed="false">
      <c r="A483" s="6" t="n">
        <v>482</v>
      </c>
      <c r="B483" s="6" t="n">
        <v>793</v>
      </c>
      <c r="C483" s="6" t="n">
        <v>9</v>
      </c>
      <c r="D483" s="6" t="n">
        <v>477</v>
      </c>
      <c r="E483" s="6" t="n">
        <v>188</v>
      </c>
      <c r="F483" s="6" t="n">
        <v>136</v>
      </c>
      <c r="G483" s="6" t="n">
        <v>1238</v>
      </c>
      <c r="H483" s="6" t="n">
        <v>2</v>
      </c>
      <c r="I483" s="7" t="n">
        <v>1196.4</v>
      </c>
      <c r="J483" s="7" t="n">
        <v>509.38</v>
      </c>
      <c r="K483" s="7" t="n">
        <v>2671.58</v>
      </c>
      <c r="L483" s="7" t="n">
        <v>1259.84</v>
      </c>
      <c r="M483" s="6" t="n">
        <v>2.4</v>
      </c>
      <c r="N483" s="6" t="s">
        <v>27</v>
      </c>
      <c r="O483" s="8" t="n">
        <f aca="false">VLOOKUP(F483,DIM_SERVICO!$A$2:$D$151,4,FALSE())</f>
        <v>509.38</v>
      </c>
      <c r="P483" s="8" t="n">
        <f aca="false">VLOOKUP(E483,DIM_PECA!$A$2:$F$501,6,FALSE())</f>
        <v>1108.36</v>
      </c>
      <c r="Q483" s="8" t="n">
        <f aca="false">VLOOKUP(E483,DIM_PECA!$A$2:$F$501,5,FALSE())</f>
        <v>598.2</v>
      </c>
      <c r="R483" s="8" t="n">
        <f aca="false">H483*P483</f>
        <v>2216.72</v>
      </c>
      <c r="S483" s="8" t="n">
        <f aca="false">O483*M483</f>
        <v>1222.512</v>
      </c>
      <c r="T483" s="8" t="n">
        <f aca="false">R483+S483</f>
        <v>3439.232</v>
      </c>
      <c r="U483" s="8" t="n">
        <f aca="false">T483-K483</f>
        <v>767.652</v>
      </c>
      <c r="V483" s="8" t="n">
        <f aca="false">R483+S483-U483</f>
        <v>2671.58</v>
      </c>
      <c r="W483" s="9" t="str">
        <f aca="false">IF(ROUND(V483-K483,2)=0,"OK","ERRO")</f>
        <v>OK</v>
      </c>
      <c r="X483" s="9" t="str">
        <f aca="false">VLOOKUP(F483,DIM_SERVICO!$A$2:$D$151,3,FALSE())</f>
        <v>Elétrica</v>
      </c>
    </row>
    <row r="484" customFormat="false" ht="15" hidden="false" customHeight="false" outlineLevel="0" collapsed="false">
      <c r="A484" s="2" t="n">
        <v>483</v>
      </c>
      <c r="B484" s="2" t="n">
        <v>876</v>
      </c>
      <c r="C484" s="2" t="n">
        <v>549</v>
      </c>
      <c r="D484" s="2" t="n">
        <v>91</v>
      </c>
      <c r="E484" s="2" t="n">
        <v>260</v>
      </c>
      <c r="F484" s="2" t="n">
        <v>126</v>
      </c>
      <c r="G484" s="2" t="n">
        <v>74</v>
      </c>
      <c r="H484" s="2" t="n">
        <v>3</v>
      </c>
      <c r="I484" s="3" t="n">
        <v>2202.66</v>
      </c>
      <c r="J484" s="3" t="n">
        <v>722.81</v>
      </c>
      <c r="K484" s="3" t="n">
        <v>5015.31</v>
      </c>
      <c r="L484" s="3" t="n">
        <v>2478.36</v>
      </c>
      <c r="M484" s="2" t="n">
        <v>3.1</v>
      </c>
      <c r="N484" s="2" t="s">
        <v>27</v>
      </c>
      <c r="O484" s="4" t="n">
        <f aca="false">VLOOKUP(F484,DIM_SERVICO!$A$2:$D$151,4,FALSE())</f>
        <v>722.81</v>
      </c>
      <c r="P484" s="4" t="n">
        <f aca="false">VLOOKUP(E484,DIM_PECA!$A$2:$F$501,6,FALSE())</f>
        <v>1464.95</v>
      </c>
      <c r="Q484" s="4" t="n">
        <f aca="false">VLOOKUP(E484,DIM_PECA!$A$2:$F$501,5,FALSE())</f>
        <v>734.22</v>
      </c>
      <c r="R484" s="4" t="n">
        <f aca="false">H484*P484</f>
        <v>4394.85</v>
      </c>
      <c r="S484" s="4" t="n">
        <f aca="false">O484*M484</f>
        <v>2240.711</v>
      </c>
      <c r="T484" s="4" t="n">
        <f aca="false">R484+S484</f>
        <v>6635.561</v>
      </c>
      <c r="U484" s="4" t="n">
        <f aca="false">T484-K484</f>
        <v>1620.251</v>
      </c>
      <c r="V484" s="4" t="n">
        <f aca="false">R484+S484-U484</f>
        <v>5015.31</v>
      </c>
      <c r="W484" s="5" t="str">
        <f aca="false">IF(ROUND(V484-K484,2)=0,"OK","ERRO")</f>
        <v>OK</v>
      </c>
      <c r="X484" s="5" t="str">
        <f aca="false">VLOOKUP(F484,DIM_SERVICO!$A$2:$D$151,3,FALSE())</f>
        <v>Freios</v>
      </c>
    </row>
    <row r="485" customFormat="false" ht="15" hidden="false" customHeight="false" outlineLevel="0" collapsed="false">
      <c r="A485" s="6" t="n">
        <v>484</v>
      </c>
      <c r="B485" s="6" t="n">
        <v>981</v>
      </c>
      <c r="C485" s="6" t="n">
        <v>685</v>
      </c>
      <c r="D485" s="6" t="n">
        <v>677</v>
      </c>
      <c r="E485" s="6" t="n">
        <v>487</v>
      </c>
      <c r="F485" s="6" t="n">
        <v>92</v>
      </c>
      <c r="G485" s="6" t="n">
        <v>823</v>
      </c>
      <c r="H485" s="6" t="n">
        <v>2</v>
      </c>
      <c r="I485" s="7" t="n">
        <v>1716.26</v>
      </c>
      <c r="J485" s="7" t="n">
        <v>1754.32</v>
      </c>
      <c r="K485" s="7" t="n">
        <v>4988.83</v>
      </c>
      <c r="L485" s="7" t="n">
        <v>2528.52</v>
      </c>
      <c r="M485" s="6" t="n">
        <v>1.2</v>
      </c>
      <c r="N485" s="6" t="s">
        <v>25</v>
      </c>
      <c r="O485" s="8" t="n">
        <f aca="false">VLOOKUP(F485,DIM_SERVICO!$A$2:$D$151,4,FALSE())</f>
        <v>1754.32</v>
      </c>
      <c r="P485" s="8" t="n">
        <f aca="false">VLOOKUP(E485,DIM_PECA!$A$2:$F$501,6,FALSE())</f>
        <v>1748.54</v>
      </c>
      <c r="Q485" s="8" t="n">
        <f aca="false">VLOOKUP(E485,DIM_PECA!$A$2:$F$501,5,FALSE())</f>
        <v>858.13</v>
      </c>
      <c r="R485" s="8" t="n">
        <f aca="false">H485*P485</f>
        <v>3497.08</v>
      </c>
      <c r="S485" s="8" t="n">
        <f aca="false">O485*M485</f>
        <v>2105.184</v>
      </c>
      <c r="T485" s="8" t="n">
        <f aca="false">R485+S485</f>
        <v>5602.264</v>
      </c>
      <c r="U485" s="8" t="n">
        <f aca="false">T485-K485</f>
        <v>613.433999999999</v>
      </c>
      <c r="V485" s="8" t="n">
        <f aca="false">R485+S485-U485</f>
        <v>4988.83</v>
      </c>
      <c r="W485" s="9" t="str">
        <f aca="false">IF(ROUND(V485-K485,2)=0,"OK","ERRO")</f>
        <v>OK</v>
      </c>
      <c r="X485" s="9" t="str">
        <f aca="false">VLOOKUP(F485,DIM_SERVICO!$A$2:$D$151,3,FALSE())</f>
        <v>Revisão</v>
      </c>
    </row>
    <row r="486" customFormat="false" ht="15" hidden="false" customHeight="false" outlineLevel="0" collapsed="false">
      <c r="A486" s="2" t="n">
        <v>485</v>
      </c>
      <c r="B486" s="2" t="n">
        <v>299</v>
      </c>
      <c r="C486" s="2" t="n">
        <v>316</v>
      </c>
      <c r="D486" s="2" t="n">
        <v>996</v>
      </c>
      <c r="E486" s="2" t="n">
        <v>134</v>
      </c>
      <c r="F486" s="2" t="n">
        <v>54</v>
      </c>
      <c r="G486" s="2" t="n">
        <v>1255</v>
      </c>
      <c r="H486" s="2" t="n">
        <v>4</v>
      </c>
      <c r="I486" s="3" t="n">
        <v>2072.68</v>
      </c>
      <c r="J486" s="3" t="n">
        <v>952.31</v>
      </c>
      <c r="K486" s="3" t="n">
        <v>4964.43</v>
      </c>
      <c r="L486" s="3" t="n">
        <v>2457.52</v>
      </c>
      <c r="M486" s="2" t="n">
        <v>7.2</v>
      </c>
      <c r="N486" s="2" t="s">
        <v>24</v>
      </c>
      <c r="O486" s="4" t="n">
        <f aca="false">VLOOKUP(F486,DIM_SERVICO!$A$2:$D$151,4,FALSE())</f>
        <v>952.31</v>
      </c>
      <c r="P486" s="4" t="n">
        <f aca="false">VLOOKUP(E486,DIM_PECA!$A$2:$F$501,6,FALSE())</f>
        <v>1003.03</v>
      </c>
      <c r="Q486" s="4" t="n">
        <f aca="false">VLOOKUP(E486,DIM_PECA!$A$2:$F$501,5,FALSE())</f>
        <v>518.17</v>
      </c>
      <c r="R486" s="4" t="n">
        <f aca="false">H486*P486</f>
        <v>4012.12</v>
      </c>
      <c r="S486" s="4" t="n">
        <f aca="false">O486*M486</f>
        <v>6856.632</v>
      </c>
      <c r="T486" s="4" t="n">
        <f aca="false">R486+S486</f>
        <v>10868.752</v>
      </c>
      <c r="U486" s="4" t="n">
        <f aca="false">T486-K486</f>
        <v>5904.322</v>
      </c>
      <c r="V486" s="4" t="n">
        <f aca="false">R486+S486-U486</f>
        <v>4964.43</v>
      </c>
      <c r="W486" s="5" t="str">
        <f aca="false">IF(ROUND(V486-K486,2)=0,"OK","ERRO")</f>
        <v>OK</v>
      </c>
      <c r="X486" s="5" t="str">
        <f aca="false">VLOOKUP(F486,DIM_SERVICO!$A$2:$D$151,3,FALSE())</f>
        <v>Revisão</v>
      </c>
    </row>
    <row r="487" customFormat="false" ht="15" hidden="false" customHeight="false" outlineLevel="0" collapsed="false">
      <c r="A487" s="6" t="n">
        <v>486</v>
      </c>
      <c r="B487" s="6" t="n">
        <v>406</v>
      </c>
      <c r="C487" s="6" t="n">
        <v>87</v>
      </c>
      <c r="D487" s="6" t="n">
        <v>80</v>
      </c>
      <c r="E487" s="6" t="n">
        <v>448</v>
      </c>
      <c r="F487" s="6" t="n">
        <v>89</v>
      </c>
      <c r="G487" s="6" t="n">
        <v>1468</v>
      </c>
      <c r="H487" s="6" t="n">
        <v>3</v>
      </c>
      <c r="I487" s="7" t="n">
        <v>2885.97</v>
      </c>
      <c r="J487" s="7" t="n">
        <v>310.79</v>
      </c>
      <c r="K487" s="7" t="n">
        <v>5164.78</v>
      </c>
      <c r="L487" s="7" t="n">
        <v>2125.81</v>
      </c>
      <c r="M487" s="6" t="n">
        <v>10</v>
      </c>
      <c r="N487" s="6" t="s">
        <v>24</v>
      </c>
      <c r="O487" s="8" t="n">
        <f aca="false">VLOOKUP(F487,DIM_SERVICO!$A$2:$D$151,4,FALSE())</f>
        <v>310.79</v>
      </c>
      <c r="P487" s="8" t="n">
        <f aca="false">VLOOKUP(E487,DIM_PECA!$A$2:$F$501,6,FALSE())</f>
        <v>1653.13</v>
      </c>
      <c r="Q487" s="8" t="n">
        <f aca="false">VLOOKUP(E487,DIM_PECA!$A$2:$F$501,5,FALSE())</f>
        <v>961.99</v>
      </c>
      <c r="R487" s="8" t="n">
        <f aca="false">H487*P487</f>
        <v>4959.39</v>
      </c>
      <c r="S487" s="8" t="n">
        <f aca="false">O487*M487</f>
        <v>3107.9</v>
      </c>
      <c r="T487" s="8" t="n">
        <f aca="false">R487+S487</f>
        <v>8067.29</v>
      </c>
      <c r="U487" s="8" t="n">
        <f aca="false">T487-K487</f>
        <v>2902.51</v>
      </c>
      <c r="V487" s="8" t="n">
        <f aca="false">R487+S487-U487</f>
        <v>5164.78</v>
      </c>
      <c r="W487" s="9" t="str">
        <f aca="false">IF(ROUND(V487-K487,2)=0,"OK","ERRO")</f>
        <v>OK</v>
      </c>
      <c r="X487" s="9" t="str">
        <f aca="false">VLOOKUP(F487,DIM_SERVICO!$A$2:$D$151,3,FALSE())</f>
        <v>Elétrica</v>
      </c>
    </row>
    <row r="488" customFormat="false" ht="15" hidden="false" customHeight="false" outlineLevel="0" collapsed="false">
      <c r="A488" s="2" t="n">
        <v>487</v>
      </c>
      <c r="B488" s="2" t="n">
        <v>707</v>
      </c>
      <c r="C488" s="2" t="n">
        <v>415</v>
      </c>
      <c r="D488" s="2" t="n">
        <v>943</v>
      </c>
      <c r="E488" s="2" t="n">
        <v>2</v>
      </c>
      <c r="F488" s="2" t="n">
        <v>118</v>
      </c>
      <c r="G488" s="2" t="n">
        <v>1278</v>
      </c>
      <c r="H488" s="2" t="n">
        <v>2</v>
      </c>
      <c r="I488" s="3" t="n">
        <v>1619.38</v>
      </c>
      <c r="J488" s="3" t="n">
        <v>114.25</v>
      </c>
      <c r="K488" s="3" t="n">
        <v>2489.99</v>
      </c>
      <c r="L488" s="3" t="n">
        <v>816.23</v>
      </c>
      <c r="M488" s="2" t="n">
        <v>7.1</v>
      </c>
      <c r="N488" s="2" t="s">
        <v>24</v>
      </c>
      <c r="O488" s="4" t="n">
        <f aca="false">VLOOKUP(F488,DIM_SERVICO!$A$2:$D$151,4,FALSE())</f>
        <v>114.25</v>
      </c>
      <c r="P488" s="4" t="n">
        <f aca="false">VLOOKUP(E488,DIM_PECA!$A$2:$F$501,6,FALSE())</f>
        <v>1213.28</v>
      </c>
      <c r="Q488" s="4" t="n">
        <f aca="false">VLOOKUP(E488,DIM_PECA!$A$2:$F$501,5,FALSE())</f>
        <v>809.69</v>
      </c>
      <c r="R488" s="4" t="n">
        <f aca="false">H488*P488</f>
        <v>2426.56</v>
      </c>
      <c r="S488" s="4" t="n">
        <f aca="false">O488*M488</f>
        <v>811.175</v>
      </c>
      <c r="T488" s="4" t="n">
        <f aca="false">R488+S488</f>
        <v>3237.735</v>
      </c>
      <c r="U488" s="4" t="n">
        <f aca="false">T488-K488</f>
        <v>747.745</v>
      </c>
      <c r="V488" s="4" t="n">
        <f aca="false">R488+S488-U488</f>
        <v>2489.99</v>
      </c>
      <c r="W488" s="5" t="str">
        <f aca="false">IF(ROUND(V488-K488,2)=0,"OK","ERRO")</f>
        <v>OK</v>
      </c>
      <c r="X488" s="5" t="str">
        <f aca="false">VLOOKUP(F488,DIM_SERVICO!$A$2:$D$151,3,FALSE())</f>
        <v>Elétrica</v>
      </c>
    </row>
    <row r="489" customFormat="false" ht="15" hidden="false" customHeight="false" outlineLevel="0" collapsed="false">
      <c r="A489" s="6" t="n">
        <v>488</v>
      </c>
      <c r="B489" s="6" t="n">
        <v>170</v>
      </c>
      <c r="C489" s="6" t="n">
        <v>592</v>
      </c>
      <c r="D489" s="6" t="n">
        <v>18</v>
      </c>
      <c r="E489" s="6" t="n">
        <v>156</v>
      </c>
      <c r="F489" s="6" t="n">
        <v>65</v>
      </c>
      <c r="G489" s="6" t="n">
        <v>934</v>
      </c>
      <c r="H489" s="6" t="n">
        <v>3</v>
      </c>
      <c r="I489" s="7" t="n">
        <v>225.33</v>
      </c>
      <c r="J489" s="7" t="n">
        <v>1214.63</v>
      </c>
      <c r="K489" s="7" t="n">
        <v>1524.44</v>
      </c>
      <c r="L489" s="7" t="n">
        <v>849.07</v>
      </c>
      <c r="M489" s="6" t="n">
        <v>4.1</v>
      </c>
      <c r="N489" s="6" t="s">
        <v>26</v>
      </c>
      <c r="O489" s="8" t="n">
        <f aca="false">VLOOKUP(F489,DIM_SERVICO!$A$2:$D$151,4,FALSE())</f>
        <v>1214.63</v>
      </c>
      <c r="P489" s="8" t="n">
        <f aca="false">VLOOKUP(E489,DIM_PECA!$A$2:$F$501,6,FALSE())</f>
        <v>103.27</v>
      </c>
      <c r="Q489" s="8" t="n">
        <f aca="false">VLOOKUP(E489,DIM_PECA!$A$2:$F$501,5,FALSE())</f>
        <v>75.11</v>
      </c>
      <c r="R489" s="8" t="n">
        <f aca="false">H489*P489</f>
        <v>309.81</v>
      </c>
      <c r="S489" s="8" t="n">
        <f aca="false">O489*M489</f>
        <v>4979.983</v>
      </c>
      <c r="T489" s="8" t="n">
        <f aca="false">R489+S489</f>
        <v>5289.793</v>
      </c>
      <c r="U489" s="8" t="n">
        <f aca="false">T489-K489</f>
        <v>3765.353</v>
      </c>
      <c r="V489" s="8" t="n">
        <f aca="false">R489+S489-U489</f>
        <v>1524.44</v>
      </c>
      <c r="W489" s="9" t="str">
        <f aca="false">IF(ROUND(V489-K489,2)=0,"OK","ERRO")</f>
        <v>OK</v>
      </c>
      <c r="X489" s="9" t="str">
        <f aca="false">VLOOKUP(F489,DIM_SERVICO!$A$2:$D$151,3,FALSE())</f>
        <v>Elétrica</v>
      </c>
    </row>
    <row r="490" customFormat="false" ht="15" hidden="false" customHeight="false" outlineLevel="0" collapsed="false">
      <c r="A490" s="2" t="n">
        <v>489</v>
      </c>
      <c r="B490" s="2" t="n">
        <v>673</v>
      </c>
      <c r="C490" s="2" t="n">
        <v>683</v>
      </c>
      <c r="D490" s="2" t="n">
        <v>756</v>
      </c>
      <c r="E490" s="2" t="n">
        <v>348</v>
      </c>
      <c r="F490" s="2" t="n">
        <v>101</v>
      </c>
      <c r="G490" s="2" t="n">
        <v>711</v>
      </c>
      <c r="H490" s="2" t="n">
        <v>3</v>
      </c>
      <c r="I490" s="3" t="n">
        <v>2085.42</v>
      </c>
      <c r="J490" s="3" t="n">
        <v>1690.47</v>
      </c>
      <c r="K490" s="3" t="n">
        <v>5841.84</v>
      </c>
      <c r="L490" s="3" t="n">
        <v>2963.5</v>
      </c>
      <c r="M490" s="2" t="n">
        <v>7.8</v>
      </c>
      <c r="N490" s="2" t="s">
        <v>25</v>
      </c>
      <c r="O490" s="4" t="n">
        <f aca="false">VLOOKUP(F490,DIM_SERVICO!$A$2:$D$151,4,FALSE())</f>
        <v>1690.47</v>
      </c>
      <c r="P490" s="4" t="n">
        <f aca="false">VLOOKUP(E490,DIM_PECA!$A$2:$F$501,6,FALSE())</f>
        <v>1486.28</v>
      </c>
      <c r="Q490" s="4" t="n">
        <f aca="false">VLOOKUP(E490,DIM_PECA!$A$2:$F$501,5,FALSE())</f>
        <v>695.14</v>
      </c>
      <c r="R490" s="4" t="n">
        <f aca="false">H490*P490</f>
        <v>4458.84</v>
      </c>
      <c r="S490" s="4" t="n">
        <f aca="false">O490*M490</f>
        <v>13185.666</v>
      </c>
      <c r="T490" s="4" t="n">
        <f aca="false">R490+S490</f>
        <v>17644.506</v>
      </c>
      <c r="U490" s="4" t="n">
        <f aca="false">T490-K490</f>
        <v>11802.666</v>
      </c>
      <c r="V490" s="4" t="n">
        <f aca="false">R490+S490-U490</f>
        <v>5841.84</v>
      </c>
      <c r="W490" s="5" t="str">
        <f aca="false">IF(ROUND(V490-K490,2)=0,"OK","ERRO")</f>
        <v>OK</v>
      </c>
      <c r="X490" s="5" t="str">
        <f aca="false">VLOOKUP(F490,DIM_SERVICO!$A$2:$D$151,3,FALSE())</f>
        <v>Revisão</v>
      </c>
    </row>
    <row r="491" customFormat="false" ht="15" hidden="false" customHeight="false" outlineLevel="0" collapsed="false">
      <c r="A491" s="6" t="n">
        <v>490</v>
      </c>
      <c r="B491" s="6" t="n">
        <v>333</v>
      </c>
      <c r="C491" s="6" t="n">
        <v>80</v>
      </c>
      <c r="D491" s="6" t="n">
        <v>1157</v>
      </c>
      <c r="E491" s="6" t="n">
        <v>204</v>
      </c>
      <c r="F491" s="6" t="n">
        <v>83</v>
      </c>
      <c r="G491" s="6" t="n">
        <v>1096</v>
      </c>
      <c r="H491" s="6" t="n">
        <v>4</v>
      </c>
      <c r="I491" s="7" t="n">
        <v>301</v>
      </c>
      <c r="J491" s="7" t="n">
        <v>2098.93</v>
      </c>
      <c r="K491" s="7" t="n">
        <v>2258.11</v>
      </c>
      <c r="L491" s="7" t="n">
        <v>974.5</v>
      </c>
      <c r="M491" s="6" t="n">
        <v>9.6</v>
      </c>
      <c r="N491" s="6" t="s">
        <v>26</v>
      </c>
      <c r="O491" s="8" t="n">
        <f aca="false">VLOOKUP(F491,DIM_SERVICO!$A$2:$D$151,4,FALSE())</f>
        <v>2098.93</v>
      </c>
      <c r="P491" s="8" t="n">
        <f aca="false">VLOOKUP(E491,DIM_PECA!$A$2:$F$501,6,FALSE())</f>
        <v>102.52</v>
      </c>
      <c r="Q491" s="8" t="n">
        <f aca="false">VLOOKUP(E491,DIM_PECA!$A$2:$F$501,5,FALSE())</f>
        <v>75.25</v>
      </c>
      <c r="R491" s="8" t="n">
        <f aca="false">H491*P491</f>
        <v>410.08</v>
      </c>
      <c r="S491" s="8" t="n">
        <f aca="false">O491*M491</f>
        <v>20149.728</v>
      </c>
      <c r="T491" s="8" t="n">
        <f aca="false">R491+S491</f>
        <v>20559.808</v>
      </c>
      <c r="U491" s="8" t="n">
        <f aca="false">T491-K491</f>
        <v>18301.698</v>
      </c>
      <c r="V491" s="8" t="n">
        <f aca="false">R491+S491-U491</f>
        <v>2258.11</v>
      </c>
      <c r="W491" s="9" t="str">
        <f aca="false">IF(ROUND(V491-K491,2)=0,"OK","ERRO")</f>
        <v>OK</v>
      </c>
      <c r="X491" s="9" t="str">
        <f aca="false">VLOOKUP(F491,DIM_SERVICO!$A$2:$D$151,3,FALSE())</f>
        <v>Pintura</v>
      </c>
    </row>
    <row r="492" customFormat="false" ht="15" hidden="false" customHeight="false" outlineLevel="0" collapsed="false">
      <c r="A492" s="2" t="n">
        <v>491</v>
      </c>
      <c r="B492" s="2" t="n">
        <v>1360</v>
      </c>
      <c r="C492" s="2" t="n">
        <v>1458</v>
      </c>
      <c r="D492" s="2" t="n">
        <v>237</v>
      </c>
      <c r="E492" s="2" t="n">
        <v>84</v>
      </c>
      <c r="F492" s="2" t="n">
        <v>52</v>
      </c>
      <c r="G492" s="2" t="n">
        <v>347</v>
      </c>
      <c r="H492" s="2" t="n">
        <v>3</v>
      </c>
      <c r="I492" s="3" t="n">
        <v>1862.37</v>
      </c>
      <c r="J492" s="3" t="n">
        <v>188.62</v>
      </c>
      <c r="K492" s="3" t="n">
        <v>3336.55</v>
      </c>
      <c r="L492" s="3" t="n">
        <v>1406.57</v>
      </c>
      <c r="M492" s="2" t="n">
        <v>0.7</v>
      </c>
      <c r="N492" s="2" t="s">
        <v>24</v>
      </c>
      <c r="O492" s="4" t="n">
        <f aca="false">VLOOKUP(F492,DIM_SERVICO!$A$2:$D$151,4,FALSE())</f>
        <v>188.62</v>
      </c>
      <c r="P492" s="4" t="n">
        <f aca="false">VLOOKUP(E492,DIM_PECA!$A$2:$F$501,6,FALSE())</f>
        <v>1049.31</v>
      </c>
      <c r="Q492" s="4" t="n">
        <f aca="false">VLOOKUP(E492,DIM_PECA!$A$2:$F$501,5,FALSE())</f>
        <v>620.79</v>
      </c>
      <c r="R492" s="4" t="n">
        <f aca="false">H492*P492</f>
        <v>3147.93</v>
      </c>
      <c r="S492" s="4" t="n">
        <f aca="false">O492*M492</f>
        <v>132.034</v>
      </c>
      <c r="T492" s="4" t="n">
        <f aca="false">R492+S492</f>
        <v>3279.964</v>
      </c>
      <c r="U492" s="4" t="n">
        <f aca="false">T492-K492</f>
        <v>-56.5860000000002</v>
      </c>
      <c r="V492" s="4" t="n">
        <f aca="false">R492+S492-U492</f>
        <v>3336.55</v>
      </c>
      <c r="W492" s="5" t="str">
        <f aca="false">IF(ROUND(V492-K492,2)=0,"OK","ERRO")</f>
        <v>OK</v>
      </c>
      <c r="X492" s="5" t="str">
        <f aca="false">VLOOKUP(F492,DIM_SERVICO!$A$2:$D$151,3,FALSE())</f>
        <v>Funilaria</v>
      </c>
    </row>
    <row r="493" customFormat="false" ht="15" hidden="false" customHeight="false" outlineLevel="0" collapsed="false">
      <c r="A493" s="6" t="n">
        <v>492</v>
      </c>
      <c r="B493" s="6" t="n">
        <v>1361</v>
      </c>
      <c r="C493" s="6" t="n">
        <v>818</v>
      </c>
      <c r="D493" s="6" t="n">
        <v>434</v>
      </c>
      <c r="E493" s="6" t="n">
        <v>354</v>
      </c>
      <c r="F493" s="6" t="n">
        <v>17</v>
      </c>
      <c r="G493" s="6" t="n">
        <v>1176</v>
      </c>
      <c r="H493" s="6" t="n">
        <v>1</v>
      </c>
      <c r="I493" s="7" t="n">
        <v>303.71</v>
      </c>
      <c r="J493" s="7" t="n">
        <v>131.97</v>
      </c>
      <c r="K493" s="7" t="n">
        <v>677.44</v>
      </c>
      <c r="L493" s="7" t="n">
        <v>326.56</v>
      </c>
      <c r="M493" s="6" t="n">
        <v>10.3</v>
      </c>
      <c r="N493" s="6" t="s">
        <v>24</v>
      </c>
      <c r="O493" s="8" t="n">
        <f aca="false">VLOOKUP(F493,DIM_SERVICO!$A$2:$D$151,4,FALSE())</f>
        <v>131.97</v>
      </c>
      <c r="P493" s="8" t="n">
        <f aca="false">VLOOKUP(E493,DIM_PECA!$A$2:$F$501,6,FALSE())</f>
        <v>620.74</v>
      </c>
      <c r="Q493" s="8" t="n">
        <f aca="false">VLOOKUP(E493,DIM_PECA!$A$2:$F$501,5,FALSE())</f>
        <v>303.71</v>
      </c>
      <c r="R493" s="8" t="n">
        <f aca="false">H493*P493</f>
        <v>620.74</v>
      </c>
      <c r="S493" s="8" t="n">
        <f aca="false">O493*M493</f>
        <v>1359.291</v>
      </c>
      <c r="T493" s="8" t="n">
        <f aca="false">R493+S493</f>
        <v>1980.031</v>
      </c>
      <c r="U493" s="8" t="n">
        <f aca="false">T493-K493</f>
        <v>1302.591</v>
      </c>
      <c r="V493" s="8" t="n">
        <f aca="false">R493+S493-U493</f>
        <v>677.44</v>
      </c>
      <c r="W493" s="9" t="str">
        <f aca="false">IF(ROUND(V493-K493,2)=0,"OK","ERRO")</f>
        <v>OK</v>
      </c>
      <c r="X493" s="9" t="str">
        <f aca="false">VLOOKUP(F493,DIM_SERVICO!$A$2:$D$151,3,FALSE())</f>
        <v>Pintura</v>
      </c>
    </row>
    <row r="494" customFormat="false" ht="15" hidden="false" customHeight="false" outlineLevel="0" collapsed="false">
      <c r="A494" s="2" t="n">
        <v>493</v>
      </c>
      <c r="B494" s="2" t="n">
        <v>735</v>
      </c>
      <c r="C494" s="2" t="n">
        <v>962</v>
      </c>
      <c r="D494" s="2" t="n">
        <v>184</v>
      </c>
      <c r="E494" s="2" t="n">
        <v>379</v>
      </c>
      <c r="F494" s="2" t="n">
        <v>64</v>
      </c>
      <c r="G494" s="2" t="n">
        <v>782</v>
      </c>
      <c r="H494" s="2" t="n">
        <v>2</v>
      </c>
      <c r="I494" s="3" t="n">
        <v>1500.16</v>
      </c>
      <c r="J494" s="3" t="n">
        <v>1447.78</v>
      </c>
      <c r="K494" s="3" t="n">
        <v>3756.1</v>
      </c>
      <c r="L494" s="3" t="n">
        <v>1577.88</v>
      </c>
      <c r="M494" s="2" t="n">
        <v>8.2</v>
      </c>
      <c r="N494" s="2" t="s">
        <v>26</v>
      </c>
      <c r="O494" s="4" t="n">
        <f aca="false">VLOOKUP(F494,DIM_SERVICO!$A$2:$D$151,4,FALSE())</f>
        <v>1447.78</v>
      </c>
      <c r="P494" s="4" t="n">
        <f aca="false">VLOOKUP(E494,DIM_PECA!$A$2:$F$501,6,FALSE())</f>
        <v>1154.16</v>
      </c>
      <c r="Q494" s="4" t="n">
        <f aca="false">VLOOKUP(E494,DIM_PECA!$A$2:$F$501,5,FALSE())</f>
        <v>750.08</v>
      </c>
      <c r="R494" s="4" t="n">
        <f aca="false">H494*P494</f>
        <v>2308.32</v>
      </c>
      <c r="S494" s="4" t="n">
        <f aca="false">O494*M494</f>
        <v>11871.796</v>
      </c>
      <c r="T494" s="4" t="n">
        <f aca="false">R494+S494</f>
        <v>14180.116</v>
      </c>
      <c r="U494" s="4" t="n">
        <f aca="false">T494-K494</f>
        <v>10424.016</v>
      </c>
      <c r="V494" s="4" t="n">
        <f aca="false">R494+S494-U494</f>
        <v>3756.1</v>
      </c>
      <c r="W494" s="5" t="str">
        <f aca="false">IF(ROUND(V494-K494,2)=0,"OK","ERRO")</f>
        <v>OK</v>
      </c>
      <c r="X494" s="5" t="str">
        <f aca="false">VLOOKUP(F494,DIM_SERVICO!$A$2:$D$151,3,FALSE())</f>
        <v>Pintura</v>
      </c>
    </row>
    <row r="495" customFormat="false" ht="15" hidden="false" customHeight="false" outlineLevel="0" collapsed="false">
      <c r="A495" s="6" t="n">
        <v>494</v>
      </c>
      <c r="B495" s="6" t="n">
        <v>1485</v>
      </c>
      <c r="C495" s="6" t="n">
        <v>187</v>
      </c>
      <c r="D495" s="6" t="n">
        <v>544</v>
      </c>
      <c r="E495" s="6" t="n">
        <v>368</v>
      </c>
      <c r="F495" s="6" t="n">
        <v>38</v>
      </c>
      <c r="G495" s="6" t="n">
        <v>1707</v>
      </c>
      <c r="H495" s="6" t="n">
        <v>1</v>
      </c>
      <c r="I495" s="7" t="n">
        <v>1104.4</v>
      </c>
      <c r="J495" s="7" t="n">
        <v>1721.52</v>
      </c>
      <c r="K495" s="7" t="n">
        <v>2961.73</v>
      </c>
      <c r="L495" s="7" t="n">
        <v>1201.78</v>
      </c>
      <c r="M495" s="6" t="n">
        <v>1.8</v>
      </c>
      <c r="N495" s="6" t="s">
        <v>24</v>
      </c>
      <c r="O495" s="8" t="n">
        <f aca="false">VLOOKUP(F495,DIM_SERVICO!$A$2:$D$151,4,FALSE())</f>
        <v>1721.52</v>
      </c>
      <c r="P495" s="8" t="n">
        <f aca="false">VLOOKUP(E495,DIM_PECA!$A$2:$F$501,6,FALSE())</f>
        <v>1569.29</v>
      </c>
      <c r="Q495" s="8" t="n">
        <f aca="false">VLOOKUP(E495,DIM_PECA!$A$2:$F$501,5,FALSE())</f>
        <v>1104.4</v>
      </c>
      <c r="R495" s="8" t="n">
        <f aca="false">H495*P495</f>
        <v>1569.29</v>
      </c>
      <c r="S495" s="8" t="n">
        <f aca="false">O495*M495</f>
        <v>3098.736</v>
      </c>
      <c r="T495" s="8" t="n">
        <f aca="false">R495+S495</f>
        <v>4668.026</v>
      </c>
      <c r="U495" s="8" t="n">
        <f aca="false">T495-K495</f>
        <v>1706.296</v>
      </c>
      <c r="V495" s="8" t="n">
        <f aca="false">R495+S495-U495</f>
        <v>2961.73</v>
      </c>
      <c r="W495" s="9" t="str">
        <f aca="false">IF(ROUND(V495-K495,2)=0,"OK","ERRO")</f>
        <v>OK</v>
      </c>
      <c r="X495" s="9" t="str">
        <f aca="false">VLOOKUP(F495,DIM_SERVICO!$A$2:$D$151,3,FALSE())</f>
        <v>Motor</v>
      </c>
    </row>
    <row r="496" customFormat="false" ht="15" hidden="false" customHeight="false" outlineLevel="0" collapsed="false">
      <c r="A496" s="2" t="n">
        <v>495</v>
      </c>
      <c r="B496" s="2" t="n">
        <v>533</v>
      </c>
      <c r="C496" s="2" t="n">
        <v>296</v>
      </c>
      <c r="D496" s="2" t="n">
        <v>401</v>
      </c>
      <c r="E496" s="2" t="n">
        <v>81</v>
      </c>
      <c r="F496" s="2" t="n">
        <v>142</v>
      </c>
      <c r="G496" s="2" t="n">
        <v>843</v>
      </c>
      <c r="H496" s="2" t="n">
        <v>1</v>
      </c>
      <c r="I496" s="3" t="n">
        <v>907.18</v>
      </c>
      <c r="J496" s="3" t="n">
        <v>1867.45</v>
      </c>
      <c r="K496" s="3" t="n">
        <v>3204.61</v>
      </c>
      <c r="L496" s="3" t="n">
        <v>1643.08</v>
      </c>
      <c r="M496" s="2" t="n">
        <v>2</v>
      </c>
      <c r="N496" s="2" t="s">
        <v>26</v>
      </c>
      <c r="O496" s="4" t="n">
        <f aca="false">VLOOKUP(F496,DIM_SERVICO!$A$2:$D$151,4,FALSE())</f>
        <v>1867.45</v>
      </c>
      <c r="P496" s="4" t="n">
        <f aca="false">VLOOKUP(E496,DIM_PECA!$A$2:$F$501,6,FALSE())</f>
        <v>1337.16</v>
      </c>
      <c r="Q496" s="4" t="n">
        <f aca="false">VLOOKUP(E496,DIM_PECA!$A$2:$F$501,5,FALSE())</f>
        <v>907.18</v>
      </c>
      <c r="R496" s="4" t="n">
        <f aca="false">H496*P496</f>
        <v>1337.16</v>
      </c>
      <c r="S496" s="4" t="n">
        <f aca="false">O496*M496</f>
        <v>3734.9</v>
      </c>
      <c r="T496" s="4" t="n">
        <f aca="false">R496+S496</f>
        <v>5072.06</v>
      </c>
      <c r="U496" s="4" t="n">
        <f aca="false">T496-K496</f>
        <v>1867.45</v>
      </c>
      <c r="V496" s="4" t="n">
        <f aca="false">R496+S496-U496</f>
        <v>3204.61</v>
      </c>
      <c r="W496" s="5" t="str">
        <f aca="false">IF(ROUND(V496-K496,2)=0,"OK","ERRO")</f>
        <v>OK</v>
      </c>
      <c r="X496" s="5" t="str">
        <f aca="false">VLOOKUP(F496,DIM_SERVICO!$A$2:$D$151,3,FALSE())</f>
        <v>Elétrica</v>
      </c>
    </row>
    <row r="497" customFormat="false" ht="15" hidden="false" customHeight="false" outlineLevel="0" collapsed="false">
      <c r="A497" s="6" t="n">
        <v>496</v>
      </c>
      <c r="B497" s="6" t="n">
        <v>1108</v>
      </c>
      <c r="C497" s="6" t="n">
        <v>589</v>
      </c>
      <c r="D497" s="6" t="n">
        <v>595</v>
      </c>
      <c r="E497" s="6" t="n">
        <v>153</v>
      </c>
      <c r="F497" s="6" t="n">
        <v>35</v>
      </c>
      <c r="G497" s="6" t="n">
        <v>299</v>
      </c>
      <c r="H497" s="6" t="n">
        <v>3</v>
      </c>
      <c r="I497" s="7" t="n">
        <v>2835.24</v>
      </c>
      <c r="J497" s="7" t="n">
        <v>1082.38</v>
      </c>
      <c r="K497" s="7" t="n">
        <v>4675.56</v>
      </c>
      <c r="L497" s="7" t="n">
        <v>1332.77</v>
      </c>
      <c r="M497" s="6" t="n">
        <v>3.8</v>
      </c>
      <c r="N497" s="6" t="s">
        <v>24</v>
      </c>
      <c r="O497" s="8" t="n">
        <f aca="false">VLOOKUP(F497,DIM_SERVICO!$A$2:$D$151,4,FALSE())</f>
        <v>1082.38</v>
      </c>
      <c r="P497" s="8" t="n">
        <f aca="false">VLOOKUP(E497,DIM_PECA!$A$2:$F$501,6,FALSE())</f>
        <v>1333.25</v>
      </c>
      <c r="Q497" s="8" t="n">
        <f aca="false">VLOOKUP(E497,DIM_PECA!$A$2:$F$501,5,FALSE())</f>
        <v>945.08</v>
      </c>
      <c r="R497" s="8" t="n">
        <f aca="false">H497*P497</f>
        <v>3999.75</v>
      </c>
      <c r="S497" s="8" t="n">
        <f aca="false">O497*M497</f>
        <v>4113.044</v>
      </c>
      <c r="T497" s="8" t="n">
        <f aca="false">R497+S497</f>
        <v>8112.794</v>
      </c>
      <c r="U497" s="8" t="n">
        <f aca="false">T497-K497</f>
        <v>3437.234</v>
      </c>
      <c r="V497" s="8" t="n">
        <f aca="false">R497+S497-U497</f>
        <v>4675.56</v>
      </c>
      <c r="W497" s="9" t="str">
        <f aca="false">IF(ROUND(V497-K497,2)=0,"OK","ERRO")</f>
        <v>OK</v>
      </c>
      <c r="X497" s="9" t="str">
        <f aca="false">VLOOKUP(F497,DIM_SERVICO!$A$2:$D$151,3,FALSE())</f>
        <v>Diagnóstico</v>
      </c>
    </row>
    <row r="498" customFormat="false" ht="15" hidden="false" customHeight="false" outlineLevel="0" collapsed="false">
      <c r="A498" s="2" t="n">
        <v>497</v>
      </c>
      <c r="B498" s="2" t="n">
        <v>1071</v>
      </c>
      <c r="C498" s="2" t="n">
        <v>46</v>
      </c>
      <c r="D498" s="2" t="n">
        <v>268</v>
      </c>
      <c r="E498" s="2" t="n">
        <v>119</v>
      </c>
      <c r="F498" s="2" t="n">
        <v>34</v>
      </c>
      <c r="G498" s="2" t="n">
        <v>1586</v>
      </c>
      <c r="H498" s="2" t="n">
        <v>1</v>
      </c>
      <c r="I498" s="3" t="n">
        <v>1136.4</v>
      </c>
      <c r="J498" s="3" t="n">
        <v>1715.98</v>
      </c>
      <c r="K498" s="3" t="n">
        <v>3965.89</v>
      </c>
      <c r="L498" s="3" t="n">
        <v>2219.55</v>
      </c>
      <c r="M498" s="2" t="n">
        <v>2</v>
      </c>
      <c r="N498" s="2" t="s">
        <v>24</v>
      </c>
      <c r="O498" s="4" t="n">
        <f aca="false">VLOOKUP(F498,DIM_SERVICO!$A$2:$D$151,4,FALSE())</f>
        <v>1715.98</v>
      </c>
      <c r="P498" s="4" t="n">
        <f aca="false">VLOOKUP(E498,DIM_PECA!$A$2:$F$501,6,FALSE())</f>
        <v>2249.91</v>
      </c>
      <c r="Q498" s="4" t="n">
        <f aca="false">VLOOKUP(E498,DIM_PECA!$A$2:$F$501,5,FALSE())</f>
        <v>1136.4</v>
      </c>
      <c r="R498" s="4" t="n">
        <f aca="false">H498*P498</f>
        <v>2249.91</v>
      </c>
      <c r="S498" s="4" t="n">
        <f aca="false">O498*M498</f>
        <v>3431.96</v>
      </c>
      <c r="T498" s="4" t="n">
        <f aca="false">R498+S498</f>
        <v>5681.87</v>
      </c>
      <c r="U498" s="4" t="n">
        <f aca="false">T498-K498</f>
        <v>1715.98</v>
      </c>
      <c r="V498" s="4" t="n">
        <f aca="false">R498+S498-U498</f>
        <v>3965.89</v>
      </c>
      <c r="W498" s="5" t="str">
        <f aca="false">IF(ROUND(V498-K498,2)=0,"OK","ERRO")</f>
        <v>OK</v>
      </c>
      <c r="X498" s="5" t="str">
        <f aca="false">VLOOKUP(F498,DIM_SERVICO!$A$2:$D$151,3,FALSE())</f>
        <v>Revisão</v>
      </c>
    </row>
    <row r="499" customFormat="false" ht="15" hidden="false" customHeight="false" outlineLevel="0" collapsed="false">
      <c r="A499" s="6" t="n">
        <v>498</v>
      </c>
      <c r="B499" s="6" t="n">
        <v>1187</v>
      </c>
      <c r="C499" s="6" t="n">
        <v>1079</v>
      </c>
      <c r="D499" s="6" t="n">
        <v>1084</v>
      </c>
      <c r="E499" s="6" t="n">
        <v>88</v>
      </c>
      <c r="F499" s="6" t="n">
        <v>140</v>
      </c>
      <c r="G499" s="6" t="n">
        <v>1351</v>
      </c>
      <c r="H499" s="6" t="n">
        <v>2</v>
      </c>
      <c r="I499" s="7" t="n">
        <v>378.06</v>
      </c>
      <c r="J499" s="7" t="n">
        <v>1109.33</v>
      </c>
      <c r="K499" s="7" t="n">
        <v>1891.41</v>
      </c>
      <c r="L499" s="7" t="n">
        <v>978.14</v>
      </c>
      <c r="M499" s="6" t="n">
        <v>1.2</v>
      </c>
      <c r="N499" s="6" t="s">
        <v>24</v>
      </c>
      <c r="O499" s="8" t="n">
        <f aca="false">VLOOKUP(F499,DIM_SERVICO!$A$2:$D$151,4,FALSE())</f>
        <v>1109.33</v>
      </c>
      <c r="P499" s="8" t="n">
        <f aca="false">VLOOKUP(E499,DIM_PECA!$A$2:$F$501,6,FALSE())</f>
        <v>391.04</v>
      </c>
      <c r="Q499" s="8" t="n">
        <f aca="false">VLOOKUP(E499,DIM_PECA!$A$2:$F$501,5,FALSE())</f>
        <v>189.03</v>
      </c>
      <c r="R499" s="8" t="n">
        <f aca="false">H499*P499</f>
        <v>782.08</v>
      </c>
      <c r="S499" s="8" t="n">
        <f aca="false">O499*M499</f>
        <v>1331.196</v>
      </c>
      <c r="T499" s="8" t="n">
        <f aca="false">R499+S499</f>
        <v>2113.276</v>
      </c>
      <c r="U499" s="8" t="n">
        <f aca="false">T499-K499</f>
        <v>221.866</v>
      </c>
      <c r="V499" s="8" t="n">
        <f aca="false">R499+S499-U499</f>
        <v>1891.41</v>
      </c>
      <c r="W499" s="9" t="str">
        <f aca="false">IF(ROUND(V499-K499,2)=0,"OK","ERRO")</f>
        <v>OK</v>
      </c>
      <c r="X499" s="9" t="str">
        <f aca="false">VLOOKUP(F499,DIM_SERVICO!$A$2:$D$151,3,FALSE())</f>
        <v>Revisão</v>
      </c>
    </row>
    <row r="500" customFormat="false" ht="15" hidden="false" customHeight="false" outlineLevel="0" collapsed="false">
      <c r="A500" s="2" t="n">
        <v>499</v>
      </c>
      <c r="B500" s="2" t="n">
        <v>862</v>
      </c>
      <c r="C500" s="2" t="n">
        <v>1201</v>
      </c>
      <c r="D500" s="2" t="n">
        <v>877</v>
      </c>
      <c r="E500" s="2" t="n">
        <v>291</v>
      </c>
      <c r="F500" s="2" t="n">
        <v>25</v>
      </c>
      <c r="G500" s="2" t="n">
        <v>1463</v>
      </c>
      <c r="H500" s="2" t="n">
        <v>2</v>
      </c>
      <c r="I500" s="3" t="n">
        <v>1576.66</v>
      </c>
      <c r="J500" s="3" t="n">
        <v>1419.73</v>
      </c>
      <c r="K500" s="3" t="n">
        <v>4531.45</v>
      </c>
      <c r="L500" s="3" t="n">
        <v>2392.5</v>
      </c>
      <c r="M500" s="2" t="n">
        <v>7.4</v>
      </c>
      <c r="N500" s="2" t="s">
        <v>24</v>
      </c>
      <c r="O500" s="4" t="n">
        <f aca="false">VLOOKUP(F500,DIM_SERVICO!$A$2:$D$151,4,FALSE())</f>
        <v>1419.73</v>
      </c>
      <c r="P500" s="4" t="n">
        <f aca="false">VLOOKUP(E500,DIM_PECA!$A$2:$F$501,6,FALSE())</f>
        <v>1555.86</v>
      </c>
      <c r="Q500" s="4" t="n">
        <f aca="false">VLOOKUP(E500,DIM_PECA!$A$2:$F$501,5,FALSE())</f>
        <v>788.33</v>
      </c>
      <c r="R500" s="4" t="n">
        <f aca="false">H500*P500</f>
        <v>3111.72</v>
      </c>
      <c r="S500" s="4" t="n">
        <f aca="false">O500*M500</f>
        <v>10506.002</v>
      </c>
      <c r="T500" s="4" t="n">
        <f aca="false">R500+S500</f>
        <v>13617.722</v>
      </c>
      <c r="U500" s="4" t="n">
        <f aca="false">T500-K500</f>
        <v>9086.272</v>
      </c>
      <c r="V500" s="4" t="n">
        <f aca="false">R500+S500-U500</f>
        <v>4531.45</v>
      </c>
      <c r="W500" s="5" t="str">
        <f aca="false">IF(ROUND(V500-K500,2)=0,"OK","ERRO")</f>
        <v>OK</v>
      </c>
      <c r="X500" s="5" t="str">
        <f aca="false">VLOOKUP(F500,DIM_SERVICO!$A$2:$D$151,3,FALSE())</f>
        <v>Motor</v>
      </c>
    </row>
    <row r="501" customFormat="false" ht="15" hidden="false" customHeight="false" outlineLevel="0" collapsed="false">
      <c r="A501" s="6" t="n">
        <v>500</v>
      </c>
      <c r="B501" s="6" t="n">
        <v>545</v>
      </c>
      <c r="C501" s="6" t="n">
        <v>780</v>
      </c>
      <c r="D501" s="6" t="n">
        <v>208</v>
      </c>
      <c r="E501" s="6" t="n">
        <v>326</v>
      </c>
      <c r="F501" s="6" t="n">
        <v>125</v>
      </c>
      <c r="G501" s="6" t="n">
        <v>842</v>
      </c>
      <c r="H501" s="6" t="n">
        <v>2</v>
      </c>
      <c r="I501" s="7" t="n">
        <v>1409.2</v>
      </c>
      <c r="J501" s="7" t="n">
        <v>988.93</v>
      </c>
      <c r="K501" s="7" t="n">
        <v>2771.48</v>
      </c>
      <c r="L501" s="7" t="n">
        <v>960.64</v>
      </c>
      <c r="M501" s="6" t="n">
        <v>8.5</v>
      </c>
      <c r="N501" s="6" t="s">
        <v>27</v>
      </c>
      <c r="O501" s="8" t="n">
        <f aca="false">VLOOKUP(F501,DIM_SERVICO!$A$2:$D$151,4,FALSE())</f>
        <v>988.93</v>
      </c>
      <c r="P501" s="8" t="n">
        <f aca="false">VLOOKUP(E501,DIM_PECA!$A$2:$F$501,6,FALSE())</f>
        <v>964.21</v>
      </c>
      <c r="Q501" s="8" t="n">
        <f aca="false">VLOOKUP(E501,DIM_PECA!$A$2:$F$501,5,FALSE())</f>
        <v>704.6</v>
      </c>
      <c r="R501" s="8" t="n">
        <f aca="false">H501*P501</f>
        <v>1928.42</v>
      </c>
      <c r="S501" s="8" t="n">
        <f aca="false">O501*M501</f>
        <v>8405.905</v>
      </c>
      <c r="T501" s="8" t="n">
        <f aca="false">R501+S501</f>
        <v>10334.325</v>
      </c>
      <c r="U501" s="8" t="n">
        <f aca="false">T501-K501</f>
        <v>7562.845</v>
      </c>
      <c r="V501" s="8" t="n">
        <f aca="false">R501+S501-U501</f>
        <v>2771.48</v>
      </c>
      <c r="W501" s="9" t="str">
        <f aca="false">IF(ROUND(V501-K501,2)=0,"OK","ERRO")</f>
        <v>OK</v>
      </c>
      <c r="X501" s="9" t="str">
        <f aca="false">VLOOKUP(F501,DIM_SERVICO!$A$2:$D$151,3,FALSE())</f>
        <v>Suspensão</v>
      </c>
    </row>
    <row r="502" customFormat="false" ht="15" hidden="false" customHeight="false" outlineLevel="0" collapsed="false">
      <c r="A502" s="2" t="n">
        <v>501</v>
      </c>
      <c r="B502" s="2" t="n">
        <v>664</v>
      </c>
      <c r="C502" s="2" t="n">
        <v>563</v>
      </c>
      <c r="D502" s="2" t="n">
        <v>751</v>
      </c>
      <c r="E502" s="2" t="n">
        <v>377</v>
      </c>
      <c r="F502" s="2" t="n">
        <v>125</v>
      </c>
      <c r="G502" s="2" t="n">
        <v>1639</v>
      </c>
      <c r="H502" s="2" t="n">
        <v>4</v>
      </c>
      <c r="I502" s="3" t="n">
        <v>2223.28</v>
      </c>
      <c r="J502" s="3" t="n">
        <v>988.93</v>
      </c>
      <c r="K502" s="3" t="n">
        <v>5858.17</v>
      </c>
      <c r="L502" s="3" t="n">
        <v>3277.69</v>
      </c>
      <c r="M502" s="2" t="n">
        <v>6.7</v>
      </c>
      <c r="N502" s="2" t="s">
        <v>26</v>
      </c>
      <c r="O502" s="4" t="n">
        <f aca="false">VLOOKUP(F502,DIM_SERVICO!$A$2:$D$151,4,FALSE())</f>
        <v>988.93</v>
      </c>
      <c r="P502" s="4" t="n">
        <f aca="false">VLOOKUP(E502,DIM_PECA!$A$2:$F$501,6,FALSE())</f>
        <v>1217.31</v>
      </c>
      <c r="Q502" s="4" t="n">
        <f aca="false">VLOOKUP(E502,DIM_PECA!$A$2:$F$501,5,FALSE())</f>
        <v>555.82</v>
      </c>
      <c r="R502" s="4" t="n">
        <f aca="false">H502*P502</f>
        <v>4869.24</v>
      </c>
      <c r="S502" s="4" t="n">
        <f aca="false">O502*M502</f>
        <v>6625.831</v>
      </c>
      <c r="T502" s="4" t="n">
        <f aca="false">R502+S502</f>
        <v>11495.071</v>
      </c>
      <c r="U502" s="4" t="n">
        <f aca="false">T502-K502</f>
        <v>5636.901</v>
      </c>
      <c r="V502" s="4" t="n">
        <f aca="false">R502+S502-U502</f>
        <v>5858.17</v>
      </c>
      <c r="W502" s="5" t="str">
        <f aca="false">IF(ROUND(V502-K502,2)=0,"OK","ERRO")</f>
        <v>OK</v>
      </c>
      <c r="X502" s="5" t="str">
        <f aca="false">VLOOKUP(F502,DIM_SERVICO!$A$2:$D$151,3,FALSE())</f>
        <v>Suspensão</v>
      </c>
    </row>
    <row r="503" customFormat="false" ht="15" hidden="false" customHeight="false" outlineLevel="0" collapsed="false">
      <c r="A503" s="6" t="n">
        <v>502</v>
      </c>
      <c r="B503" s="6" t="n">
        <v>138</v>
      </c>
      <c r="C503" s="6" t="n">
        <v>1221</v>
      </c>
      <c r="D503" s="6" t="n">
        <v>827</v>
      </c>
      <c r="E503" s="6" t="n">
        <v>235</v>
      </c>
      <c r="F503" s="6" t="n">
        <v>149</v>
      </c>
      <c r="G503" s="6" t="n">
        <v>744</v>
      </c>
      <c r="H503" s="6" t="n">
        <v>2</v>
      </c>
      <c r="I503" s="7" t="n">
        <v>62.12</v>
      </c>
      <c r="J503" s="7" t="n">
        <v>142.63</v>
      </c>
      <c r="K503" s="7" t="n">
        <v>267.98</v>
      </c>
      <c r="L503" s="7" t="n">
        <v>153.97</v>
      </c>
      <c r="M503" s="6" t="n">
        <v>0.5</v>
      </c>
      <c r="N503" s="6" t="s">
        <v>24</v>
      </c>
      <c r="O503" s="8" t="n">
        <f aca="false">VLOOKUP(F503,DIM_SERVICO!$A$2:$D$151,4,FALSE())</f>
        <v>142.63</v>
      </c>
      <c r="P503" s="8" t="n">
        <f aca="false">VLOOKUP(E503,DIM_PECA!$A$2:$F$501,6,FALSE())</f>
        <v>65.41</v>
      </c>
      <c r="Q503" s="8" t="n">
        <f aca="false">VLOOKUP(E503,DIM_PECA!$A$2:$F$501,5,FALSE())</f>
        <v>31.06</v>
      </c>
      <c r="R503" s="8" t="n">
        <f aca="false">H503*P503</f>
        <v>130.82</v>
      </c>
      <c r="S503" s="8" t="n">
        <f aca="false">O503*M503</f>
        <v>71.315</v>
      </c>
      <c r="T503" s="8" t="n">
        <f aca="false">R503+S503</f>
        <v>202.135</v>
      </c>
      <c r="U503" s="8" t="n">
        <f aca="false">T503-K503</f>
        <v>-65.845</v>
      </c>
      <c r="V503" s="8" t="n">
        <f aca="false">R503+S503-U503</f>
        <v>267.98</v>
      </c>
      <c r="W503" s="9" t="str">
        <f aca="false">IF(ROUND(V503-K503,2)=0,"OK","ERRO")</f>
        <v>OK</v>
      </c>
      <c r="X503" s="9" t="str">
        <f aca="false">VLOOKUP(F503,DIM_SERVICO!$A$2:$D$151,3,FALSE())</f>
        <v>Motor</v>
      </c>
    </row>
    <row r="504" customFormat="false" ht="15" hidden="false" customHeight="false" outlineLevel="0" collapsed="false">
      <c r="A504" s="2" t="n">
        <v>503</v>
      </c>
      <c r="B504" s="2" t="n">
        <v>692</v>
      </c>
      <c r="C504" s="2" t="n">
        <v>388</v>
      </c>
      <c r="D504" s="2" t="n">
        <v>1</v>
      </c>
      <c r="E504" s="2" t="n">
        <v>329</v>
      </c>
      <c r="F504" s="2" t="n">
        <v>120</v>
      </c>
      <c r="G504" s="2" t="n">
        <v>82</v>
      </c>
      <c r="H504" s="2" t="n">
        <v>1</v>
      </c>
      <c r="I504" s="3" t="n">
        <v>521.1</v>
      </c>
      <c r="J504" s="3" t="n">
        <v>1729.81</v>
      </c>
      <c r="K504" s="3" t="n">
        <v>2591.43</v>
      </c>
      <c r="L504" s="3" t="n">
        <v>1379.8</v>
      </c>
      <c r="M504" s="2" t="n">
        <v>4.8</v>
      </c>
      <c r="N504" s="2" t="s">
        <v>24</v>
      </c>
      <c r="O504" s="4" t="n">
        <f aca="false">VLOOKUP(F504,DIM_SERVICO!$A$2:$D$151,4,FALSE())</f>
        <v>1729.81</v>
      </c>
      <c r="P504" s="4" t="n">
        <f aca="false">VLOOKUP(E504,DIM_PECA!$A$2:$F$501,6,FALSE())</f>
        <v>914.51</v>
      </c>
      <c r="Q504" s="4" t="n">
        <f aca="false">VLOOKUP(E504,DIM_PECA!$A$2:$F$501,5,FALSE())</f>
        <v>521.1</v>
      </c>
      <c r="R504" s="4" t="n">
        <f aca="false">H504*P504</f>
        <v>914.51</v>
      </c>
      <c r="S504" s="4" t="n">
        <f aca="false">O504*M504</f>
        <v>8303.088</v>
      </c>
      <c r="T504" s="4" t="n">
        <f aca="false">R504+S504</f>
        <v>9217.598</v>
      </c>
      <c r="U504" s="4" t="n">
        <f aca="false">T504-K504</f>
        <v>6626.168</v>
      </c>
      <c r="V504" s="4" t="n">
        <f aca="false">R504+S504-U504</f>
        <v>2591.43</v>
      </c>
      <c r="W504" s="5" t="str">
        <f aca="false">IF(ROUND(V504-K504,2)=0,"OK","ERRO")</f>
        <v>OK</v>
      </c>
      <c r="X504" s="5" t="str">
        <f aca="false">VLOOKUP(F504,DIM_SERVICO!$A$2:$D$151,3,FALSE())</f>
        <v>Suspensão</v>
      </c>
    </row>
    <row r="505" customFormat="false" ht="15" hidden="false" customHeight="false" outlineLevel="0" collapsed="false">
      <c r="A505" s="6" t="n">
        <v>504</v>
      </c>
      <c r="B505" s="6" t="n">
        <v>781</v>
      </c>
      <c r="C505" s="6" t="n">
        <v>264</v>
      </c>
      <c r="D505" s="6" t="n">
        <v>872</v>
      </c>
      <c r="E505" s="6" t="n">
        <v>486</v>
      </c>
      <c r="F505" s="6" t="n">
        <v>49</v>
      </c>
      <c r="G505" s="6" t="n">
        <v>250</v>
      </c>
      <c r="H505" s="6" t="n">
        <v>3</v>
      </c>
      <c r="I505" s="7" t="n">
        <v>3572.64</v>
      </c>
      <c r="J505" s="7" t="n">
        <v>1883.63</v>
      </c>
      <c r="K505" s="7" t="n">
        <v>9452.33</v>
      </c>
      <c r="L505" s="7" t="n">
        <v>5043.4</v>
      </c>
      <c r="M505" s="6" t="n">
        <v>2.4</v>
      </c>
      <c r="N505" s="6" t="s">
        <v>27</v>
      </c>
      <c r="O505" s="8" t="n">
        <f aca="false">VLOOKUP(F505,DIM_SERVICO!$A$2:$D$151,4,FALSE())</f>
        <v>1883.63</v>
      </c>
      <c r="P505" s="8" t="n">
        <f aca="false">VLOOKUP(E505,DIM_PECA!$A$2:$F$501,6,FALSE())</f>
        <v>2587.2</v>
      </c>
      <c r="Q505" s="8" t="n">
        <f aca="false">VLOOKUP(E505,DIM_PECA!$A$2:$F$501,5,FALSE())</f>
        <v>1190.88</v>
      </c>
      <c r="R505" s="8" t="n">
        <f aca="false">H505*P505</f>
        <v>7761.6</v>
      </c>
      <c r="S505" s="8" t="n">
        <f aca="false">O505*M505</f>
        <v>4520.712</v>
      </c>
      <c r="T505" s="8" t="n">
        <f aca="false">R505+S505</f>
        <v>12282.312</v>
      </c>
      <c r="U505" s="8" t="n">
        <f aca="false">T505-K505</f>
        <v>2829.982</v>
      </c>
      <c r="V505" s="8" t="n">
        <f aca="false">R505+S505-U505</f>
        <v>9452.33</v>
      </c>
      <c r="W505" s="9" t="str">
        <f aca="false">IF(ROUND(V505-K505,2)=0,"OK","ERRO")</f>
        <v>OK</v>
      </c>
      <c r="X505" s="9" t="str">
        <f aca="false">VLOOKUP(F505,DIM_SERVICO!$A$2:$D$151,3,FALSE())</f>
        <v>Suspensão</v>
      </c>
    </row>
    <row r="506" customFormat="false" ht="15" hidden="false" customHeight="false" outlineLevel="0" collapsed="false">
      <c r="A506" s="2" t="n">
        <v>505</v>
      </c>
      <c r="B506" s="2" t="n">
        <v>1426</v>
      </c>
      <c r="C506" s="2" t="n">
        <v>142</v>
      </c>
      <c r="D506" s="2" t="n">
        <v>878</v>
      </c>
      <c r="E506" s="2" t="n">
        <v>382</v>
      </c>
      <c r="F506" s="2" t="n">
        <v>51</v>
      </c>
      <c r="G506" s="2" t="n">
        <v>880</v>
      </c>
      <c r="H506" s="2" t="n">
        <v>2</v>
      </c>
      <c r="I506" s="3" t="n">
        <v>299.72</v>
      </c>
      <c r="J506" s="3" t="n">
        <v>876</v>
      </c>
      <c r="K506" s="3" t="n">
        <v>1294.83</v>
      </c>
      <c r="L506" s="3" t="n">
        <v>663</v>
      </c>
      <c r="M506" s="2" t="n">
        <v>9.8</v>
      </c>
      <c r="N506" s="2" t="s">
        <v>24</v>
      </c>
      <c r="O506" s="4" t="n">
        <f aca="false">VLOOKUP(F506,DIM_SERVICO!$A$2:$D$151,4,FALSE())</f>
        <v>876</v>
      </c>
      <c r="P506" s="4" t="n">
        <f aca="false">VLOOKUP(E506,DIM_PECA!$A$2:$F$501,6,FALSE())</f>
        <v>243.49</v>
      </c>
      <c r="Q506" s="4" t="n">
        <f aca="false">VLOOKUP(E506,DIM_PECA!$A$2:$F$501,5,FALSE())</f>
        <v>149.86</v>
      </c>
      <c r="R506" s="4" t="n">
        <f aca="false">H506*P506</f>
        <v>486.98</v>
      </c>
      <c r="S506" s="4" t="n">
        <f aca="false">O506*M506</f>
        <v>8584.8</v>
      </c>
      <c r="T506" s="4" t="n">
        <f aca="false">R506+S506</f>
        <v>9071.78</v>
      </c>
      <c r="U506" s="4" t="n">
        <f aca="false">T506-K506</f>
        <v>7776.95</v>
      </c>
      <c r="V506" s="4" t="n">
        <f aca="false">R506+S506-U506</f>
        <v>1294.83</v>
      </c>
      <c r="W506" s="5" t="str">
        <f aca="false">IF(ROUND(V506-K506,2)=0,"OK","ERRO")</f>
        <v>OK</v>
      </c>
      <c r="X506" s="5" t="str">
        <f aca="false">VLOOKUP(F506,DIM_SERVICO!$A$2:$D$151,3,FALSE())</f>
        <v>Revisão</v>
      </c>
    </row>
    <row r="507" customFormat="false" ht="15" hidden="false" customHeight="false" outlineLevel="0" collapsed="false">
      <c r="A507" s="6" t="n">
        <v>506</v>
      </c>
      <c r="B507" s="6" t="n">
        <v>773</v>
      </c>
      <c r="C507" s="6" t="n">
        <v>1370</v>
      </c>
      <c r="D507" s="6" t="n">
        <v>981</v>
      </c>
      <c r="E507" s="6" t="n">
        <v>293</v>
      </c>
      <c r="F507" s="6" t="n">
        <v>121</v>
      </c>
      <c r="G507" s="6" t="n">
        <v>1450</v>
      </c>
      <c r="H507" s="6" t="n">
        <v>4</v>
      </c>
      <c r="I507" s="7" t="n">
        <v>4706.56</v>
      </c>
      <c r="J507" s="7" t="n">
        <v>599.74</v>
      </c>
      <c r="K507" s="7" t="n">
        <v>8004.26</v>
      </c>
      <c r="L507" s="7" t="n">
        <v>3033.23</v>
      </c>
      <c r="M507" s="6" t="n">
        <v>8.9</v>
      </c>
      <c r="N507" s="6" t="s">
        <v>25</v>
      </c>
      <c r="O507" s="8" t="n">
        <f aca="false">VLOOKUP(F507,DIM_SERVICO!$A$2:$D$151,4,FALSE())</f>
        <v>599.74</v>
      </c>
      <c r="P507" s="8" t="n">
        <f aca="false">VLOOKUP(E507,DIM_PECA!$A$2:$F$501,6,FALSE())</f>
        <v>2073.47</v>
      </c>
      <c r="Q507" s="8" t="n">
        <f aca="false">VLOOKUP(E507,DIM_PECA!$A$2:$F$501,5,FALSE())</f>
        <v>1176.64</v>
      </c>
      <c r="R507" s="8" t="n">
        <f aca="false">H507*P507</f>
        <v>8293.88</v>
      </c>
      <c r="S507" s="8" t="n">
        <f aca="false">O507*M507</f>
        <v>5337.686</v>
      </c>
      <c r="T507" s="8" t="n">
        <f aca="false">R507+S507</f>
        <v>13631.566</v>
      </c>
      <c r="U507" s="8" t="n">
        <f aca="false">T507-K507</f>
        <v>5627.306</v>
      </c>
      <c r="V507" s="8" t="n">
        <f aca="false">R507+S507-U507</f>
        <v>8004.26</v>
      </c>
      <c r="W507" s="9" t="str">
        <f aca="false">IF(ROUND(V507-K507,2)=0,"OK","ERRO")</f>
        <v>OK</v>
      </c>
      <c r="X507" s="9" t="str">
        <f aca="false">VLOOKUP(F507,DIM_SERVICO!$A$2:$D$151,3,FALSE())</f>
        <v>Revisão</v>
      </c>
    </row>
    <row r="508" customFormat="false" ht="15" hidden="false" customHeight="false" outlineLevel="0" collapsed="false">
      <c r="A508" s="2" t="n">
        <v>507</v>
      </c>
      <c r="B508" s="2" t="n">
        <v>800</v>
      </c>
      <c r="C508" s="2" t="n">
        <v>374</v>
      </c>
      <c r="D508" s="2" t="n">
        <v>543</v>
      </c>
      <c r="E508" s="2" t="n">
        <v>100</v>
      </c>
      <c r="F508" s="2" t="n">
        <v>129</v>
      </c>
      <c r="G508" s="2" t="n">
        <v>320</v>
      </c>
      <c r="H508" s="2" t="n">
        <v>1</v>
      </c>
      <c r="I508" s="3" t="n">
        <v>675.55</v>
      </c>
      <c r="J508" s="3" t="n">
        <v>404</v>
      </c>
      <c r="K508" s="3" t="n">
        <v>1755.82</v>
      </c>
      <c r="L508" s="3" t="n">
        <v>903.95</v>
      </c>
      <c r="M508" s="2" t="n">
        <v>2.3</v>
      </c>
      <c r="N508" s="2" t="s">
        <v>25</v>
      </c>
      <c r="O508" s="4" t="n">
        <f aca="false">VLOOKUP(F508,DIM_SERVICO!$A$2:$D$151,4,FALSE())</f>
        <v>404</v>
      </c>
      <c r="P508" s="4" t="n">
        <f aca="false">VLOOKUP(E508,DIM_PECA!$A$2:$F$501,6,FALSE())</f>
        <v>1351.82</v>
      </c>
      <c r="Q508" s="4" t="n">
        <f aca="false">VLOOKUP(E508,DIM_PECA!$A$2:$F$501,5,FALSE())</f>
        <v>675.55</v>
      </c>
      <c r="R508" s="4" t="n">
        <f aca="false">H508*P508</f>
        <v>1351.82</v>
      </c>
      <c r="S508" s="4" t="n">
        <f aca="false">O508*M508</f>
        <v>929.2</v>
      </c>
      <c r="T508" s="4" t="n">
        <f aca="false">R508+S508</f>
        <v>2281.02</v>
      </c>
      <c r="U508" s="4" t="n">
        <f aca="false">T508-K508</f>
        <v>525.2</v>
      </c>
      <c r="V508" s="4" t="n">
        <f aca="false">R508+S508-U508</f>
        <v>1755.82</v>
      </c>
      <c r="W508" s="5" t="str">
        <f aca="false">IF(ROUND(V508-K508,2)=0,"OK","ERRO")</f>
        <v>OK</v>
      </c>
      <c r="X508" s="5" t="str">
        <f aca="false">VLOOKUP(F508,DIM_SERVICO!$A$2:$D$151,3,FALSE())</f>
        <v>Diagnóstico</v>
      </c>
    </row>
    <row r="509" customFormat="false" ht="15" hidden="false" customHeight="false" outlineLevel="0" collapsed="false">
      <c r="A509" s="6" t="n">
        <v>508</v>
      </c>
      <c r="B509" s="6" t="n">
        <v>671</v>
      </c>
      <c r="C509" s="6" t="n">
        <v>382</v>
      </c>
      <c r="D509" s="6" t="n">
        <v>293</v>
      </c>
      <c r="E509" s="6" t="n">
        <v>485</v>
      </c>
      <c r="F509" s="6" t="n">
        <v>136</v>
      </c>
      <c r="G509" s="6" t="n">
        <v>1750</v>
      </c>
      <c r="H509" s="6" t="n">
        <v>2</v>
      </c>
      <c r="I509" s="7" t="n">
        <v>953.14</v>
      </c>
      <c r="J509" s="7" t="n">
        <v>509.38</v>
      </c>
      <c r="K509" s="7" t="n">
        <v>2233.54</v>
      </c>
      <c r="L509" s="7" t="n">
        <v>1048.93</v>
      </c>
      <c r="M509" s="6" t="n">
        <v>1.5</v>
      </c>
      <c r="N509" s="6" t="s">
        <v>26</v>
      </c>
      <c r="O509" s="8" t="n">
        <f aca="false">VLOOKUP(F509,DIM_SERVICO!$A$2:$D$151,4,FALSE())</f>
        <v>509.38</v>
      </c>
      <c r="P509" s="8" t="n">
        <f aca="false">VLOOKUP(E509,DIM_PECA!$A$2:$F$501,6,FALSE())</f>
        <v>862.08</v>
      </c>
      <c r="Q509" s="8" t="n">
        <f aca="false">VLOOKUP(E509,DIM_PECA!$A$2:$F$501,5,FALSE())</f>
        <v>476.57</v>
      </c>
      <c r="R509" s="8" t="n">
        <f aca="false">H509*P509</f>
        <v>1724.16</v>
      </c>
      <c r="S509" s="8" t="n">
        <f aca="false">O509*M509</f>
        <v>764.07</v>
      </c>
      <c r="T509" s="8" t="n">
        <f aca="false">R509+S509</f>
        <v>2488.23</v>
      </c>
      <c r="U509" s="8" t="n">
        <f aca="false">T509-K509</f>
        <v>254.69</v>
      </c>
      <c r="V509" s="8" t="n">
        <f aca="false">R509+S509-U509</f>
        <v>2233.54</v>
      </c>
      <c r="W509" s="9" t="str">
        <f aca="false">IF(ROUND(V509-K509,2)=0,"OK","ERRO")</f>
        <v>OK</v>
      </c>
      <c r="X509" s="9" t="str">
        <f aca="false">VLOOKUP(F509,DIM_SERVICO!$A$2:$D$151,3,FALSE())</f>
        <v>Elétrica</v>
      </c>
    </row>
    <row r="510" customFormat="false" ht="15" hidden="false" customHeight="false" outlineLevel="0" collapsed="false">
      <c r="A510" s="2" t="n">
        <v>509</v>
      </c>
      <c r="B510" s="2" t="n">
        <v>481</v>
      </c>
      <c r="C510" s="2" t="n">
        <v>1025</v>
      </c>
      <c r="D510" s="2" t="n">
        <v>591</v>
      </c>
      <c r="E510" s="2" t="n">
        <v>91</v>
      </c>
      <c r="F510" s="2" t="n">
        <v>42</v>
      </c>
      <c r="G510" s="2" t="n">
        <v>446</v>
      </c>
      <c r="H510" s="2" t="n">
        <v>3</v>
      </c>
      <c r="I510" s="3" t="n">
        <v>2862.39</v>
      </c>
      <c r="J510" s="3" t="n">
        <v>1029.92</v>
      </c>
      <c r="K510" s="3" t="n">
        <v>4671.51</v>
      </c>
      <c r="L510" s="3" t="n">
        <v>1243.82</v>
      </c>
      <c r="M510" s="2" t="n">
        <v>2.2</v>
      </c>
      <c r="N510" s="2" t="s">
        <v>24</v>
      </c>
      <c r="O510" s="4" t="n">
        <f aca="false">VLOOKUP(F510,DIM_SERVICO!$A$2:$D$151,4,FALSE())</f>
        <v>1029.92</v>
      </c>
      <c r="P510" s="4" t="n">
        <f aca="false">VLOOKUP(E510,DIM_PECA!$A$2:$F$501,6,FALSE())</f>
        <v>1295.82</v>
      </c>
      <c r="Q510" s="4" t="n">
        <f aca="false">VLOOKUP(E510,DIM_PECA!$A$2:$F$501,5,FALSE())</f>
        <v>954.13</v>
      </c>
      <c r="R510" s="4" t="n">
        <f aca="false">H510*P510</f>
        <v>3887.46</v>
      </c>
      <c r="S510" s="4" t="n">
        <f aca="false">O510*M510</f>
        <v>2265.824</v>
      </c>
      <c r="T510" s="4" t="n">
        <f aca="false">R510+S510</f>
        <v>6153.284</v>
      </c>
      <c r="U510" s="4" t="n">
        <f aca="false">T510-K510</f>
        <v>1481.774</v>
      </c>
      <c r="V510" s="4" t="n">
        <f aca="false">R510+S510-U510</f>
        <v>4671.51</v>
      </c>
      <c r="W510" s="5" t="str">
        <f aca="false">IF(ROUND(V510-K510,2)=0,"OK","ERRO")</f>
        <v>OK</v>
      </c>
      <c r="X510" s="5" t="str">
        <f aca="false">VLOOKUP(F510,DIM_SERVICO!$A$2:$D$151,3,FALSE())</f>
        <v>Elétrica</v>
      </c>
    </row>
    <row r="511" customFormat="false" ht="15" hidden="false" customHeight="false" outlineLevel="0" collapsed="false">
      <c r="A511" s="6" t="n">
        <v>510</v>
      </c>
      <c r="B511" s="6" t="n">
        <v>764</v>
      </c>
      <c r="C511" s="6" t="n">
        <v>1396</v>
      </c>
      <c r="D511" s="6" t="n">
        <v>56</v>
      </c>
      <c r="E511" s="6" t="n">
        <v>395</v>
      </c>
      <c r="F511" s="6" t="n">
        <v>149</v>
      </c>
      <c r="G511" s="6" t="n">
        <v>1765</v>
      </c>
      <c r="H511" s="6" t="n">
        <v>3</v>
      </c>
      <c r="I511" s="7" t="n">
        <v>3076.86</v>
      </c>
      <c r="J511" s="7" t="n">
        <v>142.63</v>
      </c>
      <c r="K511" s="7" t="n">
        <v>6030.7</v>
      </c>
      <c r="L511" s="7" t="n">
        <v>2879.63</v>
      </c>
      <c r="M511" s="6" t="n">
        <v>8.4</v>
      </c>
      <c r="N511" s="6" t="s">
        <v>27</v>
      </c>
      <c r="O511" s="8" t="n">
        <f aca="false">VLOOKUP(F511,DIM_SERVICO!$A$2:$D$151,4,FALSE())</f>
        <v>142.63</v>
      </c>
      <c r="P511" s="8" t="n">
        <f aca="false">VLOOKUP(E511,DIM_PECA!$A$2:$F$501,6,FALSE())</f>
        <v>2186.05</v>
      </c>
      <c r="Q511" s="8" t="n">
        <f aca="false">VLOOKUP(E511,DIM_PECA!$A$2:$F$501,5,FALSE())</f>
        <v>1025.62</v>
      </c>
      <c r="R511" s="8" t="n">
        <f aca="false">H511*P511</f>
        <v>6558.15</v>
      </c>
      <c r="S511" s="8" t="n">
        <f aca="false">O511*M511</f>
        <v>1198.092</v>
      </c>
      <c r="T511" s="8" t="n">
        <f aca="false">R511+S511</f>
        <v>7756.242</v>
      </c>
      <c r="U511" s="8" t="n">
        <f aca="false">T511-K511</f>
        <v>1725.542</v>
      </c>
      <c r="V511" s="8" t="n">
        <f aca="false">R511+S511-U511</f>
        <v>6030.7</v>
      </c>
      <c r="W511" s="9" t="str">
        <f aca="false">IF(ROUND(V511-K511,2)=0,"OK","ERRO")</f>
        <v>OK</v>
      </c>
      <c r="X511" s="9" t="str">
        <f aca="false">VLOOKUP(F511,DIM_SERVICO!$A$2:$D$151,3,FALSE())</f>
        <v>Motor</v>
      </c>
    </row>
    <row r="512" customFormat="false" ht="15" hidden="false" customHeight="false" outlineLevel="0" collapsed="false">
      <c r="A512" s="2" t="n">
        <v>511</v>
      </c>
      <c r="B512" s="2" t="n">
        <v>608</v>
      </c>
      <c r="C512" s="2" t="n">
        <v>570</v>
      </c>
      <c r="D512" s="2" t="n">
        <v>541</v>
      </c>
      <c r="E512" s="2" t="n">
        <v>39</v>
      </c>
      <c r="F512" s="2" t="n">
        <v>44</v>
      </c>
      <c r="G512" s="2" t="n">
        <v>638</v>
      </c>
      <c r="H512" s="2" t="n">
        <v>3</v>
      </c>
      <c r="I512" s="3" t="n">
        <v>3405.3</v>
      </c>
      <c r="J512" s="3" t="n">
        <v>1855.21</v>
      </c>
      <c r="K512" s="3" t="n">
        <v>6886.75</v>
      </c>
      <c r="L512" s="3" t="n">
        <v>2763.29</v>
      </c>
      <c r="M512" s="2" t="n">
        <v>3.4</v>
      </c>
      <c r="N512" s="2" t="s">
        <v>24</v>
      </c>
      <c r="O512" s="4" t="n">
        <f aca="false">VLOOKUP(F512,DIM_SERVICO!$A$2:$D$151,4,FALSE())</f>
        <v>1855.21</v>
      </c>
      <c r="P512" s="4" t="n">
        <f aca="false">VLOOKUP(E512,DIM_PECA!$A$2:$F$501,6,FALSE())</f>
        <v>1677.18</v>
      </c>
      <c r="Q512" s="4" t="n">
        <f aca="false">VLOOKUP(E512,DIM_PECA!$A$2:$F$501,5,FALSE())</f>
        <v>1135.1</v>
      </c>
      <c r="R512" s="4" t="n">
        <f aca="false">H512*P512</f>
        <v>5031.54</v>
      </c>
      <c r="S512" s="4" t="n">
        <f aca="false">O512*M512</f>
        <v>6307.714</v>
      </c>
      <c r="T512" s="4" t="n">
        <f aca="false">R512+S512</f>
        <v>11339.254</v>
      </c>
      <c r="U512" s="4" t="n">
        <f aca="false">T512-K512</f>
        <v>4452.504</v>
      </c>
      <c r="V512" s="4" t="n">
        <f aca="false">R512+S512-U512</f>
        <v>6886.75</v>
      </c>
      <c r="W512" s="5" t="str">
        <f aca="false">IF(ROUND(V512-K512,2)=0,"OK","ERRO")</f>
        <v>OK</v>
      </c>
      <c r="X512" s="5" t="str">
        <f aca="false">VLOOKUP(F512,DIM_SERVICO!$A$2:$D$151,3,FALSE())</f>
        <v>Funilaria</v>
      </c>
    </row>
    <row r="513" customFormat="false" ht="15" hidden="false" customHeight="false" outlineLevel="0" collapsed="false">
      <c r="A513" s="6" t="n">
        <v>512</v>
      </c>
      <c r="B513" s="6" t="n">
        <v>366</v>
      </c>
      <c r="C513" s="6" t="n">
        <v>758</v>
      </c>
      <c r="D513" s="6" t="n">
        <v>715</v>
      </c>
      <c r="E513" s="6" t="n">
        <v>227</v>
      </c>
      <c r="F513" s="6" t="n">
        <v>7</v>
      </c>
      <c r="G513" s="6" t="n">
        <v>1070</v>
      </c>
      <c r="H513" s="6" t="n">
        <v>2</v>
      </c>
      <c r="I513" s="7" t="n">
        <v>307.4</v>
      </c>
      <c r="J513" s="7" t="n">
        <v>2158.23</v>
      </c>
      <c r="K513" s="7" t="n">
        <v>2542.25</v>
      </c>
      <c r="L513" s="7" t="n">
        <v>1174.63</v>
      </c>
      <c r="M513" s="6" t="n">
        <v>8.5</v>
      </c>
      <c r="N513" s="6" t="s">
        <v>26</v>
      </c>
      <c r="O513" s="8" t="n">
        <f aca="false">VLOOKUP(F513,DIM_SERVICO!$A$2:$D$151,4,FALSE())</f>
        <v>2158.23</v>
      </c>
      <c r="P513" s="8" t="n">
        <f aca="false">VLOOKUP(E513,DIM_PECA!$A$2:$F$501,6,FALSE())</f>
        <v>258.91</v>
      </c>
      <c r="Q513" s="8" t="n">
        <f aca="false">VLOOKUP(E513,DIM_PECA!$A$2:$F$501,5,FALSE())</f>
        <v>153.7</v>
      </c>
      <c r="R513" s="8" t="n">
        <f aca="false">H513*P513</f>
        <v>517.82</v>
      </c>
      <c r="S513" s="8" t="n">
        <f aca="false">O513*M513</f>
        <v>18344.955</v>
      </c>
      <c r="T513" s="8" t="n">
        <f aca="false">R513+S513</f>
        <v>18862.775</v>
      </c>
      <c r="U513" s="8" t="n">
        <f aca="false">T513-K513</f>
        <v>16320.525</v>
      </c>
      <c r="V513" s="8" t="n">
        <f aca="false">R513+S513-U513</f>
        <v>2542.25</v>
      </c>
      <c r="W513" s="9" t="str">
        <f aca="false">IF(ROUND(V513-K513,2)=0,"OK","ERRO")</f>
        <v>OK</v>
      </c>
      <c r="X513" s="9" t="str">
        <f aca="false">VLOOKUP(F513,DIM_SERVICO!$A$2:$D$151,3,FALSE())</f>
        <v>Revisão</v>
      </c>
    </row>
    <row r="514" customFormat="false" ht="15" hidden="false" customHeight="false" outlineLevel="0" collapsed="false">
      <c r="A514" s="2" t="n">
        <v>513</v>
      </c>
      <c r="B514" s="2" t="n">
        <v>716</v>
      </c>
      <c r="C514" s="2" t="n">
        <v>714</v>
      </c>
      <c r="D514" s="2" t="n">
        <v>63</v>
      </c>
      <c r="E514" s="2" t="n">
        <v>144</v>
      </c>
      <c r="F514" s="2" t="n">
        <v>107</v>
      </c>
      <c r="G514" s="2" t="n">
        <v>321</v>
      </c>
      <c r="H514" s="2" t="n">
        <v>2</v>
      </c>
      <c r="I514" s="3" t="n">
        <v>149.48</v>
      </c>
      <c r="J514" s="3" t="n">
        <v>550.68</v>
      </c>
      <c r="K514" s="3" t="n">
        <v>861.68</v>
      </c>
      <c r="L514" s="3" t="n">
        <v>448.68</v>
      </c>
      <c r="M514" s="2" t="n">
        <v>3.7</v>
      </c>
      <c r="N514" s="2" t="s">
        <v>24</v>
      </c>
      <c r="O514" s="4" t="n">
        <f aca="false">VLOOKUP(F514,DIM_SERVICO!$A$2:$D$151,4,FALSE())</f>
        <v>550.68</v>
      </c>
      <c r="P514" s="4" t="n">
        <f aca="false">VLOOKUP(E514,DIM_PECA!$A$2:$F$501,6,FALSE())</f>
        <v>155.5</v>
      </c>
      <c r="Q514" s="4" t="n">
        <f aca="false">VLOOKUP(E514,DIM_PECA!$A$2:$F$501,5,FALSE())</f>
        <v>74.74</v>
      </c>
      <c r="R514" s="4" t="n">
        <f aca="false">H514*P514</f>
        <v>311</v>
      </c>
      <c r="S514" s="4" t="n">
        <f aca="false">O514*M514</f>
        <v>2037.516</v>
      </c>
      <c r="T514" s="4" t="n">
        <f aca="false">R514+S514</f>
        <v>2348.516</v>
      </c>
      <c r="U514" s="4" t="n">
        <f aca="false">T514-K514</f>
        <v>1486.836</v>
      </c>
      <c r="V514" s="4" t="n">
        <f aca="false">R514+S514-U514</f>
        <v>861.68</v>
      </c>
      <c r="W514" s="5" t="str">
        <f aca="false">IF(ROUND(V514-K514,2)=0,"OK","ERRO")</f>
        <v>OK</v>
      </c>
      <c r="X514" s="5" t="str">
        <f aca="false">VLOOKUP(F514,DIM_SERVICO!$A$2:$D$151,3,FALSE())</f>
        <v>Diagnóstico</v>
      </c>
    </row>
    <row r="515" customFormat="false" ht="15" hidden="false" customHeight="false" outlineLevel="0" collapsed="false">
      <c r="A515" s="6" t="n">
        <v>514</v>
      </c>
      <c r="B515" s="6" t="n">
        <v>231</v>
      </c>
      <c r="C515" s="6" t="n">
        <v>722</v>
      </c>
      <c r="D515" s="6" t="n">
        <v>365</v>
      </c>
      <c r="E515" s="6" t="n">
        <v>440</v>
      </c>
      <c r="F515" s="6" t="n">
        <v>88</v>
      </c>
      <c r="G515" s="6" t="n">
        <v>1133</v>
      </c>
      <c r="H515" s="6" t="n">
        <v>2</v>
      </c>
      <c r="I515" s="7" t="n">
        <v>142.28</v>
      </c>
      <c r="J515" s="7" t="n">
        <v>757.58</v>
      </c>
      <c r="K515" s="7" t="n">
        <v>980.08</v>
      </c>
      <c r="L515" s="7" t="n">
        <v>464.21</v>
      </c>
      <c r="M515" s="6" t="n">
        <v>6.3</v>
      </c>
      <c r="N515" s="6" t="s">
        <v>24</v>
      </c>
      <c r="O515" s="8" t="n">
        <f aca="false">VLOOKUP(F515,DIM_SERVICO!$A$2:$D$151,4,FALSE())</f>
        <v>757.58</v>
      </c>
      <c r="P515" s="8" t="n">
        <f aca="false">VLOOKUP(E515,DIM_PECA!$A$2:$F$501,6,FALSE())</f>
        <v>111.25</v>
      </c>
      <c r="Q515" s="8" t="n">
        <f aca="false">VLOOKUP(E515,DIM_PECA!$A$2:$F$501,5,FALSE())</f>
        <v>71.14</v>
      </c>
      <c r="R515" s="8" t="n">
        <f aca="false">H515*P515</f>
        <v>222.5</v>
      </c>
      <c r="S515" s="8" t="n">
        <f aca="false">O515*M515</f>
        <v>4772.754</v>
      </c>
      <c r="T515" s="8" t="n">
        <f aca="false">R515+S515</f>
        <v>4995.254</v>
      </c>
      <c r="U515" s="8" t="n">
        <f aca="false">T515-K515</f>
        <v>4015.174</v>
      </c>
      <c r="V515" s="8" t="n">
        <f aca="false">R515+S515-U515</f>
        <v>980.08</v>
      </c>
      <c r="W515" s="9" t="str">
        <f aca="false">IF(ROUND(V515-K515,2)=0,"OK","ERRO")</f>
        <v>OK</v>
      </c>
      <c r="X515" s="9" t="str">
        <f aca="false">VLOOKUP(F515,DIM_SERVICO!$A$2:$D$151,3,FALSE())</f>
        <v>Motor</v>
      </c>
    </row>
    <row r="516" customFormat="false" ht="15" hidden="false" customHeight="false" outlineLevel="0" collapsed="false">
      <c r="A516" s="2" t="n">
        <v>515</v>
      </c>
      <c r="B516" s="2" t="n">
        <v>361</v>
      </c>
      <c r="C516" s="2" t="n">
        <v>1193</v>
      </c>
      <c r="D516" s="2" t="n">
        <v>674</v>
      </c>
      <c r="E516" s="2" t="n">
        <v>404</v>
      </c>
      <c r="F516" s="2" t="n">
        <v>21</v>
      </c>
      <c r="G516" s="2" t="n">
        <v>1498</v>
      </c>
      <c r="H516" s="2" t="n">
        <v>1</v>
      </c>
      <c r="I516" s="3" t="n">
        <v>302.27</v>
      </c>
      <c r="J516" s="3" t="n">
        <v>126.78</v>
      </c>
      <c r="K516" s="3" t="n">
        <v>552.84</v>
      </c>
      <c r="L516" s="3" t="n">
        <v>200.05</v>
      </c>
      <c r="M516" s="2" t="n">
        <v>7.2</v>
      </c>
      <c r="N516" s="2" t="s">
        <v>24</v>
      </c>
      <c r="O516" s="4" t="n">
        <f aca="false">VLOOKUP(F516,DIM_SERVICO!$A$2:$D$151,4,FALSE())</f>
        <v>126.78</v>
      </c>
      <c r="P516" s="4" t="n">
        <f aca="false">VLOOKUP(E516,DIM_PECA!$A$2:$F$501,6,FALSE())</f>
        <v>426.06</v>
      </c>
      <c r="Q516" s="4" t="n">
        <f aca="false">VLOOKUP(E516,DIM_PECA!$A$2:$F$501,5,FALSE())</f>
        <v>302.27</v>
      </c>
      <c r="R516" s="4" t="n">
        <f aca="false">H516*P516</f>
        <v>426.06</v>
      </c>
      <c r="S516" s="4" t="n">
        <f aca="false">O516*M516</f>
        <v>912.816</v>
      </c>
      <c r="T516" s="4" t="n">
        <f aca="false">R516+S516</f>
        <v>1338.876</v>
      </c>
      <c r="U516" s="4" t="n">
        <f aca="false">T516-K516</f>
        <v>786.036</v>
      </c>
      <c r="V516" s="4" t="n">
        <f aca="false">R516+S516-U516</f>
        <v>552.84</v>
      </c>
      <c r="W516" s="5" t="str">
        <f aca="false">IF(ROUND(V516-K516,2)=0,"OK","ERRO")</f>
        <v>OK</v>
      </c>
      <c r="X516" s="5" t="str">
        <f aca="false">VLOOKUP(F516,DIM_SERVICO!$A$2:$D$151,3,FALSE())</f>
        <v>Suspensão</v>
      </c>
    </row>
    <row r="517" customFormat="false" ht="15" hidden="false" customHeight="false" outlineLevel="0" collapsed="false">
      <c r="A517" s="6" t="n">
        <v>516</v>
      </c>
      <c r="B517" s="6" t="n">
        <v>876</v>
      </c>
      <c r="C517" s="6" t="n">
        <v>549</v>
      </c>
      <c r="D517" s="6" t="n">
        <v>614</v>
      </c>
      <c r="E517" s="6" t="n">
        <v>288</v>
      </c>
      <c r="F517" s="6" t="n">
        <v>124</v>
      </c>
      <c r="G517" s="6" t="n">
        <v>741</v>
      </c>
      <c r="H517" s="6" t="n">
        <v>3</v>
      </c>
      <c r="I517" s="7" t="n">
        <v>3050.61</v>
      </c>
      <c r="J517" s="7" t="n">
        <v>2049.22</v>
      </c>
      <c r="K517" s="7" t="n">
        <v>8363.38</v>
      </c>
      <c r="L517" s="7" t="n">
        <v>4387.03</v>
      </c>
      <c r="M517" s="6" t="n">
        <v>4.5</v>
      </c>
      <c r="N517" s="6" t="s">
        <v>24</v>
      </c>
      <c r="O517" s="8" t="n">
        <f aca="false">VLOOKUP(F517,DIM_SERVICO!$A$2:$D$151,4,FALSE())</f>
        <v>2049.22</v>
      </c>
      <c r="P517" s="8" t="n">
        <f aca="false">VLOOKUP(E517,DIM_PECA!$A$2:$F$501,6,FALSE())</f>
        <v>2104.72</v>
      </c>
      <c r="Q517" s="8" t="n">
        <f aca="false">VLOOKUP(E517,DIM_PECA!$A$2:$F$501,5,FALSE())</f>
        <v>1016.87</v>
      </c>
      <c r="R517" s="8" t="n">
        <f aca="false">H517*P517</f>
        <v>6314.16</v>
      </c>
      <c r="S517" s="8" t="n">
        <f aca="false">O517*M517</f>
        <v>9221.49</v>
      </c>
      <c r="T517" s="8" t="n">
        <f aca="false">R517+S517</f>
        <v>15535.65</v>
      </c>
      <c r="U517" s="8" t="n">
        <f aca="false">T517-K517</f>
        <v>7172.27</v>
      </c>
      <c r="V517" s="8" t="n">
        <f aca="false">R517+S517-U517</f>
        <v>8363.38</v>
      </c>
      <c r="W517" s="9" t="str">
        <f aca="false">IF(ROUND(V517-K517,2)=0,"OK","ERRO")</f>
        <v>OK</v>
      </c>
      <c r="X517" s="9" t="str">
        <f aca="false">VLOOKUP(F517,DIM_SERVICO!$A$2:$D$151,3,FALSE())</f>
        <v>Freios</v>
      </c>
    </row>
    <row r="518" customFormat="false" ht="15" hidden="false" customHeight="false" outlineLevel="0" collapsed="false">
      <c r="A518" s="2" t="n">
        <v>517</v>
      </c>
      <c r="B518" s="2" t="n">
        <v>1092</v>
      </c>
      <c r="C518" s="2" t="n">
        <v>977</v>
      </c>
      <c r="D518" s="2" t="n">
        <v>226</v>
      </c>
      <c r="E518" s="2" t="n">
        <v>116</v>
      </c>
      <c r="F518" s="2" t="n">
        <v>47</v>
      </c>
      <c r="G518" s="2" t="n">
        <v>1518</v>
      </c>
      <c r="H518" s="2" t="n">
        <v>2</v>
      </c>
      <c r="I518" s="3" t="n">
        <v>1449.54</v>
      </c>
      <c r="J518" s="3" t="n">
        <v>399.81</v>
      </c>
      <c r="K518" s="3" t="n">
        <v>2951.91</v>
      </c>
      <c r="L518" s="3" t="n">
        <v>1361.98</v>
      </c>
      <c r="M518" s="2" t="n">
        <v>6.9</v>
      </c>
      <c r="N518" s="2" t="s">
        <v>24</v>
      </c>
      <c r="O518" s="4" t="n">
        <f aca="false">VLOOKUP(F518,DIM_SERVICO!$A$2:$D$151,4,FALSE())</f>
        <v>399.81</v>
      </c>
      <c r="P518" s="4" t="n">
        <f aca="false">VLOOKUP(E518,DIM_PECA!$A$2:$F$501,6,FALSE())</f>
        <v>1276.05</v>
      </c>
      <c r="Q518" s="4" t="n">
        <f aca="false">VLOOKUP(E518,DIM_PECA!$A$2:$F$501,5,FALSE())</f>
        <v>724.77</v>
      </c>
      <c r="R518" s="4" t="n">
        <f aca="false">H518*P518</f>
        <v>2552.1</v>
      </c>
      <c r="S518" s="4" t="n">
        <f aca="false">O518*M518</f>
        <v>2758.689</v>
      </c>
      <c r="T518" s="4" t="n">
        <f aca="false">R518+S518</f>
        <v>5310.789</v>
      </c>
      <c r="U518" s="4" t="n">
        <f aca="false">T518-K518</f>
        <v>2358.879</v>
      </c>
      <c r="V518" s="4" t="n">
        <f aca="false">R518+S518-U518</f>
        <v>2951.91</v>
      </c>
      <c r="W518" s="5" t="str">
        <f aca="false">IF(ROUND(V518-K518,2)=0,"OK","ERRO")</f>
        <v>OK</v>
      </c>
      <c r="X518" s="5" t="str">
        <f aca="false">VLOOKUP(F518,DIM_SERVICO!$A$2:$D$151,3,FALSE())</f>
        <v>Funilaria</v>
      </c>
    </row>
    <row r="519" customFormat="false" ht="15" hidden="false" customHeight="false" outlineLevel="0" collapsed="false">
      <c r="A519" s="6" t="n">
        <v>518</v>
      </c>
      <c r="B519" s="6" t="n">
        <v>1020</v>
      </c>
      <c r="C519" s="6" t="n">
        <v>144</v>
      </c>
      <c r="D519" s="6" t="n">
        <v>998</v>
      </c>
      <c r="E519" s="6" t="n">
        <v>224</v>
      </c>
      <c r="F519" s="6" t="n">
        <v>78</v>
      </c>
      <c r="G519" s="6" t="n">
        <v>1031</v>
      </c>
      <c r="H519" s="6" t="n">
        <v>3</v>
      </c>
      <c r="I519" s="7" t="n">
        <v>346.89</v>
      </c>
      <c r="J519" s="7" t="n">
        <v>1647.18</v>
      </c>
      <c r="K519" s="7" t="n">
        <v>2331.36</v>
      </c>
      <c r="L519" s="7" t="n">
        <v>1183.52</v>
      </c>
      <c r="M519" s="6" t="n">
        <v>5.9</v>
      </c>
      <c r="N519" s="6" t="s">
        <v>24</v>
      </c>
      <c r="O519" s="8" t="n">
        <f aca="false">VLOOKUP(F519,DIM_SERVICO!$A$2:$D$151,4,FALSE())</f>
        <v>1647.18</v>
      </c>
      <c r="P519" s="8" t="n">
        <f aca="false">VLOOKUP(E519,DIM_PECA!$A$2:$F$501,6,FALSE())</f>
        <v>243.92</v>
      </c>
      <c r="Q519" s="8" t="n">
        <f aca="false">VLOOKUP(E519,DIM_PECA!$A$2:$F$501,5,FALSE())</f>
        <v>115.63</v>
      </c>
      <c r="R519" s="8" t="n">
        <f aca="false">H519*P519</f>
        <v>731.76</v>
      </c>
      <c r="S519" s="8" t="n">
        <f aca="false">O519*M519</f>
        <v>9718.362</v>
      </c>
      <c r="T519" s="8" t="n">
        <f aca="false">R519+S519</f>
        <v>10450.122</v>
      </c>
      <c r="U519" s="8" t="n">
        <f aca="false">T519-K519</f>
        <v>8118.762</v>
      </c>
      <c r="V519" s="8" t="n">
        <f aca="false">R519+S519-U519</f>
        <v>2331.36</v>
      </c>
      <c r="W519" s="9" t="str">
        <f aca="false">IF(ROUND(V519-K519,2)=0,"OK","ERRO")</f>
        <v>OK</v>
      </c>
      <c r="X519" s="9" t="str">
        <f aca="false">VLOOKUP(F519,DIM_SERVICO!$A$2:$D$151,3,FALSE())</f>
        <v>Suspensão</v>
      </c>
    </row>
    <row r="520" customFormat="false" ht="15" hidden="false" customHeight="false" outlineLevel="0" collapsed="false">
      <c r="A520" s="2" t="n">
        <v>519</v>
      </c>
      <c r="B520" s="2" t="n">
        <v>1401</v>
      </c>
      <c r="C520" s="2" t="n">
        <v>1291</v>
      </c>
      <c r="D520" s="2" t="n">
        <v>645</v>
      </c>
      <c r="E520" s="2" t="n">
        <v>87</v>
      </c>
      <c r="F520" s="2" t="n">
        <v>26</v>
      </c>
      <c r="G520" s="2" t="n">
        <v>551</v>
      </c>
      <c r="H520" s="2" t="n">
        <v>2</v>
      </c>
      <c r="I520" s="3" t="n">
        <v>691.42</v>
      </c>
      <c r="J520" s="3" t="n">
        <v>168.44</v>
      </c>
      <c r="K520" s="3" t="n">
        <v>1386.48</v>
      </c>
      <c r="L520" s="3" t="n">
        <v>623.75</v>
      </c>
      <c r="M520" s="2" t="n">
        <v>4.9</v>
      </c>
      <c r="N520" s="2" t="s">
        <v>27</v>
      </c>
      <c r="O520" s="4" t="n">
        <f aca="false">VLOOKUP(F520,DIM_SERVICO!$A$2:$D$151,4,FALSE())</f>
        <v>168.44</v>
      </c>
      <c r="P520" s="4" t="n">
        <f aca="false">VLOOKUP(E520,DIM_PECA!$A$2:$F$501,6,FALSE())</f>
        <v>669.3</v>
      </c>
      <c r="Q520" s="4" t="n">
        <f aca="false">VLOOKUP(E520,DIM_PECA!$A$2:$F$501,5,FALSE())</f>
        <v>345.71</v>
      </c>
      <c r="R520" s="4" t="n">
        <f aca="false">H520*P520</f>
        <v>1338.6</v>
      </c>
      <c r="S520" s="4" t="n">
        <f aca="false">O520*M520</f>
        <v>825.356</v>
      </c>
      <c r="T520" s="4" t="n">
        <f aca="false">R520+S520</f>
        <v>2163.956</v>
      </c>
      <c r="U520" s="4" t="n">
        <f aca="false">T520-K520</f>
        <v>777.476</v>
      </c>
      <c r="V520" s="4" t="n">
        <f aca="false">R520+S520-U520</f>
        <v>1386.48</v>
      </c>
      <c r="W520" s="5" t="str">
        <f aca="false">IF(ROUND(V520-K520,2)=0,"OK","ERRO")</f>
        <v>OK</v>
      </c>
      <c r="X520" s="5" t="str">
        <f aca="false">VLOOKUP(F520,DIM_SERVICO!$A$2:$D$151,3,FALSE())</f>
        <v>Suspensão</v>
      </c>
    </row>
    <row r="521" customFormat="false" ht="15" hidden="false" customHeight="false" outlineLevel="0" collapsed="false">
      <c r="A521" s="6" t="n">
        <v>520</v>
      </c>
      <c r="B521" s="6" t="n">
        <v>897</v>
      </c>
      <c r="C521" s="6" t="n">
        <v>744</v>
      </c>
      <c r="D521" s="6" t="n">
        <v>76</v>
      </c>
      <c r="E521" s="6" t="n">
        <v>285</v>
      </c>
      <c r="F521" s="6" t="n">
        <v>98</v>
      </c>
      <c r="G521" s="6" t="n">
        <v>1171</v>
      </c>
      <c r="H521" s="6" t="n">
        <v>2</v>
      </c>
      <c r="I521" s="7" t="n">
        <v>2149.08</v>
      </c>
      <c r="J521" s="7" t="n">
        <v>951.01</v>
      </c>
      <c r="K521" s="7" t="n">
        <v>3819.17</v>
      </c>
      <c r="L521" s="7" t="n">
        <v>1177.77</v>
      </c>
      <c r="M521" s="6" t="n">
        <v>10.2</v>
      </c>
      <c r="N521" s="6" t="s">
        <v>24</v>
      </c>
      <c r="O521" s="8" t="n">
        <f aca="false">VLOOKUP(F521,DIM_SERVICO!$A$2:$D$151,4,FALSE())</f>
        <v>951.01</v>
      </c>
      <c r="P521" s="8" t="n">
        <f aca="false">VLOOKUP(E521,DIM_PECA!$A$2:$F$501,6,FALSE())</f>
        <v>1600.13</v>
      </c>
      <c r="Q521" s="8" t="n">
        <f aca="false">VLOOKUP(E521,DIM_PECA!$A$2:$F$501,5,FALSE())</f>
        <v>1074.54</v>
      </c>
      <c r="R521" s="8" t="n">
        <f aca="false">H521*P521</f>
        <v>3200.26</v>
      </c>
      <c r="S521" s="8" t="n">
        <f aca="false">O521*M521</f>
        <v>9700.302</v>
      </c>
      <c r="T521" s="8" t="n">
        <f aca="false">R521+S521</f>
        <v>12900.562</v>
      </c>
      <c r="U521" s="8" t="n">
        <f aca="false">T521-K521</f>
        <v>9081.392</v>
      </c>
      <c r="V521" s="8" t="n">
        <f aca="false">R521+S521-U521</f>
        <v>3819.17</v>
      </c>
      <c r="W521" s="9" t="str">
        <f aca="false">IF(ROUND(V521-K521,2)=0,"OK","ERRO")</f>
        <v>OK</v>
      </c>
      <c r="X521" s="9" t="str">
        <f aca="false">VLOOKUP(F521,DIM_SERVICO!$A$2:$D$151,3,FALSE())</f>
        <v>Revisão</v>
      </c>
    </row>
    <row r="522" customFormat="false" ht="15" hidden="false" customHeight="false" outlineLevel="0" collapsed="false">
      <c r="A522" s="2" t="n">
        <v>521</v>
      </c>
      <c r="B522" s="2" t="n">
        <v>350</v>
      </c>
      <c r="C522" s="2" t="n">
        <v>1353</v>
      </c>
      <c r="D522" s="2" t="n">
        <v>1</v>
      </c>
      <c r="E522" s="2" t="n">
        <v>383</v>
      </c>
      <c r="F522" s="2" t="n">
        <v>45</v>
      </c>
      <c r="G522" s="2" t="n">
        <v>682</v>
      </c>
      <c r="H522" s="2" t="n">
        <v>2</v>
      </c>
      <c r="I522" s="3" t="n">
        <v>967.74</v>
      </c>
      <c r="J522" s="3" t="n">
        <v>510.5</v>
      </c>
      <c r="K522" s="3" t="n">
        <v>2309.81</v>
      </c>
      <c r="L522" s="3" t="n">
        <v>1093.64</v>
      </c>
      <c r="M522" s="2" t="n">
        <v>9.7</v>
      </c>
      <c r="N522" s="2" t="s">
        <v>26</v>
      </c>
      <c r="O522" s="4" t="n">
        <f aca="false">VLOOKUP(F522,DIM_SERVICO!$A$2:$D$151,4,FALSE())</f>
        <v>510.5</v>
      </c>
      <c r="P522" s="4" t="n">
        <f aca="false">VLOOKUP(E522,DIM_PECA!$A$2:$F$501,6,FALSE())</f>
        <v>1000.08</v>
      </c>
      <c r="Q522" s="4" t="n">
        <f aca="false">VLOOKUP(E522,DIM_PECA!$A$2:$F$501,5,FALSE())</f>
        <v>483.87</v>
      </c>
      <c r="R522" s="4" t="n">
        <f aca="false">H522*P522</f>
        <v>2000.16</v>
      </c>
      <c r="S522" s="4" t="n">
        <f aca="false">O522*M522</f>
        <v>4951.85</v>
      </c>
      <c r="T522" s="4" t="n">
        <f aca="false">R522+S522</f>
        <v>6952.01</v>
      </c>
      <c r="U522" s="4" t="n">
        <f aca="false">T522-K522</f>
        <v>4642.2</v>
      </c>
      <c r="V522" s="4" t="n">
        <f aca="false">R522+S522-U522</f>
        <v>2309.81</v>
      </c>
      <c r="W522" s="5" t="str">
        <f aca="false">IF(ROUND(V522-K522,2)=0,"OK","ERRO")</f>
        <v>OK</v>
      </c>
      <c r="X522" s="5" t="str">
        <f aca="false">VLOOKUP(F522,DIM_SERVICO!$A$2:$D$151,3,FALSE())</f>
        <v>Revisão</v>
      </c>
    </row>
    <row r="523" customFormat="false" ht="15" hidden="false" customHeight="false" outlineLevel="0" collapsed="false">
      <c r="A523" s="6" t="n">
        <v>522</v>
      </c>
      <c r="B523" s="6" t="n">
        <v>1206</v>
      </c>
      <c r="C523" s="6" t="n">
        <v>1369</v>
      </c>
      <c r="D523" s="6" t="n">
        <v>474</v>
      </c>
      <c r="E523" s="6" t="n">
        <v>457</v>
      </c>
      <c r="F523" s="6" t="n">
        <v>27</v>
      </c>
      <c r="G523" s="6" t="n">
        <v>1631</v>
      </c>
      <c r="H523" s="6" t="n">
        <v>1</v>
      </c>
      <c r="I523" s="7" t="n">
        <v>136.18</v>
      </c>
      <c r="J523" s="7" t="n">
        <v>662.68</v>
      </c>
      <c r="K523" s="7" t="n">
        <v>851.96</v>
      </c>
      <c r="L523" s="7" t="n">
        <v>395.32</v>
      </c>
      <c r="M523" s="6" t="n">
        <v>10.6</v>
      </c>
      <c r="N523" s="6" t="s">
        <v>26</v>
      </c>
      <c r="O523" s="8" t="n">
        <f aca="false">VLOOKUP(F523,DIM_SERVICO!$A$2:$D$151,4,FALSE())</f>
        <v>662.68</v>
      </c>
      <c r="P523" s="8" t="n">
        <f aca="false">VLOOKUP(E523,DIM_PECA!$A$2:$F$501,6,FALSE())</f>
        <v>263.36</v>
      </c>
      <c r="Q523" s="8" t="n">
        <f aca="false">VLOOKUP(E523,DIM_PECA!$A$2:$F$501,5,FALSE())</f>
        <v>136.18</v>
      </c>
      <c r="R523" s="8" t="n">
        <f aca="false">H523*P523</f>
        <v>263.36</v>
      </c>
      <c r="S523" s="8" t="n">
        <f aca="false">O523*M523</f>
        <v>7024.408</v>
      </c>
      <c r="T523" s="8" t="n">
        <f aca="false">R523+S523</f>
        <v>7287.768</v>
      </c>
      <c r="U523" s="8" t="n">
        <f aca="false">T523-K523</f>
        <v>6435.808</v>
      </c>
      <c r="V523" s="8" t="n">
        <f aca="false">R523+S523-U523</f>
        <v>851.96</v>
      </c>
      <c r="W523" s="9" t="str">
        <f aca="false">IF(ROUND(V523-K523,2)=0,"OK","ERRO")</f>
        <v>OK</v>
      </c>
      <c r="X523" s="9" t="str">
        <f aca="false">VLOOKUP(F523,DIM_SERVICO!$A$2:$D$151,3,FALSE())</f>
        <v>Revisão</v>
      </c>
    </row>
    <row r="524" customFormat="false" ht="15" hidden="false" customHeight="false" outlineLevel="0" collapsed="false">
      <c r="A524" s="2" t="n">
        <v>523</v>
      </c>
      <c r="B524" s="2" t="n">
        <v>1260</v>
      </c>
      <c r="C524" s="2" t="n">
        <v>728</v>
      </c>
      <c r="D524" s="2" t="n">
        <v>754</v>
      </c>
      <c r="E524" s="2" t="n">
        <v>92</v>
      </c>
      <c r="F524" s="2" t="n">
        <v>78</v>
      </c>
      <c r="G524" s="2" t="n">
        <v>147</v>
      </c>
      <c r="H524" s="2" t="n">
        <v>2</v>
      </c>
      <c r="I524" s="3" t="n">
        <v>796.88</v>
      </c>
      <c r="J524" s="3" t="n">
        <v>1647.18</v>
      </c>
      <c r="K524" s="3" t="n">
        <v>3213.83</v>
      </c>
      <c r="L524" s="3" t="n">
        <v>1623.1</v>
      </c>
      <c r="M524" s="2" t="n">
        <v>5.3</v>
      </c>
      <c r="N524" s="2" t="s">
        <v>24</v>
      </c>
      <c r="O524" s="4" t="n">
        <f aca="false">VLOOKUP(F524,DIM_SERVICO!$A$2:$D$151,4,FALSE())</f>
        <v>1647.18</v>
      </c>
      <c r="P524" s="4" t="n">
        <f aca="false">VLOOKUP(E524,DIM_PECA!$A$2:$F$501,6,FALSE())</f>
        <v>816.12</v>
      </c>
      <c r="Q524" s="4" t="n">
        <f aca="false">VLOOKUP(E524,DIM_PECA!$A$2:$F$501,5,FALSE())</f>
        <v>398.44</v>
      </c>
      <c r="R524" s="4" t="n">
        <f aca="false">H524*P524</f>
        <v>1632.24</v>
      </c>
      <c r="S524" s="4" t="n">
        <f aca="false">O524*M524</f>
        <v>8730.054</v>
      </c>
      <c r="T524" s="4" t="n">
        <f aca="false">R524+S524</f>
        <v>10362.294</v>
      </c>
      <c r="U524" s="4" t="n">
        <f aca="false">T524-K524</f>
        <v>7148.464</v>
      </c>
      <c r="V524" s="4" t="n">
        <f aca="false">R524+S524-U524</f>
        <v>3213.83</v>
      </c>
      <c r="W524" s="5" t="str">
        <f aca="false">IF(ROUND(V524-K524,2)=0,"OK","ERRO")</f>
        <v>OK</v>
      </c>
      <c r="X524" s="5" t="str">
        <f aca="false">VLOOKUP(F524,DIM_SERVICO!$A$2:$D$151,3,FALSE())</f>
        <v>Suspensão</v>
      </c>
    </row>
    <row r="525" customFormat="false" ht="15" hidden="false" customHeight="false" outlineLevel="0" collapsed="false">
      <c r="A525" s="6" t="n">
        <v>524</v>
      </c>
      <c r="B525" s="6" t="n">
        <v>495</v>
      </c>
      <c r="C525" s="6" t="n">
        <v>1321</v>
      </c>
      <c r="D525" s="6" t="n">
        <v>910</v>
      </c>
      <c r="E525" s="6" t="n">
        <v>14</v>
      </c>
      <c r="F525" s="6" t="n">
        <v>146</v>
      </c>
      <c r="G525" s="6" t="n">
        <v>1695</v>
      </c>
      <c r="H525" s="6" t="n">
        <v>3</v>
      </c>
      <c r="I525" s="7" t="n">
        <v>3153.87</v>
      </c>
      <c r="J525" s="7" t="n">
        <v>482.6</v>
      </c>
      <c r="K525" s="7" t="n">
        <v>6080.18</v>
      </c>
      <c r="L525" s="7" t="n">
        <v>2686.07</v>
      </c>
      <c r="M525" s="6" t="n">
        <v>5.1</v>
      </c>
      <c r="N525" s="6" t="s">
        <v>25</v>
      </c>
      <c r="O525" s="8" t="n">
        <f aca="false">VLOOKUP(F525,DIM_SERVICO!$A$2:$D$151,4,FALSE())</f>
        <v>482.6</v>
      </c>
      <c r="P525" s="8" t="n">
        <f aca="false">VLOOKUP(E525,DIM_PECA!$A$2:$F$501,6,FALSE())</f>
        <v>1865.86</v>
      </c>
      <c r="Q525" s="8" t="n">
        <f aca="false">VLOOKUP(E525,DIM_PECA!$A$2:$F$501,5,FALSE())</f>
        <v>1051.29</v>
      </c>
      <c r="R525" s="8" t="n">
        <f aca="false">H525*P525</f>
        <v>5597.58</v>
      </c>
      <c r="S525" s="8" t="n">
        <f aca="false">O525*M525</f>
        <v>2461.26</v>
      </c>
      <c r="T525" s="8" t="n">
        <f aca="false">R525+S525</f>
        <v>8058.84</v>
      </c>
      <c r="U525" s="8" t="n">
        <f aca="false">T525-K525</f>
        <v>1978.66</v>
      </c>
      <c r="V525" s="8" t="n">
        <f aca="false">R525+S525-U525</f>
        <v>6080.18</v>
      </c>
      <c r="W525" s="9" t="str">
        <f aca="false">IF(ROUND(V525-K525,2)=0,"OK","ERRO")</f>
        <v>OK</v>
      </c>
      <c r="X525" s="9" t="str">
        <f aca="false">VLOOKUP(F525,DIM_SERVICO!$A$2:$D$151,3,FALSE())</f>
        <v>Funilaria</v>
      </c>
    </row>
    <row r="526" customFormat="false" ht="15" hidden="false" customHeight="false" outlineLevel="0" collapsed="false">
      <c r="A526" s="2" t="n">
        <v>525</v>
      </c>
      <c r="B526" s="2" t="n">
        <v>1145</v>
      </c>
      <c r="C526" s="2" t="n">
        <v>991</v>
      </c>
      <c r="D526" s="2" t="n">
        <v>65</v>
      </c>
      <c r="E526" s="2" t="n">
        <v>128</v>
      </c>
      <c r="F526" s="2" t="n">
        <v>52</v>
      </c>
      <c r="G526" s="2" t="n">
        <v>869</v>
      </c>
      <c r="H526" s="2" t="n">
        <v>3</v>
      </c>
      <c r="I526" s="3" t="n">
        <v>463.59</v>
      </c>
      <c r="J526" s="3" t="n">
        <v>188.62</v>
      </c>
      <c r="K526" s="3" t="n">
        <v>1183.51</v>
      </c>
      <c r="L526" s="3" t="n">
        <v>622.16</v>
      </c>
      <c r="M526" s="2" t="n">
        <v>9.3</v>
      </c>
      <c r="N526" s="2" t="s">
        <v>26</v>
      </c>
      <c r="O526" s="4" t="n">
        <f aca="false">VLOOKUP(F526,DIM_SERVICO!$A$2:$D$151,4,FALSE())</f>
        <v>188.62</v>
      </c>
      <c r="P526" s="4" t="n">
        <f aca="false">VLOOKUP(E526,DIM_PECA!$A$2:$F$501,6,FALSE())</f>
        <v>331.63</v>
      </c>
      <c r="Q526" s="4" t="n">
        <f aca="false">VLOOKUP(E526,DIM_PECA!$A$2:$F$501,5,FALSE())</f>
        <v>154.53</v>
      </c>
      <c r="R526" s="4" t="n">
        <f aca="false">H526*P526</f>
        <v>994.89</v>
      </c>
      <c r="S526" s="4" t="n">
        <f aca="false">O526*M526</f>
        <v>1754.166</v>
      </c>
      <c r="T526" s="4" t="n">
        <f aca="false">R526+S526</f>
        <v>2749.056</v>
      </c>
      <c r="U526" s="4" t="n">
        <f aca="false">T526-K526</f>
        <v>1565.546</v>
      </c>
      <c r="V526" s="4" t="n">
        <f aca="false">R526+S526-U526</f>
        <v>1183.51</v>
      </c>
      <c r="W526" s="5" t="str">
        <f aca="false">IF(ROUND(V526-K526,2)=0,"OK","ERRO")</f>
        <v>OK</v>
      </c>
      <c r="X526" s="5" t="str">
        <f aca="false">VLOOKUP(F526,DIM_SERVICO!$A$2:$D$151,3,FALSE())</f>
        <v>Funilaria</v>
      </c>
    </row>
    <row r="527" customFormat="false" ht="15" hidden="false" customHeight="false" outlineLevel="0" collapsed="false">
      <c r="A527" s="6" t="n">
        <v>526</v>
      </c>
      <c r="B527" s="6" t="n">
        <v>637</v>
      </c>
      <c r="C527" s="6" t="n">
        <v>407</v>
      </c>
      <c r="D527" s="6" t="n">
        <v>286</v>
      </c>
      <c r="E527" s="6" t="n">
        <v>13</v>
      </c>
      <c r="F527" s="6" t="n">
        <v>111</v>
      </c>
      <c r="G527" s="6" t="n">
        <v>656</v>
      </c>
      <c r="H527" s="6" t="n">
        <v>3</v>
      </c>
      <c r="I527" s="7" t="n">
        <v>912.45</v>
      </c>
      <c r="J527" s="7" t="n">
        <v>1482.2</v>
      </c>
      <c r="K527" s="7" t="n">
        <v>2786.61</v>
      </c>
      <c r="L527" s="7" t="n">
        <v>1140.04</v>
      </c>
      <c r="M527" s="6" t="n">
        <v>2.1</v>
      </c>
      <c r="N527" s="6" t="s">
        <v>24</v>
      </c>
      <c r="O527" s="8" t="n">
        <f aca="false">VLOOKUP(F527,DIM_SERVICO!$A$2:$D$151,4,FALSE())</f>
        <v>1482.2</v>
      </c>
      <c r="P527" s="8" t="n">
        <f aca="false">VLOOKUP(E527,DIM_PECA!$A$2:$F$501,6,FALSE())</f>
        <v>538.01</v>
      </c>
      <c r="Q527" s="8" t="n">
        <f aca="false">VLOOKUP(E527,DIM_PECA!$A$2:$F$501,5,FALSE())</f>
        <v>304.15</v>
      </c>
      <c r="R527" s="8" t="n">
        <f aca="false">H527*P527</f>
        <v>1614.03</v>
      </c>
      <c r="S527" s="8" t="n">
        <f aca="false">O527*M527</f>
        <v>3112.62</v>
      </c>
      <c r="T527" s="8" t="n">
        <f aca="false">R527+S527</f>
        <v>4726.65</v>
      </c>
      <c r="U527" s="8" t="n">
        <f aca="false">T527-K527</f>
        <v>1940.04</v>
      </c>
      <c r="V527" s="8" t="n">
        <f aca="false">R527+S527-U527</f>
        <v>2786.61</v>
      </c>
      <c r="W527" s="9" t="str">
        <f aca="false">IF(ROUND(V527-K527,2)=0,"OK","ERRO")</f>
        <v>OK</v>
      </c>
      <c r="X527" s="9" t="str">
        <f aca="false">VLOOKUP(F527,DIM_SERVICO!$A$2:$D$151,3,FALSE())</f>
        <v>Pintura</v>
      </c>
    </row>
    <row r="528" customFormat="false" ht="15" hidden="false" customHeight="false" outlineLevel="0" collapsed="false">
      <c r="A528" s="2" t="n">
        <v>527</v>
      </c>
      <c r="B528" s="2" t="n">
        <v>744</v>
      </c>
      <c r="C528" s="2" t="n">
        <v>836</v>
      </c>
      <c r="D528" s="2" t="n">
        <v>1137</v>
      </c>
      <c r="E528" s="2" t="n">
        <v>35</v>
      </c>
      <c r="F528" s="2" t="n">
        <v>76</v>
      </c>
      <c r="G528" s="2" t="n">
        <v>452</v>
      </c>
      <c r="H528" s="2" t="n">
        <v>3</v>
      </c>
      <c r="I528" s="3" t="n">
        <v>2787.15</v>
      </c>
      <c r="J528" s="3" t="n">
        <v>258.16</v>
      </c>
      <c r="K528" s="3" t="n">
        <v>5320.03</v>
      </c>
      <c r="L528" s="3" t="n">
        <v>2439.5</v>
      </c>
      <c r="M528" s="2" t="n">
        <v>10.9</v>
      </c>
      <c r="N528" s="2" t="s">
        <v>27</v>
      </c>
      <c r="O528" s="4" t="n">
        <f aca="false">VLOOKUP(F528,DIM_SERVICO!$A$2:$D$151,4,FALSE())</f>
        <v>258.16</v>
      </c>
      <c r="P528" s="4" t="n">
        <f aca="false">VLOOKUP(E528,DIM_PECA!$A$2:$F$501,6,FALSE())</f>
        <v>1884.33</v>
      </c>
      <c r="Q528" s="4" t="n">
        <f aca="false">VLOOKUP(E528,DIM_PECA!$A$2:$F$501,5,FALSE())</f>
        <v>929.05</v>
      </c>
      <c r="R528" s="4" t="n">
        <f aca="false">H528*P528</f>
        <v>5652.99</v>
      </c>
      <c r="S528" s="4" t="n">
        <f aca="false">O528*M528</f>
        <v>2813.944</v>
      </c>
      <c r="T528" s="4" t="n">
        <f aca="false">R528+S528</f>
        <v>8466.934</v>
      </c>
      <c r="U528" s="4" t="n">
        <f aca="false">T528-K528</f>
        <v>3146.904</v>
      </c>
      <c r="V528" s="4" t="n">
        <f aca="false">R528+S528-U528</f>
        <v>5320.03</v>
      </c>
      <c r="W528" s="5" t="str">
        <f aca="false">IF(ROUND(V528-K528,2)=0,"OK","ERRO")</f>
        <v>OK</v>
      </c>
      <c r="X528" s="5" t="str">
        <f aca="false">VLOOKUP(F528,DIM_SERVICO!$A$2:$D$151,3,FALSE())</f>
        <v>Diagnóstico</v>
      </c>
    </row>
    <row r="529" customFormat="false" ht="15" hidden="false" customHeight="false" outlineLevel="0" collapsed="false">
      <c r="A529" s="6" t="n">
        <v>528</v>
      </c>
      <c r="B529" s="6" t="n">
        <v>687</v>
      </c>
      <c r="C529" s="6" t="n">
        <v>426</v>
      </c>
      <c r="D529" s="6" t="n">
        <v>864</v>
      </c>
      <c r="E529" s="6" t="n">
        <v>37</v>
      </c>
      <c r="F529" s="6" t="n">
        <v>89</v>
      </c>
      <c r="G529" s="6" t="n">
        <v>306</v>
      </c>
      <c r="H529" s="6" t="n">
        <v>3</v>
      </c>
      <c r="I529" s="7" t="n">
        <v>2171.25</v>
      </c>
      <c r="J529" s="7" t="n">
        <v>310.79</v>
      </c>
      <c r="K529" s="7" t="n">
        <v>3402.59</v>
      </c>
      <c r="L529" s="7" t="n">
        <v>1073.16</v>
      </c>
      <c r="M529" s="6" t="n">
        <v>7.5</v>
      </c>
      <c r="N529" s="6" t="s">
        <v>24</v>
      </c>
      <c r="O529" s="8" t="n">
        <f aca="false">VLOOKUP(F529,DIM_SERVICO!$A$2:$D$151,4,FALSE())</f>
        <v>310.79</v>
      </c>
      <c r="P529" s="8" t="n">
        <f aca="false">VLOOKUP(E529,DIM_PECA!$A$2:$F$501,6,FALSE())</f>
        <v>1030.6</v>
      </c>
      <c r="Q529" s="8" t="n">
        <f aca="false">VLOOKUP(E529,DIM_PECA!$A$2:$F$501,5,FALSE())</f>
        <v>723.75</v>
      </c>
      <c r="R529" s="8" t="n">
        <f aca="false">H529*P529</f>
        <v>3091.8</v>
      </c>
      <c r="S529" s="8" t="n">
        <f aca="false">O529*M529</f>
        <v>2330.925</v>
      </c>
      <c r="T529" s="8" t="n">
        <f aca="false">R529+S529</f>
        <v>5422.725</v>
      </c>
      <c r="U529" s="8" t="n">
        <f aca="false">T529-K529</f>
        <v>2020.135</v>
      </c>
      <c r="V529" s="8" t="n">
        <f aca="false">R529+S529-U529</f>
        <v>3402.59</v>
      </c>
      <c r="W529" s="9" t="str">
        <f aca="false">IF(ROUND(V529-K529,2)=0,"OK","ERRO")</f>
        <v>OK</v>
      </c>
      <c r="X529" s="9" t="str">
        <f aca="false">VLOOKUP(F529,DIM_SERVICO!$A$2:$D$151,3,FALSE())</f>
        <v>Elétrica</v>
      </c>
    </row>
    <row r="530" customFormat="false" ht="15" hidden="false" customHeight="false" outlineLevel="0" collapsed="false">
      <c r="A530" s="2" t="n">
        <v>529</v>
      </c>
      <c r="B530" s="2" t="n">
        <v>1252</v>
      </c>
      <c r="C530" s="2" t="n">
        <v>687</v>
      </c>
      <c r="D530" s="2" t="n">
        <v>755</v>
      </c>
      <c r="E530" s="2" t="n">
        <v>274</v>
      </c>
      <c r="F530" s="2" t="n">
        <v>64</v>
      </c>
      <c r="G530" s="2" t="n">
        <v>1333</v>
      </c>
      <c r="H530" s="2" t="n">
        <v>1</v>
      </c>
      <c r="I530" s="3" t="n">
        <v>963.65</v>
      </c>
      <c r="J530" s="3" t="n">
        <v>1447.78</v>
      </c>
      <c r="K530" s="3" t="n">
        <v>2995.94</v>
      </c>
      <c r="L530" s="3" t="n">
        <v>1261</v>
      </c>
      <c r="M530" s="2" t="n">
        <v>4.7</v>
      </c>
      <c r="N530" s="2" t="s">
        <v>27</v>
      </c>
      <c r="O530" s="4" t="n">
        <f aca="false">VLOOKUP(F530,DIM_SERVICO!$A$2:$D$151,4,FALSE())</f>
        <v>1447.78</v>
      </c>
      <c r="P530" s="4" t="n">
        <f aca="false">VLOOKUP(E530,DIM_PECA!$A$2:$F$501,6,FALSE())</f>
        <v>1705.84</v>
      </c>
      <c r="Q530" s="4" t="n">
        <f aca="false">VLOOKUP(E530,DIM_PECA!$A$2:$F$501,5,FALSE())</f>
        <v>963.65</v>
      </c>
      <c r="R530" s="4" t="n">
        <f aca="false">H530*P530</f>
        <v>1705.84</v>
      </c>
      <c r="S530" s="4" t="n">
        <f aca="false">O530*M530</f>
        <v>6804.566</v>
      </c>
      <c r="T530" s="4" t="n">
        <f aca="false">R530+S530</f>
        <v>8510.406</v>
      </c>
      <c r="U530" s="4" t="n">
        <f aca="false">T530-K530</f>
        <v>5514.466</v>
      </c>
      <c r="V530" s="4" t="n">
        <f aca="false">R530+S530-U530</f>
        <v>2995.94</v>
      </c>
      <c r="W530" s="5" t="str">
        <f aca="false">IF(ROUND(V530-K530,2)=0,"OK","ERRO")</f>
        <v>OK</v>
      </c>
      <c r="X530" s="5" t="str">
        <f aca="false">VLOOKUP(F530,DIM_SERVICO!$A$2:$D$151,3,FALSE())</f>
        <v>Pintura</v>
      </c>
    </row>
    <row r="531" customFormat="false" ht="15" hidden="false" customHeight="false" outlineLevel="0" collapsed="false">
      <c r="A531" s="6" t="n">
        <v>530</v>
      </c>
      <c r="B531" s="6" t="n">
        <v>513</v>
      </c>
      <c r="C531" s="6" t="n">
        <v>1489</v>
      </c>
      <c r="D531" s="6" t="n">
        <v>139</v>
      </c>
      <c r="E531" s="6" t="n">
        <v>383</v>
      </c>
      <c r="F531" s="6" t="n">
        <v>48</v>
      </c>
      <c r="G531" s="6" t="n">
        <v>335</v>
      </c>
      <c r="H531" s="6" t="n">
        <v>3</v>
      </c>
      <c r="I531" s="7" t="n">
        <v>1451.61</v>
      </c>
      <c r="J531" s="7" t="n">
        <v>863.62</v>
      </c>
      <c r="K531" s="7" t="n">
        <v>3863.86</v>
      </c>
      <c r="L531" s="7" t="n">
        <v>1982.58</v>
      </c>
      <c r="M531" s="6" t="n">
        <v>5.1</v>
      </c>
      <c r="N531" s="6" t="s">
        <v>26</v>
      </c>
      <c r="O531" s="8" t="n">
        <f aca="false">VLOOKUP(F531,DIM_SERVICO!$A$2:$D$151,4,FALSE())</f>
        <v>863.62</v>
      </c>
      <c r="P531" s="8" t="n">
        <f aca="false">VLOOKUP(E531,DIM_PECA!$A$2:$F$501,6,FALSE())</f>
        <v>1000.08</v>
      </c>
      <c r="Q531" s="8" t="n">
        <f aca="false">VLOOKUP(E531,DIM_PECA!$A$2:$F$501,5,FALSE())</f>
        <v>483.87</v>
      </c>
      <c r="R531" s="8" t="n">
        <f aca="false">H531*P531</f>
        <v>3000.24</v>
      </c>
      <c r="S531" s="8" t="n">
        <f aca="false">O531*M531</f>
        <v>4404.462</v>
      </c>
      <c r="T531" s="8" t="n">
        <f aca="false">R531+S531</f>
        <v>7404.702</v>
      </c>
      <c r="U531" s="8" t="n">
        <f aca="false">T531-K531</f>
        <v>3540.842</v>
      </c>
      <c r="V531" s="8" t="n">
        <f aca="false">R531+S531-U531</f>
        <v>3863.86</v>
      </c>
      <c r="W531" s="9" t="str">
        <f aca="false">IF(ROUND(V531-K531,2)=0,"OK","ERRO")</f>
        <v>OK</v>
      </c>
      <c r="X531" s="9" t="str">
        <f aca="false">VLOOKUP(F531,DIM_SERVICO!$A$2:$D$151,3,FALSE())</f>
        <v>Elétrica</v>
      </c>
    </row>
    <row r="532" customFormat="false" ht="15" hidden="false" customHeight="false" outlineLevel="0" collapsed="false">
      <c r="A532" s="2" t="n">
        <v>531</v>
      </c>
      <c r="B532" s="2" t="n">
        <v>1179</v>
      </c>
      <c r="C532" s="2" t="n">
        <v>1202</v>
      </c>
      <c r="D532" s="2" t="n">
        <v>812</v>
      </c>
      <c r="E532" s="2" t="n">
        <v>145</v>
      </c>
      <c r="F532" s="2" t="n">
        <v>113</v>
      </c>
      <c r="G532" s="2" t="n">
        <v>1125</v>
      </c>
      <c r="H532" s="2" t="n">
        <v>4</v>
      </c>
      <c r="I532" s="3" t="n">
        <v>704.36</v>
      </c>
      <c r="J532" s="3" t="n">
        <v>1709.25</v>
      </c>
      <c r="K532" s="3" t="n">
        <v>3234.45</v>
      </c>
      <c r="L532" s="3" t="n">
        <v>1783.19</v>
      </c>
      <c r="M532" s="2" t="n">
        <v>7.7</v>
      </c>
      <c r="N532" s="2" t="s">
        <v>27</v>
      </c>
      <c r="O532" s="4" t="n">
        <f aca="false">VLOOKUP(F532,DIM_SERVICO!$A$2:$D$151,4,FALSE())</f>
        <v>1709.25</v>
      </c>
      <c r="P532" s="4" t="n">
        <f aca="false">VLOOKUP(E532,DIM_PECA!$A$2:$F$501,6,FALSE())</f>
        <v>381.3</v>
      </c>
      <c r="Q532" s="4" t="n">
        <f aca="false">VLOOKUP(E532,DIM_PECA!$A$2:$F$501,5,FALSE())</f>
        <v>176.09</v>
      </c>
      <c r="R532" s="4" t="n">
        <f aca="false">H532*P532</f>
        <v>1525.2</v>
      </c>
      <c r="S532" s="4" t="n">
        <f aca="false">O532*M532</f>
        <v>13161.225</v>
      </c>
      <c r="T532" s="4" t="n">
        <f aca="false">R532+S532</f>
        <v>14686.425</v>
      </c>
      <c r="U532" s="4" t="n">
        <f aca="false">T532-K532</f>
        <v>11451.975</v>
      </c>
      <c r="V532" s="4" t="n">
        <f aca="false">R532+S532-U532</f>
        <v>3234.45</v>
      </c>
      <c r="W532" s="5" t="str">
        <f aca="false">IF(ROUND(V532-K532,2)=0,"OK","ERRO")</f>
        <v>OK</v>
      </c>
      <c r="X532" s="5" t="str">
        <f aca="false">VLOOKUP(F532,DIM_SERVICO!$A$2:$D$151,3,FALSE())</f>
        <v>Pintura</v>
      </c>
    </row>
    <row r="533" customFormat="false" ht="15" hidden="false" customHeight="false" outlineLevel="0" collapsed="false">
      <c r="A533" s="6" t="n">
        <v>532</v>
      </c>
      <c r="B533" s="6" t="n">
        <v>446</v>
      </c>
      <c r="C533" s="6" t="n">
        <v>781</v>
      </c>
      <c r="D533" s="6" t="n">
        <v>525</v>
      </c>
      <c r="E533" s="6" t="n">
        <v>145</v>
      </c>
      <c r="F533" s="6" t="n">
        <v>42</v>
      </c>
      <c r="G533" s="6" t="n">
        <v>1037</v>
      </c>
      <c r="H533" s="6" t="n">
        <v>4</v>
      </c>
      <c r="I533" s="7" t="n">
        <v>704.36</v>
      </c>
      <c r="J533" s="7" t="n">
        <v>1029.92</v>
      </c>
      <c r="K533" s="7" t="n">
        <v>2350.71</v>
      </c>
      <c r="L533" s="7" t="n">
        <v>1092.98</v>
      </c>
      <c r="M533" s="6" t="n">
        <v>0.9</v>
      </c>
      <c r="N533" s="6" t="s">
        <v>24</v>
      </c>
      <c r="O533" s="8" t="n">
        <f aca="false">VLOOKUP(F533,DIM_SERVICO!$A$2:$D$151,4,FALSE())</f>
        <v>1029.92</v>
      </c>
      <c r="P533" s="8" t="n">
        <f aca="false">VLOOKUP(E533,DIM_PECA!$A$2:$F$501,6,FALSE())</f>
        <v>381.3</v>
      </c>
      <c r="Q533" s="8" t="n">
        <f aca="false">VLOOKUP(E533,DIM_PECA!$A$2:$F$501,5,FALSE())</f>
        <v>176.09</v>
      </c>
      <c r="R533" s="8" t="n">
        <f aca="false">H533*P533</f>
        <v>1525.2</v>
      </c>
      <c r="S533" s="8" t="n">
        <f aca="false">O533*M533</f>
        <v>926.928</v>
      </c>
      <c r="T533" s="8" t="n">
        <f aca="false">R533+S533</f>
        <v>2452.128</v>
      </c>
      <c r="U533" s="8" t="n">
        <f aca="false">T533-K533</f>
        <v>101.418</v>
      </c>
      <c r="V533" s="8" t="n">
        <f aca="false">R533+S533-U533</f>
        <v>2350.71</v>
      </c>
      <c r="W533" s="9" t="str">
        <f aca="false">IF(ROUND(V533-K533,2)=0,"OK","ERRO")</f>
        <v>OK</v>
      </c>
      <c r="X533" s="9" t="str">
        <f aca="false">VLOOKUP(F533,DIM_SERVICO!$A$2:$D$151,3,FALSE())</f>
        <v>Elétrica</v>
      </c>
    </row>
    <row r="534" customFormat="false" ht="15" hidden="false" customHeight="false" outlineLevel="0" collapsed="false">
      <c r="A534" s="2" t="n">
        <v>533</v>
      </c>
      <c r="B534" s="2" t="n">
        <v>569</v>
      </c>
      <c r="C534" s="2" t="n">
        <v>1350</v>
      </c>
      <c r="D534" s="2" t="n">
        <v>58</v>
      </c>
      <c r="E534" s="2" t="n">
        <v>236</v>
      </c>
      <c r="F534" s="2" t="n">
        <v>135</v>
      </c>
      <c r="G534" s="2" t="n">
        <v>163</v>
      </c>
      <c r="H534" s="2" t="n">
        <v>1</v>
      </c>
      <c r="I534" s="3" t="n">
        <v>362.07</v>
      </c>
      <c r="J534" s="3" t="n">
        <v>2099.01</v>
      </c>
      <c r="K534" s="3" t="n">
        <v>2497.53</v>
      </c>
      <c r="L534" s="3" t="n">
        <v>1371.76</v>
      </c>
      <c r="M534" s="2" t="n">
        <v>1.8</v>
      </c>
      <c r="N534" s="2" t="s">
        <v>24</v>
      </c>
      <c r="O534" s="4" t="n">
        <f aca="false">VLOOKUP(F534,DIM_SERVICO!$A$2:$D$151,4,FALSE())</f>
        <v>2099.01</v>
      </c>
      <c r="P534" s="4" t="n">
        <f aca="false">VLOOKUP(E534,DIM_PECA!$A$2:$F$501,6,FALSE())</f>
        <v>615.7</v>
      </c>
      <c r="Q534" s="4" t="n">
        <f aca="false">VLOOKUP(E534,DIM_PECA!$A$2:$F$501,5,FALSE())</f>
        <v>362.07</v>
      </c>
      <c r="R534" s="4" t="n">
        <f aca="false">H534*P534</f>
        <v>615.7</v>
      </c>
      <c r="S534" s="4" t="n">
        <f aca="false">O534*M534</f>
        <v>3778.218</v>
      </c>
      <c r="T534" s="4" t="n">
        <f aca="false">R534+S534</f>
        <v>4393.918</v>
      </c>
      <c r="U534" s="4" t="n">
        <f aca="false">T534-K534</f>
        <v>1896.388</v>
      </c>
      <c r="V534" s="4" t="n">
        <f aca="false">R534+S534-U534</f>
        <v>2497.53</v>
      </c>
      <c r="W534" s="5" t="str">
        <f aca="false">IF(ROUND(V534-K534,2)=0,"OK","ERRO")</f>
        <v>OK</v>
      </c>
      <c r="X534" s="5" t="str">
        <f aca="false">VLOOKUP(F534,DIM_SERVICO!$A$2:$D$151,3,FALSE())</f>
        <v>Motor</v>
      </c>
    </row>
    <row r="535" customFormat="false" ht="15" hidden="false" customHeight="false" outlineLevel="0" collapsed="false">
      <c r="A535" s="6" t="n">
        <v>534</v>
      </c>
      <c r="B535" s="6" t="n">
        <v>642</v>
      </c>
      <c r="C535" s="6" t="n">
        <v>603</v>
      </c>
      <c r="D535" s="6" t="n">
        <v>524</v>
      </c>
      <c r="E535" s="6" t="n">
        <v>269</v>
      </c>
      <c r="F535" s="6" t="n">
        <v>3</v>
      </c>
      <c r="G535" s="6" t="n">
        <v>762</v>
      </c>
      <c r="H535" s="6" t="n">
        <v>4</v>
      </c>
      <c r="I535" s="7" t="n">
        <v>4370.96</v>
      </c>
      <c r="J535" s="7" t="n">
        <v>274.77</v>
      </c>
      <c r="K535" s="7" t="n">
        <v>7897.17</v>
      </c>
      <c r="L535" s="7" t="n">
        <v>3394.86</v>
      </c>
      <c r="M535" s="6" t="n">
        <v>1.7</v>
      </c>
      <c r="N535" s="6" t="s">
        <v>24</v>
      </c>
      <c r="O535" s="8" t="n">
        <f aca="false">VLOOKUP(F535,DIM_SERVICO!$A$2:$D$151,4,FALSE())</f>
        <v>274.77</v>
      </c>
      <c r="P535" s="8" t="n">
        <f aca="false">VLOOKUP(E535,DIM_PECA!$A$2:$F$501,6,FALSE())</f>
        <v>2009.51</v>
      </c>
      <c r="Q535" s="8" t="n">
        <f aca="false">VLOOKUP(E535,DIM_PECA!$A$2:$F$501,5,FALSE())</f>
        <v>1092.74</v>
      </c>
      <c r="R535" s="8" t="n">
        <f aca="false">H535*P535</f>
        <v>8038.04</v>
      </c>
      <c r="S535" s="8" t="n">
        <f aca="false">O535*M535</f>
        <v>467.109</v>
      </c>
      <c r="T535" s="8" t="n">
        <f aca="false">R535+S535</f>
        <v>8505.149</v>
      </c>
      <c r="U535" s="8" t="n">
        <f aca="false">T535-K535</f>
        <v>607.978999999999</v>
      </c>
      <c r="V535" s="8" t="n">
        <f aca="false">R535+S535-U535</f>
        <v>7897.17</v>
      </c>
      <c r="W535" s="9" t="str">
        <f aca="false">IF(ROUND(V535-K535,2)=0,"OK","ERRO")</f>
        <v>OK</v>
      </c>
      <c r="X535" s="9" t="str">
        <f aca="false">VLOOKUP(F535,DIM_SERVICO!$A$2:$D$151,3,FALSE())</f>
        <v>Pintura</v>
      </c>
    </row>
    <row r="536" customFormat="false" ht="15" hidden="false" customHeight="false" outlineLevel="0" collapsed="false">
      <c r="A536" s="2" t="n">
        <v>535</v>
      </c>
      <c r="B536" s="2" t="n">
        <v>908</v>
      </c>
      <c r="C536" s="2" t="n">
        <v>1043</v>
      </c>
      <c r="D536" s="2" t="n">
        <v>869</v>
      </c>
      <c r="E536" s="2" t="n">
        <v>158</v>
      </c>
      <c r="F536" s="2" t="n">
        <v>6</v>
      </c>
      <c r="G536" s="2" t="n">
        <v>53</v>
      </c>
      <c r="H536" s="2" t="n">
        <v>3</v>
      </c>
      <c r="I536" s="3" t="n">
        <v>3132.36</v>
      </c>
      <c r="J536" s="3" t="n">
        <v>1505.67</v>
      </c>
      <c r="K536" s="3" t="n">
        <v>6812.7</v>
      </c>
      <c r="L536" s="3" t="n">
        <v>2977.44</v>
      </c>
      <c r="M536" s="2" t="n">
        <v>1.1</v>
      </c>
      <c r="N536" s="2" t="s">
        <v>26</v>
      </c>
      <c r="O536" s="4" t="n">
        <f aca="false">VLOOKUP(F536,DIM_SERVICO!$A$2:$D$151,4,FALSE())</f>
        <v>1505.67</v>
      </c>
      <c r="P536" s="4" t="n">
        <f aca="false">VLOOKUP(E536,DIM_PECA!$A$2:$F$501,6,FALSE())</f>
        <v>1769.01</v>
      </c>
      <c r="Q536" s="4" t="n">
        <f aca="false">VLOOKUP(E536,DIM_PECA!$A$2:$F$501,5,FALSE())</f>
        <v>1044.12</v>
      </c>
      <c r="R536" s="4" t="n">
        <f aca="false">H536*P536</f>
        <v>5307.03</v>
      </c>
      <c r="S536" s="4" t="n">
        <f aca="false">O536*M536</f>
        <v>1656.237</v>
      </c>
      <c r="T536" s="4" t="n">
        <f aca="false">R536+S536</f>
        <v>6963.267</v>
      </c>
      <c r="U536" s="4" t="n">
        <f aca="false">T536-K536</f>
        <v>150.567</v>
      </c>
      <c r="V536" s="4" t="n">
        <f aca="false">R536+S536-U536</f>
        <v>6812.7</v>
      </c>
      <c r="W536" s="5" t="str">
        <f aca="false">IF(ROUND(V536-K536,2)=0,"OK","ERRO")</f>
        <v>OK</v>
      </c>
      <c r="X536" s="5" t="str">
        <f aca="false">VLOOKUP(F536,DIM_SERVICO!$A$2:$D$151,3,FALSE())</f>
        <v>Motor</v>
      </c>
    </row>
    <row r="537" customFormat="false" ht="15" hidden="false" customHeight="false" outlineLevel="0" collapsed="false">
      <c r="A537" s="6" t="n">
        <v>536</v>
      </c>
      <c r="B537" s="6" t="n">
        <v>1328</v>
      </c>
      <c r="C537" s="6" t="n">
        <v>1481</v>
      </c>
      <c r="D537" s="6" t="n">
        <v>115</v>
      </c>
      <c r="E537" s="6" t="n">
        <v>225</v>
      </c>
      <c r="F537" s="6" t="n">
        <v>44</v>
      </c>
      <c r="G537" s="6" t="n">
        <v>1431</v>
      </c>
      <c r="H537" s="6" t="n">
        <v>2</v>
      </c>
      <c r="I537" s="7" t="n">
        <v>1666.5</v>
      </c>
      <c r="J537" s="7" t="n">
        <v>1855.21</v>
      </c>
      <c r="K537" s="7" t="n">
        <v>4201.21</v>
      </c>
      <c r="L537" s="7" t="n">
        <v>1858.9</v>
      </c>
      <c r="M537" s="6" t="n">
        <v>9.8</v>
      </c>
      <c r="N537" s="6" t="s">
        <v>26</v>
      </c>
      <c r="O537" s="8" t="n">
        <f aca="false">VLOOKUP(F537,DIM_SERVICO!$A$2:$D$151,4,FALSE())</f>
        <v>1855.21</v>
      </c>
      <c r="P537" s="8" t="n">
        <f aca="false">VLOOKUP(E537,DIM_PECA!$A$2:$F$501,6,FALSE())</f>
        <v>1355.66</v>
      </c>
      <c r="Q537" s="8" t="n">
        <f aca="false">VLOOKUP(E537,DIM_PECA!$A$2:$F$501,5,FALSE())</f>
        <v>833.25</v>
      </c>
      <c r="R537" s="8" t="n">
        <f aca="false">H537*P537</f>
        <v>2711.32</v>
      </c>
      <c r="S537" s="8" t="n">
        <f aca="false">O537*M537</f>
        <v>18181.058</v>
      </c>
      <c r="T537" s="8" t="n">
        <f aca="false">R537+S537</f>
        <v>20892.378</v>
      </c>
      <c r="U537" s="8" t="n">
        <f aca="false">T537-K537</f>
        <v>16691.168</v>
      </c>
      <c r="V537" s="8" t="n">
        <f aca="false">R537+S537-U537</f>
        <v>4201.21</v>
      </c>
      <c r="W537" s="9" t="str">
        <f aca="false">IF(ROUND(V537-K537,2)=0,"OK","ERRO")</f>
        <v>OK</v>
      </c>
      <c r="X537" s="9" t="str">
        <f aca="false">VLOOKUP(F537,DIM_SERVICO!$A$2:$D$151,3,FALSE())</f>
        <v>Funilaria</v>
      </c>
    </row>
    <row r="538" customFormat="false" ht="15" hidden="false" customHeight="false" outlineLevel="0" collapsed="false">
      <c r="A538" s="2" t="n">
        <v>537</v>
      </c>
      <c r="B538" s="2" t="n">
        <v>775</v>
      </c>
      <c r="C538" s="2" t="n">
        <v>1168</v>
      </c>
      <c r="D538" s="2" t="n">
        <v>316</v>
      </c>
      <c r="E538" s="2" t="n">
        <v>16</v>
      </c>
      <c r="F538" s="2" t="n">
        <v>73</v>
      </c>
      <c r="G538" s="2" t="n">
        <v>1165</v>
      </c>
      <c r="H538" s="2" t="n">
        <v>2</v>
      </c>
      <c r="I538" s="3" t="n">
        <v>1081.8</v>
      </c>
      <c r="J538" s="3" t="n">
        <v>2131.99</v>
      </c>
      <c r="K538" s="3" t="n">
        <v>3725.57</v>
      </c>
      <c r="L538" s="3" t="n">
        <v>1593.58</v>
      </c>
      <c r="M538" s="2" t="n">
        <v>3.8</v>
      </c>
      <c r="N538" s="2" t="s">
        <v>24</v>
      </c>
      <c r="O538" s="4" t="n">
        <f aca="false">VLOOKUP(F538,DIM_SERVICO!$A$2:$D$151,4,FALSE())</f>
        <v>2131.99</v>
      </c>
      <c r="P538" s="4" t="n">
        <f aca="false">VLOOKUP(E538,DIM_PECA!$A$2:$F$501,6,FALSE())</f>
        <v>796.79</v>
      </c>
      <c r="Q538" s="4" t="n">
        <f aca="false">VLOOKUP(E538,DIM_PECA!$A$2:$F$501,5,FALSE())</f>
        <v>540.9</v>
      </c>
      <c r="R538" s="4" t="n">
        <f aca="false">H538*P538</f>
        <v>1593.58</v>
      </c>
      <c r="S538" s="4" t="n">
        <f aca="false">O538*M538</f>
        <v>8101.562</v>
      </c>
      <c r="T538" s="4" t="n">
        <f aca="false">R538+S538</f>
        <v>9695.142</v>
      </c>
      <c r="U538" s="4" t="n">
        <f aca="false">T538-K538</f>
        <v>5969.572</v>
      </c>
      <c r="V538" s="4" t="n">
        <f aca="false">R538+S538-U538</f>
        <v>3725.57</v>
      </c>
      <c r="W538" s="5" t="str">
        <f aca="false">IF(ROUND(V538-K538,2)=0,"OK","ERRO")</f>
        <v>OK</v>
      </c>
      <c r="X538" s="5" t="str">
        <f aca="false">VLOOKUP(F538,DIM_SERVICO!$A$2:$D$151,3,FALSE())</f>
        <v>Suspensão</v>
      </c>
    </row>
    <row r="539" customFormat="false" ht="15" hidden="false" customHeight="false" outlineLevel="0" collapsed="false">
      <c r="A539" s="6" t="n">
        <v>538</v>
      </c>
      <c r="B539" s="6" t="n">
        <v>1461</v>
      </c>
      <c r="C539" s="6" t="n">
        <v>543</v>
      </c>
      <c r="D539" s="6" t="n">
        <v>150</v>
      </c>
      <c r="E539" s="6" t="n">
        <v>67</v>
      </c>
      <c r="F539" s="6" t="n">
        <v>19</v>
      </c>
      <c r="G539" s="6" t="n">
        <v>121</v>
      </c>
      <c r="H539" s="6" t="n">
        <v>4</v>
      </c>
      <c r="I539" s="7" t="n">
        <v>1070.64</v>
      </c>
      <c r="J539" s="7" t="n">
        <v>1822.04</v>
      </c>
      <c r="K539" s="7" t="n">
        <v>3469.12</v>
      </c>
      <c r="L539" s="7" t="n">
        <v>1516.16</v>
      </c>
      <c r="M539" s="6" t="n">
        <v>8.4</v>
      </c>
      <c r="N539" s="6" t="s">
        <v>24</v>
      </c>
      <c r="O539" s="8" t="n">
        <f aca="false">VLOOKUP(F539,DIM_SERVICO!$A$2:$D$151,4,FALSE())</f>
        <v>1822.04</v>
      </c>
      <c r="P539" s="8" t="n">
        <f aca="false">VLOOKUP(E539,DIM_PECA!$A$2:$F$501,6,FALSE())</f>
        <v>411.77</v>
      </c>
      <c r="Q539" s="8" t="n">
        <f aca="false">VLOOKUP(E539,DIM_PECA!$A$2:$F$501,5,FALSE())</f>
        <v>267.66</v>
      </c>
      <c r="R539" s="8" t="n">
        <f aca="false">H539*P539</f>
        <v>1647.08</v>
      </c>
      <c r="S539" s="8" t="n">
        <f aca="false">O539*M539</f>
        <v>15305.136</v>
      </c>
      <c r="T539" s="8" t="n">
        <f aca="false">R539+S539</f>
        <v>16952.216</v>
      </c>
      <c r="U539" s="8" t="n">
        <f aca="false">T539-K539</f>
        <v>13483.096</v>
      </c>
      <c r="V539" s="8" t="n">
        <f aca="false">R539+S539-U539</f>
        <v>3469.12</v>
      </c>
      <c r="W539" s="9" t="str">
        <f aca="false">IF(ROUND(V539-K539,2)=0,"OK","ERRO")</f>
        <v>OK</v>
      </c>
      <c r="X539" s="9" t="str">
        <f aca="false">VLOOKUP(F539,DIM_SERVICO!$A$2:$D$151,3,FALSE())</f>
        <v>Pintura</v>
      </c>
    </row>
    <row r="540" customFormat="false" ht="15" hidden="false" customHeight="false" outlineLevel="0" collapsed="false">
      <c r="A540" s="2" t="n">
        <v>539</v>
      </c>
      <c r="B540" s="2" t="n">
        <v>1017</v>
      </c>
      <c r="C540" s="2" t="n">
        <v>424</v>
      </c>
      <c r="D540" s="2" t="n">
        <v>133</v>
      </c>
      <c r="E540" s="2" t="n">
        <v>15</v>
      </c>
      <c r="F540" s="2" t="n">
        <v>90</v>
      </c>
      <c r="G540" s="2" t="n">
        <v>759</v>
      </c>
      <c r="H540" s="2" t="n">
        <v>1</v>
      </c>
      <c r="I540" s="3" t="n">
        <v>746.23</v>
      </c>
      <c r="J540" s="3" t="n">
        <v>702.32</v>
      </c>
      <c r="K540" s="3" t="n">
        <v>1744.12</v>
      </c>
      <c r="L540" s="3" t="n">
        <v>739.69</v>
      </c>
      <c r="M540" s="2" t="n">
        <v>6.5</v>
      </c>
      <c r="N540" s="2" t="s">
        <v>27</v>
      </c>
      <c r="O540" s="4" t="n">
        <f aca="false">VLOOKUP(F540,DIM_SERVICO!$A$2:$D$151,4,FALSE())</f>
        <v>702.32</v>
      </c>
      <c r="P540" s="4" t="n">
        <f aca="false">VLOOKUP(E540,DIM_PECA!$A$2:$F$501,6,FALSE())</f>
        <v>1041.8</v>
      </c>
      <c r="Q540" s="4" t="n">
        <f aca="false">VLOOKUP(E540,DIM_PECA!$A$2:$F$501,5,FALSE())</f>
        <v>746.23</v>
      </c>
      <c r="R540" s="4" t="n">
        <f aca="false">H540*P540</f>
        <v>1041.8</v>
      </c>
      <c r="S540" s="4" t="n">
        <f aca="false">O540*M540</f>
        <v>4565.08</v>
      </c>
      <c r="T540" s="4" t="n">
        <f aca="false">R540+S540</f>
        <v>5606.88</v>
      </c>
      <c r="U540" s="4" t="n">
        <f aca="false">T540-K540</f>
        <v>3862.76</v>
      </c>
      <c r="V540" s="4" t="n">
        <f aca="false">R540+S540-U540</f>
        <v>1744.12</v>
      </c>
      <c r="W540" s="5" t="str">
        <f aca="false">IF(ROUND(V540-K540,2)=0,"OK","ERRO")</f>
        <v>OK</v>
      </c>
      <c r="X540" s="5" t="str">
        <f aca="false">VLOOKUP(F540,DIM_SERVICO!$A$2:$D$151,3,FALSE())</f>
        <v>Diagnóstico</v>
      </c>
    </row>
    <row r="541" customFormat="false" ht="15" hidden="false" customHeight="false" outlineLevel="0" collapsed="false">
      <c r="A541" s="6" t="n">
        <v>540</v>
      </c>
      <c r="B541" s="6" t="n">
        <v>113</v>
      </c>
      <c r="C541" s="6" t="n">
        <v>934</v>
      </c>
      <c r="D541" s="6" t="n">
        <v>986</v>
      </c>
      <c r="E541" s="6" t="n">
        <v>163</v>
      </c>
      <c r="F541" s="6" t="n">
        <v>10</v>
      </c>
      <c r="G541" s="6" t="n">
        <v>793</v>
      </c>
      <c r="H541" s="6" t="n">
        <v>4</v>
      </c>
      <c r="I541" s="7" t="n">
        <v>1241.56</v>
      </c>
      <c r="J541" s="7" t="n">
        <v>338.82</v>
      </c>
      <c r="K541" s="7" t="n">
        <v>2809.18</v>
      </c>
      <c r="L541" s="7" t="n">
        <v>1396.8</v>
      </c>
      <c r="M541" s="6" t="n">
        <v>11.6</v>
      </c>
      <c r="N541" s="6" t="s">
        <v>24</v>
      </c>
      <c r="O541" s="8" t="n">
        <f aca="false">VLOOKUP(F541,DIM_SERVICO!$A$2:$D$151,4,FALSE())</f>
        <v>338.82</v>
      </c>
      <c r="P541" s="8" t="n">
        <f aca="false">VLOOKUP(E541,DIM_PECA!$A$2:$F$501,6,FALSE())</f>
        <v>617.59</v>
      </c>
      <c r="Q541" s="8" t="n">
        <f aca="false">VLOOKUP(E541,DIM_PECA!$A$2:$F$501,5,FALSE())</f>
        <v>310.39</v>
      </c>
      <c r="R541" s="8" t="n">
        <f aca="false">H541*P541</f>
        <v>2470.36</v>
      </c>
      <c r="S541" s="8" t="n">
        <f aca="false">O541*M541</f>
        <v>3930.312</v>
      </c>
      <c r="T541" s="8" t="n">
        <f aca="false">R541+S541</f>
        <v>6400.672</v>
      </c>
      <c r="U541" s="8" t="n">
        <f aca="false">T541-K541</f>
        <v>3591.492</v>
      </c>
      <c r="V541" s="8" t="n">
        <f aca="false">R541+S541-U541</f>
        <v>2809.18</v>
      </c>
      <c r="W541" s="9" t="str">
        <f aca="false">IF(ROUND(V541-K541,2)=0,"OK","ERRO")</f>
        <v>OK</v>
      </c>
      <c r="X541" s="9" t="str">
        <f aca="false">VLOOKUP(F541,DIM_SERVICO!$A$2:$D$151,3,FALSE())</f>
        <v>Diagnóstico</v>
      </c>
    </row>
    <row r="542" customFormat="false" ht="15" hidden="false" customHeight="false" outlineLevel="0" collapsed="false">
      <c r="A542" s="2" t="n">
        <v>541</v>
      </c>
      <c r="B542" s="2" t="n">
        <v>466</v>
      </c>
      <c r="C542" s="2" t="n">
        <v>733</v>
      </c>
      <c r="D542" s="2" t="n">
        <v>1160</v>
      </c>
      <c r="E542" s="2" t="n">
        <v>60</v>
      </c>
      <c r="F542" s="2" t="n">
        <v>69</v>
      </c>
      <c r="G542" s="2" t="n">
        <v>238</v>
      </c>
      <c r="H542" s="2" t="n">
        <v>3</v>
      </c>
      <c r="I542" s="3" t="n">
        <v>1502.07</v>
      </c>
      <c r="J542" s="3" t="n">
        <v>905.47</v>
      </c>
      <c r="K542" s="3" t="n">
        <v>3510.84</v>
      </c>
      <c r="L542" s="3" t="n">
        <v>1650.58</v>
      </c>
      <c r="M542" s="2" t="n">
        <v>4.3</v>
      </c>
      <c r="N542" s="2" t="s">
        <v>24</v>
      </c>
      <c r="O542" s="4" t="n">
        <f aca="false">VLOOKUP(F542,DIM_SERVICO!$A$2:$D$151,4,FALSE())</f>
        <v>905.47</v>
      </c>
      <c r="P542" s="4" t="n">
        <f aca="false">VLOOKUP(E542,DIM_PECA!$A$2:$F$501,6,FALSE())</f>
        <v>930.05</v>
      </c>
      <c r="Q542" s="4" t="n">
        <f aca="false">VLOOKUP(E542,DIM_PECA!$A$2:$F$501,5,FALSE())</f>
        <v>500.69</v>
      </c>
      <c r="R542" s="4" t="n">
        <f aca="false">H542*P542</f>
        <v>2790.15</v>
      </c>
      <c r="S542" s="4" t="n">
        <f aca="false">O542*M542</f>
        <v>3893.521</v>
      </c>
      <c r="T542" s="4" t="n">
        <f aca="false">R542+S542</f>
        <v>6683.671</v>
      </c>
      <c r="U542" s="4" t="n">
        <f aca="false">T542-K542</f>
        <v>3172.831</v>
      </c>
      <c r="V542" s="4" t="n">
        <f aca="false">R542+S542-U542</f>
        <v>3510.84</v>
      </c>
      <c r="W542" s="5" t="str">
        <f aca="false">IF(ROUND(V542-K542,2)=0,"OK","ERRO")</f>
        <v>OK</v>
      </c>
      <c r="X542" s="5" t="str">
        <f aca="false">VLOOKUP(F542,DIM_SERVICO!$A$2:$D$151,3,FALSE())</f>
        <v>Motor</v>
      </c>
    </row>
    <row r="543" customFormat="false" ht="15" hidden="false" customHeight="false" outlineLevel="0" collapsed="false">
      <c r="A543" s="6" t="n">
        <v>542</v>
      </c>
      <c r="B543" s="6" t="n">
        <v>1247</v>
      </c>
      <c r="C543" s="6" t="n">
        <v>44</v>
      </c>
      <c r="D543" s="6" t="n">
        <v>1014</v>
      </c>
      <c r="E543" s="6" t="n">
        <v>180</v>
      </c>
      <c r="F543" s="6" t="n">
        <v>31</v>
      </c>
      <c r="G543" s="6" t="n">
        <v>545</v>
      </c>
      <c r="H543" s="6" t="n">
        <v>2</v>
      </c>
      <c r="I543" s="7" t="n">
        <v>103.88</v>
      </c>
      <c r="J543" s="7" t="n">
        <v>1359.86</v>
      </c>
      <c r="K543" s="7" t="n">
        <v>1544.19</v>
      </c>
      <c r="L543" s="7" t="n">
        <v>835.41</v>
      </c>
      <c r="M543" s="6" t="n">
        <v>2.3</v>
      </c>
      <c r="N543" s="6" t="s">
        <v>27</v>
      </c>
      <c r="O543" s="8" t="n">
        <f aca="false">VLOOKUP(F543,DIM_SERVICO!$A$2:$D$151,4,FALSE())</f>
        <v>1359.86</v>
      </c>
      <c r="P543" s="8" t="n">
        <f aca="false">VLOOKUP(E543,DIM_PECA!$A$2:$F$501,6,FALSE())</f>
        <v>107.92</v>
      </c>
      <c r="Q543" s="8" t="n">
        <f aca="false">VLOOKUP(E543,DIM_PECA!$A$2:$F$501,5,FALSE())</f>
        <v>51.94</v>
      </c>
      <c r="R543" s="8" t="n">
        <f aca="false">H543*P543</f>
        <v>215.84</v>
      </c>
      <c r="S543" s="8" t="n">
        <f aca="false">O543*M543</f>
        <v>3127.678</v>
      </c>
      <c r="T543" s="8" t="n">
        <f aca="false">R543+S543</f>
        <v>3343.518</v>
      </c>
      <c r="U543" s="8" t="n">
        <f aca="false">T543-K543</f>
        <v>1799.328</v>
      </c>
      <c r="V543" s="8" t="n">
        <f aca="false">R543+S543-U543</f>
        <v>1544.19</v>
      </c>
      <c r="W543" s="9" t="str">
        <f aca="false">IF(ROUND(V543-K543,2)=0,"OK","ERRO")</f>
        <v>OK</v>
      </c>
      <c r="X543" s="9" t="str">
        <f aca="false">VLOOKUP(F543,DIM_SERVICO!$A$2:$D$151,3,FALSE())</f>
        <v>Suspensão</v>
      </c>
    </row>
    <row r="544" customFormat="false" ht="15" hidden="false" customHeight="false" outlineLevel="0" collapsed="false">
      <c r="A544" s="2" t="n">
        <v>543</v>
      </c>
      <c r="B544" s="2" t="n">
        <v>1480</v>
      </c>
      <c r="C544" s="2" t="n">
        <v>702</v>
      </c>
      <c r="D544" s="2" t="n">
        <v>420</v>
      </c>
      <c r="E544" s="2" t="n">
        <v>277</v>
      </c>
      <c r="F544" s="2" t="n">
        <v>100</v>
      </c>
      <c r="G544" s="2" t="n">
        <v>236</v>
      </c>
      <c r="H544" s="2" t="n">
        <v>1</v>
      </c>
      <c r="I544" s="3" t="n">
        <v>966.33</v>
      </c>
      <c r="J544" s="3" t="n">
        <v>2148.55</v>
      </c>
      <c r="K544" s="3" t="n">
        <v>4154.31</v>
      </c>
      <c r="L544" s="3" t="n">
        <v>2383.49</v>
      </c>
      <c r="M544" s="2" t="n">
        <v>10.9</v>
      </c>
      <c r="N544" s="2" t="s">
        <v>24</v>
      </c>
      <c r="O544" s="4" t="n">
        <f aca="false">VLOOKUP(F544,DIM_SERVICO!$A$2:$D$151,4,FALSE())</f>
        <v>2148.55</v>
      </c>
      <c r="P544" s="4" t="n">
        <f aca="false">VLOOKUP(E544,DIM_PECA!$A$2:$F$501,6,FALSE())</f>
        <v>2005.76</v>
      </c>
      <c r="Q544" s="4" t="n">
        <f aca="false">VLOOKUP(E544,DIM_PECA!$A$2:$F$501,5,FALSE())</f>
        <v>966.33</v>
      </c>
      <c r="R544" s="4" t="n">
        <f aca="false">H544*P544</f>
        <v>2005.76</v>
      </c>
      <c r="S544" s="4" t="n">
        <f aca="false">O544*M544</f>
        <v>23419.195</v>
      </c>
      <c r="T544" s="4" t="n">
        <f aca="false">R544+S544</f>
        <v>25424.955</v>
      </c>
      <c r="U544" s="4" t="n">
        <f aca="false">T544-K544</f>
        <v>21270.645</v>
      </c>
      <c r="V544" s="4" t="n">
        <f aca="false">R544+S544-U544</f>
        <v>4154.31</v>
      </c>
      <c r="W544" s="5" t="str">
        <f aca="false">IF(ROUND(V544-K544,2)=0,"OK","ERRO")</f>
        <v>OK</v>
      </c>
      <c r="X544" s="5" t="str">
        <f aca="false">VLOOKUP(F544,DIM_SERVICO!$A$2:$D$151,3,FALSE())</f>
        <v>Motor</v>
      </c>
    </row>
    <row r="545" customFormat="false" ht="15" hidden="false" customHeight="false" outlineLevel="0" collapsed="false">
      <c r="A545" s="6" t="n">
        <v>544</v>
      </c>
      <c r="B545" s="6" t="n">
        <v>19</v>
      </c>
      <c r="C545" s="6" t="n">
        <v>890</v>
      </c>
      <c r="D545" s="6" t="n">
        <v>317</v>
      </c>
      <c r="E545" s="6" t="n">
        <v>443</v>
      </c>
      <c r="F545" s="6" t="n">
        <v>121</v>
      </c>
      <c r="G545" s="6" t="n">
        <v>1733</v>
      </c>
      <c r="H545" s="6" t="n">
        <v>1</v>
      </c>
      <c r="I545" s="7" t="n">
        <v>912.96</v>
      </c>
      <c r="J545" s="7" t="n">
        <v>599.74</v>
      </c>
      <c r="K545" s="7" t="n">
        <v>1918.28</v>
      </c>
      <c r="L545" s="7" t="n">
        <v>770.49</v>
      </c>
      <c r="M545" s="6" t="n">
        <v>7.6</v>
      </c>
      <c r="N545" s="6" t="s">
        <v>24</v>
      </c>
      <c r="O545" s="8" t="n">
        <f aca="false">VLOOKUP(F545,DIM_SERVICO!$A$2:$D$151,4,FALSE())</f>
        <v>599.74</v>
      </c>
      <c r="P545" s="8" t="n">
        <f aca="false">VLOOKUP(E545,DIM_PECA!$A$2:$F$501,6,FALSE())</f>
        <v>1318.54</v>
      </c>
      <c r="Q545" s="8" t="n">
        <f aca="false">VLOOKUP(E545,DIM_PECA!$A$2:$F$501,5,FALSE())</f>
        <v>912.96</v>
      </c>
      <c r="R545" s="8" t="n">
        <f aca="false">H545*P545</f>
        <v>1318.54</v>
      </c>
      <c r="S545" s="8" t="n">
        <f aca="false">O545*M545</f>
        <v>4558.024</v>
      </c>
      <c r="T545" s="8" t="n">
        <f aca="false">R545+S545</f>
        <v>5876.564</v>
      </c>
      <c r="U545" s="8" t="n">
        <f aca="false">T545-K545</f>
        <v>3958.284</v>
      </c>
      <c r="V545" s="8" t="n">
        <f aca="false">R545+S545-U545</f>
        <v>1918.28</v>
      </c>
      <c r="W545" s="9" t="str">
        <f aca="false">IF(ROUND(V545-K545,2)=0,"OK","ERRO")</f>
        <v>OK</v>
      </c>
      <c r="X545" s="9" t="str">
        <f aca="false">VLOOKUP(F545,DIM_SERVICO!$A$2:$D$151,3,FALSE())</f>
        <v>Revisão</v>
      </c>
    </row>
    <row r="546" customFormat="false" ht="15" hidden="false" customHeight="false" outlineLevel="0" collapsed="false">
      <c r="A546" s="2" t="n">
        <v>545</v>
      </c>
      <c r="B546" s="2" t="n">
        <v>1091</v>
      </c>
      <c r="C546" s="2" t="n">
        <v>540</v>
      </c>
      <c r="D546" s="2" t="n">
        <v>201</v>
      </c>
      <c r="E546" s="2" t="n">
        <v>19</v>
      </c>
      <c r="F546" s="2" t="n">
        <v>101</v>
      </c>
      <c r="G546" s="2" t="n">
        <v>216</v>
      </c>
      <c r="H546" s="2" t="n">
        <v>4</v>
      </c>
      <c r="I546" s="3" t="n">
        <v>1180.88</v>
      </c>
      <c r="J546" s="3" t="n">
        <v>1690.47</v>
      </c>
      <c r="K546" s="3" t="n">
        <v>4093.87</v>
      </c>
      <c r="L546" s="3" t="n">
        <v>2317.8</v>
      </c>
      <c r="M546" s="2" t="n">
        <v>11.5</v>
      </c>
      <c r="N546" s="2" t="s">
        <v>24</v>
      </c>
      <c r="O546" s="4" t="n">
        <f aca="false">VLOOKUP(F546,DIM_SERVICO!$A$2:$D$151,4,FALSE())</f>
        <v>1690.47</v>
      </c>
      <c r="P546" s="4" t="n">
        <f aca="false">VLOOKUP(E546,DIM_PECA!$A$2:$F$501,6,FALSE())</f>
        <v>600.85</v>
      </c>
      <c r="Q546" s="4" t="n">
        <f aca="false">VLOOKUP(E546,DIM_PECA!$A$2:$F$501,5,FALSE())</f>
        <v>295.22</v>
      </c>
      <c r="R546" s="4" t="n">
        <f aca="false">H546*P546</f>
        <v>2403.4</v>
      </c>
      <c r="S546" s="4" t="n">
        <f aca="false">O546*M546</f>
        <v>19440.405</v>
      </c>
      <c r="T546" s="4" t="n">
        <f aca="false">R546+S546</f>
        <v>21843.805</v>
      </c>
      <c r="U546" s="4" t="n">
        <f aca="false">T546-K546</f>
        <v>17749.935</v>
      </c>
      <c r="V546" s="4" t="n">
        <f aca="false">R546+S546-U546</f>
        <v>4093.87</v>
      </c>
      <c r="W546" s="5" t="str">
        <f aca="false">IF(ROUND(V546-K546,2)=0,"OK","ERRO")</f>
        <v>OK</v>
      </c>
      <c r="X546" s="5" t="str">
        <f aca="false">VLOOKUP(F546,DIM_SERVICO!$A$2:$D$151,3,FALSE())</f>
        <v>Revisão</v>
      </c>
    </row>
    <row r="547" customFormat="false" ht="15" hidden="false" customHeight="false" outlineLevel="0" collapsed="false">
      <c r="A547" s="6" t="n">
        <v>546</v>
      </c>
      <c r="B547" s="6" t="n">
        <v>654</v>
      </c>
      <c r="C547" s="6" t="n">
        <v>1022</v>
      </c>
      <c r="D547" s="6" t="n">
        <v>346</v>
      </c>
      <c r="E547" s="6" t="n">
        <v>485</v>
      </c>
      <c r="F547" s="6" t="n">
        <v>82</v>
      </c>
      <c r="G547" s="6" t="n">
        <v>713</v>
      </c>
      <c r="H547" s="6" t="n">
        <v>2</v>
      </c>
      <c r="I547" s="7" t="n">
        <v>953.14</v>
      </c>
      <c r="J547" s="7" t="n">
        <v>673.49</v>
      </c>
      <c r="K547" s="7" t="n">
        <v>2397.65</v>
      </c>
      <c r="L547" s="7" t="n">
        <v>1094.38</v>
      </c>
      <c r="M547" s="6" t="n">
        <v>6.2</v>
      </c>
      <c r="N547" s="6" t="s">
        <v>24</v>
      </c>
      <c r="O547" s="8" t="n">
        <f aca="false">VLOOKUP(F547,DIM_SERVICO!$A$2:$D$151,4,FALSE())</f>
        <v>673.49</v>
      </c>
      <c r="P547" s="8" t="n">
        <f aca="false">VLOOKUP(E547,DIM_PECA!$A$2:$F$501,6,FALSE())</f>
        <v>862.08</v>
      </c>
      <c r="Q547" s="8" t="n">
        <f aca="false">VLOOKUP(E547,DIM_PECA!$A$2:$F$501,5,FALSE())</f>
        <v>476.57</v>
      </c>
      <c r="R547" s="8" t="n">
        <f aca="false">H547*P547</f>
        <v>1724.16</v>
      </c>
      <c r="S547" s="8" t="n">
        <f aca="false">O547*M547</f>
        <v>4175.638</v>
      </c>
      <c r="T547" s="8" t="n">
        <f aca="false">R547+S547</f>
        <v>5899.798</v>
      </c>
      <c r="U547" s="8" t="n">
        <f aca="false">T547-K547</f>
        <v>3502.148</v>
      </c>
      <c r="V547" s="8" t="n">
        <f aca="false">R547+S547-U547</f>
        <v>2397.65</v>
      </c>
      <c r="W547" s="9" t="str">
        <f aca="false">IF(ROUND(V547-K547,2)=0,"OK","ERRO")</f>
        <v>OK</v>
      </c>
      <c r="X547" s="9" t="str">
        <f aca="false">VLOOKUP(F547,DIM_SERVICO!$A$2:$D$151,3,FALSE())</f>
        <v>Diagnóstico</v>
      </c>
    </row>
    <row r="548" customFormat="false" ht="15" hidden="false" customHeight="false" outlineLevel="0" collapsed="false">
      <c r="A548" s="2" t="n">
        <v>547</v>
      </c>
      <c r="B548" s="2" t="n">
        <v>1123</v>
      </c>
      <c r="C548" s="2" t="n">
        <v>1023</v>
      </c>
      <c r="D548" s="2" t="n">
        <v>133</v>
      </c>
      <c r="E548" s="2" t="n">
        <v>96</v>
      </c>
      <c r="F548" s="2" t="n">
        <v>38</v>
      </c>
      <c r="G548" s="2" t="n">
        <v>15</v>
      </c>
      <c r="H548" s="2" t="n">
        <v>4</v>
      </c>
      <c r="I548" s="3" t="n">
        <v>558.6</v>
      </c>
      <c r="J548" s="3" t="n">
        <v>1721.52</v>
      </c>
      <c r="K548" s="3" t="n">
        <v>2800.2</v>
      </c>
      <c r="L548" s="3" t="n">
        <v>1528.23</v>
      </c>
      <c r="M548" s="2" t="n">
        <v>6.8</v>
      </c>
      <c r="N548" s="2" t="s">
        <v>24</v>
      </c>
      <c r="O548" s="4" t="n">
        <f aca="false">VLOOKUP(F548,DIM_SERVICO!$A$2:$D$151,4,FALSE())</f>
        <v>1721.52</v>
      </c>
      <c r="P548" s="4" t="n">
        <f aca="false">VLOOKUP(E548,DIM_PECA!$A$2:$F$501,6,FALSE())</f>
        <v>269.67</v>
      </c>
      <c r="Q548" s="4" t="n">
        <f aca="false">VLOOKUP(E548,DIM_PECA!$A$2:$F$501,5,FALSE())</f>
        <v>139.65</v>
      </c>
      <c r="R548" s="4" t="n">
        <f aca="false">H548*P548</f>
        <v>1078.68</v>
      </c>
      <c r="S548" s="4" t="n">
        <f aca="false">O548*M548</f>
        <v>11706.336</v>
      </c>
      <c r="T548" s="4" t="n">
        <f aca="false">R548+S548</f>
        <v>12785.016</v>
      </c>
      <c r="U548" s="4" t="n">
        <f aca="false">T548-K548</f>
        <v>9984.816</v>
      </c>
      <c r="V548" s="4" t="n">
        <f aca="false">R548+S548-U548</f>
        <v>2800.2</v>
      </c>
      <c r="W548" s="5" t="str">
        <f aca="false">IF(ROUND(V548-K548,2)=0,"OK","ERRO")</f>
        <v>OK</v>
      </c>
      <c r="X548" s="5" t="str">
        <f aca="false">VLOOKUP(F548,DIM_SERVICO!$A$2:$D$151,3,FALSE())</f>
        <v>Motor</v>
      </c>
    </row>
    <row r="549" customFormat="false" ht="15" hidden="false" customHeight="false" outlineLevel="0" collapsed="false">
      <c r="A549" s="6" t="n">
        <v>548</v>
      </c>
      <c r="B549" s="6" t="n">
        <v>705</v>
      </c>
      <c r="C549" s="6" t="n">
        <v>628</v>
      </c>
      <c r="D549" s="6" t="n">
        <v>582</v>
      </c>
      <c r="E549" s="6" t="n">
        <v>417</v>
      </c>
      <c r="F549" s="6" t="n">
        <v>46</v>
      </c>
      <c r="G549" s="6" t="n">
        <v>616</v>
      </c>
      <c r="H549" s="6" t="n">
        <v>1</v>
      </c>
      <c r="I549" s="7" t="n">
        <v>203.84</v>
      </c>
      <c r="J549" s="7" t="n">
        <v>1282.78</v>
      </c>
      <c r="K549" s="7" t="n">
        <v>1607.99</v>
      </c>
      <c r="L549" s="7" t="n">
        <v>822.39</v>
      </c>
      <c r="M549" s="6" t="n">
        <v>9.6</v>
      </c>
      <c r="N549" s="6" t="s">
        <v>27</v>
      </c>
      <c r="O549" s="8" t="n">
        <f aca="false">VLOOKUP(F549,DIM_SERVICO!$A$2:$D$151,4,FALSE())</f>
        <v>1282.78</v>
      </c>
      <c r="P549" s="8" t="n">
        <f aca="false">VLOOKUP(E549,DIM_PECA!$A$2:$F$501,6,FALSE())</f>
        <v>409.84</v>
      </c>
      <c r="Q549" s="8" t="n">
        <f aca="false">VLOOKUP(E549,DIM_PECA!$A$2:$F$501,5,FALSE())</f>
        <v>203.84</v>
      </c>
      <c r="R549" s="8" t="n">
        <f aca="false">H549*P549</f>
        <v>409.84</v>
      </c>
      <c r="S549" s="8" t="n">
        <f aca="false">O549*M549</f>
        <v>12314.688</v>
      </c>
      <c r="T549" s="8" t="n">
        <f aca="false">R549+S549</f>
        <v>12724.528</v>
      </c>
      <c r="U549" s="8" t="n">
        <f aca="false">T549-K549</f>
        <v>11116.538</v>
      </c>
      <c r="V549" s="8" t="n">
        <f aca="false">R549+S549-U549</f>
        <v>1607.99</v>
      </c>
      <c r="W549" s="9" t="str">
        <f aca="false">IF(ROUND(V549-K549,2)=0,"OK","ERRO")</f>
        <v>OK</v>
      </c>
      <c r="X549" s="9" t="str">
        <f aca="false">VLOOKUP(F549,DIM_SERVICO!$A$2:$D$151,3,FALSE())</f>
        <v>Revisão</v>
      </c>
    </row>
    <row r="550" customFormat="false" ht="15" hidden="false" customHeight="false" outlineLevel="0" collapsed="false">
      <c r="A550" s="2" t="n">
        <v>549</v>
      </c>
      <c r="B550" s="2" t="n">
        <v>813</v>
      </c>
      <c r="C550" s="2" t="n">
        <v>1249</v>
      </c>
      <c r="D550" s="2" t="n">
        <v>785</v>
      </c>
      <c r="E550" s="2" t="n">
        <v>346</v>
      </c>
      <c r="F550" s="2" t="n">
        <v>33</v>
      </c>
      <c r="G550" s="2" t="n">
        <v>651</v>
      </c>
      <c r="H550" s="2" t="n">
        <v>2</v>
      </c>
      <c r="I550" s="3" t="n">
        <v>1458.48</v>
      </c>
      <c r="J550" s="3" t="n">
        <v>538.49</v>
      </c>
      <c r="K550" s="3" t="n">
        <v>2686.01</v>
      </c>
      <c r="L550" s="3" t="n">
        <v>1013.77</v>
      </c>
      <c r="M550" s="2" t="n">
        <v>1.6</v>
      </c>
      <c r="N550" s="2" t="s">
        <v>24</v>
      </c>
      <c r="O550" s="4" t="n">
        <f aca="false">VLOOKUP(F550,DIM_SERVICO!$A$2:$D$151,4,FALSE())</f>
        <v>538.49</v>
      </c>
      <c r="P550" s="4" t="n">
        <f aca="false">VLOOKUP(E550,DIM_PECA!$A$2:$F$501,6,FALSE())</f>
        <v>1222.98</v>
      </c>
      <c r="Q550" s="4" t="n">
        <f aca="false">VLOOKUP(E550,DIM_PECA!$A$2:$F$501,5,FALSE())</f>
        <v>729.24</v>
      </c>
      <c r="R550" s="4" t="n">
        <f aca="false">H550*P550</f>
        <v>2445.96</v>
      </c>
      <c r="S550" s="4" t="n">
        <f aca="false">O550*M550</f>
        <v>861.584</v>
      </c>
      <c r="T550" s="4" t="n">
        <f aca="false">R550+S550</f>
        <v>3307.544</v>
      </c>
      <c r="U550" s="4" t="n">
        <f aca="false">T550-K550</f>
        <v>621.534</v>
      </c>
      <c r="V550" s="4" t="n">
        <f aca="false">R550+S550-U550</f>
        <v>2686.01</v>
      </c>
      <c r="W550" s="5" t="str">
        <f aca="false">IF(ROUND(V550-K550,2)=0,"OK","ERRO")</f>
        <v>OK</v>
      </c>
      <c r="X550" s="5" t="str">
        <f aca="false">VLOOKUP(F550,DIM_SERVICO!$A$2:$D$151,3,FALSE())</f>
        <v>Suspensão</v>
      </c>
    </row>
    <row r="551" customFormat="false" ht="15" hidden="false" customHeight="false" outlineLevel="0" collapsed="false">
      <c r="A551" s="6" t="n">
        <v>550</v>
      </c>
      <c r="B551" s="6" t="n">
        <v>341</v>
      </c>
      <c r="C551" s="6" t="n">
        <v>31</v>
      </c>
      <c r="D551" s="6" t="n">
        <v>1048</v>
      </c>
      <c r="E551" s="6" t="n">
        <v>377</v>
      </c>
      <c r="F551" s="6" t="n">
        <v>148</v>
      </c>
      <c r="G551" s="6" t="n">
        <v>487</v>
      </c>
      <c r="H551" s="6" t="n">
        <v>1</v>
      </c>
      <c r="I551" s="7" t="n">
        <v>555.82</v>
      </c>
      <c r="J551" s="7" t="n">
        <v>1276.19</v>
      </c>
      <c r="K551" s="7" t="n">
        <v>2244.15</v>
      </c>
      <c r="L551" s="7" t="n">
        <v>1019.24</v>
      </c>
      <c r="M551" s="6" t="n">
        <v>11.4</v>
      </c>
      <c r="N551" s="6" t="s">
        <v>24</v>
      </c>
      <c r="O551" s="8" t="n">
        <f aca="false">VLOOKUP(F551,DIM_SERVICO!$A$2:$D$151,4,FALSE())</f>
        <v>1276.19</v>
      </c>
      <c r="P551" s="8" t="n">
        <f aca="false">VLOOKUP(E551,DIM_PECA!$A$2:$F$501,6,FALSE())</f>
        <v>1217.31</v>
      </c>
      <c r="Q551" s="8" t="n">
        <f aca="false">VLOOKUP(E551,DIM_PECA!$A$2:$F$501,5,FALSE())</f>
        <v>555.82</v>
      </c>
      <c r="R551" s="8" t="n">
        <f aca="false">H551*P551</f>
        <v>1217.31</v>
      </c>
      <c r="S551" s="8" t="n">
        <f aca="false">O551*M551</f>
        <v>14548.566</v>
      </c>
      <c r="T551" s="8" t="n">
        <f aca="false">R551+S551</f>
        <v>15765.876</v>
      </c>
      <c r="U551" s="8" t="n">
        <f aca="false">T551-K551</f>
        <v>13521.726</v>
      </c>
      <c r="V551" s="8" t="n">
        <f aca="false">R551+S551-U551</f>
        <v>2244.15</v>
      </c>
      <c r="W551" s="9" t="str">
        <f aca="false">IF(ROUND(V551-K551,2)=0,"OK","ERRO")</f>
        <v>OK</v>
      </c>
      <c r="X551" s="9" t="str">
        <f aca="false">VLOOKUP(F551,DIM_SERVICO!$A$2:$D$151,3,FALSE())</f>
        <v>Revisão</v>
      </c>
    </row>
    <row r="552" customFormat="false" ht="15" hidden="false" customHeight="false" outlineLevel="0" collapsed="false">
      <c r="A552" s="2" t="n">
        <v>551</v>
      </c>
      <c r="B552" s="2" t="n">
        <v>1080</v>
      </c>
      <c r="C552" s="2" t="n">
        <v>1445</v>
      </c>
      <c r="D552" s="2" t="n">
        <v>480</v>
      </c>
      <c r="E552" s="2" t="n">
        <v>396</v>
      </c>
      <c r="F552" s="2" t="n">
        <v>16</v>
      </c>
      <c r="G552" s="2" t="n">
        <v>53</v>
      </c>
      <c r="H552" s="2" t="n">
        <v>1</v>
      </c>
      <c r="I552" s="3" t="n">
        <v>817.56</v>
      </c>
      <c r="J552" s="3" t="n">
        <v>266.12</v>
      </c>
      <c r="K552" s="3" t="n">
        <v>1551.26</v>
      </c>
      <c r="L552" s="3" t="n">
        <v>596.14</v>
      </c>
      <c r="M552" s="2" t="n">
        <v>7.7</v>
      </c>
      <c r="N552" s="2" t="s">
        <v>26</v>
      </c>
      <c r="O552" s="4" t="n">
        <f aca="false">VLOOKUP(F552,DIM_SERVICO!$A$2:$D$151,4,FALSE())</f>
        <v>266.12</v>
      </c>
      <c r="P552" s="4" t="n">
        <f aca="false">VLOOKUP(E552,DIM_PECA!$A$2:$F$501,6,FALSE())</f>
        <v>1285.14</v>
      </c>
      <c r="Q552" s="4" t="n">
        <f aca="false">VLOOKUP(E552,DIM_PECA!$A$2:$F$501,5,FALSE())</f>
        <v>817.56</v>
      </c>
      <c r="R552" s="4" t="n">
        <f aca="false">H552*P552</f>
        <v>1285.14</v>
      </c>
      <c r="S552" s="4" t="n">
        <f aca="false">O552*M552</f>
        <v>2049.124</v>
      </c>
      <c r="T552" s="4" t="n">
        <f aca="false">R552+S552</f>
        <v>3334.264</v>
      </c>
      <c r="U552" s="4" t="n">
        <f aca="false">T552-K552</f>
        <v>1783.004</v>
      </c>
      <c r="V552" s="4" t="n">
        <f aca="false">R552+S552-U552</f>
        <v>1551.26</v>
      </c>
      <c r="W552" s="5" t="str">
        <f aca="false">IF(ROUND(V552-K552,2)=0,"OK","ERRO")</f>
        <v>OK</v>
      </c>
      <c r="X552" s="5" t="str">
        <f aca="false">VLOOKUP(F552,DIM_SERVICO!$A$2:$D$151,3,FALSE())</f>
        <v>Funilaria</v>
      </c>
    </row>
    <row r="553" customFormat="false" ht="15" hidden="false" customHeight="false" outlineLevel="0" collapsed="false">
      <c r="A553" s="6" t="n">
        <v>552</v>
      </c>
      <c r="B553" s="6" t="n">
        <v>1480</v>
      </c>
      <c r="C553" s="6" t="n">
        <v>1449</v>
      </c>
      <c r="D553" s="6" t="n">
        <v>200</v>
      </c>
      <c r="E553" s="6" t="n">
        <v>406</v>
      </c>
      <c r="F553" s="6" t="n">
        <v>35</v>
      </c>
      <c r="G553" s="6" t="n">
        <v>1356</v>
      </c>
      <c r="H553" s="6" t="n">
        <v>2</v>
      </c>
      <c r="I553" s="7" t="n">
        <v>167.74</v>
      </c>
      <c r="J553" s="7" t="n">
        <v>1082.38</v>
      </c>
      <c r="K553" s="7" t="n">
        <v>1373.99</v>
      </c>
      <c r="L553" s="7" t="n">
        <v>714.68</v>
      </c>
      <c r="M553" s="6" t="n">
        <v>10.8</v>
      </c>
      <c r="N553" s="6" t="s">
        <v>26</v>
      </c>
      <c r="O553" s="8" t="n">
        <f aca="false">VLOOKUP(F553,DIM_SERVICO!$A$2:$D$151,4,FALSE())</f>
        <v>1082.38</v>
      </c>
      <c r="P553" s="8" t="n">
        <f aca="false">VLOOKUP(E553,DIM_PECA!$A$2:$F$501,6,FALSE())</f>
        <v>181.96</v>
      </c>
      <c r="Q553" s="8" t="n">
        <f aca="false">VLOOKUP(E553,DIM_PECA!$A$2:$F$501,5,FALSE())</f>
        <v>83.87</v>
      </c>
      <c r="R553" s="8" t="n">
        <f aca="false">H553*P553</f>
        <v>363.92</v>
      </c>
      <c r="S553" s="8" t="n">
        <f aca="false">O553*M553</f>
        <v>11689.704</v>
      </c>
      <c r="T553" s="8" t="n">
        <f aca="false">R553+S553</f>
        <v>12053.624</v>
      </c>
      <c r="U553" s="8" t="n">
        <f aca="false">T553-K553</f>
        <v>10679.634</v>
      </c>
      <c r="V553" s="8" t="n">
        <f aca="false">R553+S553-U553</f>
        <v>1373.99</v>
      </c>
      <c r="W553" s="9" t="str">
        <f aca="false">IF(ROUND(V553-K553,2)=0,"OK","ERRO")</f>
        <v>OK</v>
      </c>
      <c r="X553" s="9" t="str">
        <f aca="false">VLOOKUP(F553,DIM_SERVICO!$A$2:$D$151,3,FALSE())</f>
        <v>Diagnóstico</v>
      </c>
    </row>
    <row r="554" customFormat="false" ht="15" hidden="false" customHeight="false" outlineLevel="0" collapsed="false">
      <c r="A554" s="2" t="n">
        <v>553</v>
      </c>
      <c r="B554" s="2" t="n">
        <v>1367</v>
      </c>
      <c r="C554" s="2" t="n">
        <v>158</v>
      </c>
      <c r="D554" s="2" t="n">
        <v>605</v>
      </c>
      <c r="E554" s="2" t="n">
        <v>364</v>
      </c>
      <c r="F554" s="2" t="n">
        <v>66</v>
      </c>
      <c r="G554" s="2" t="n">
        <v>1276</v>
      </c>
      <c r="H554" s="2" t="n">
        <v>2</v>
      </c>
      <c r="I554" s="3" t="n">
        <v>1239.18</v>
      </c>
      <c r="J554" s="3" t="n">
        <v>1805.9</v>
      </c>
      <c r="K554" s="3" t="n">
        <v>3762.27</v>
      </c>
      <c r="L554" s="3" t="n">
        <v>1762.47</v>
      </c>
      <c r="M554" s="2" t="n">
        <v>2.7</v>
      </c>
      <c r="N554" s="2" t="s">
        <v>27</v>
      </c>
      <c r="O554" s="4" t="n">
        <f aca="false">VLOOKUP(F554,DIM_SERVICO!$A$2:$D$151,4,FALSE())</f>
        <v>1805.9</v>
      </c>
      <c r="P554" s="4" t="n">
        <f aca="false">VLOOKUP(E554,DIM_PECA!$A$2:$F$501,6,FALSE())</f>
        <v>1187.2</v>
      </c>
      <c r="Q554" s="4" t="n">
        <f aca="false">VLOOKUP(E554,DIM_PECA!$A$2:$F$501,5,FALSE())</f>
        <v>619.59</v>
      </c>
      <c r="R554" s="4" t="n">
        <f aca="false">H554*P554</f>
        <v>2374.4</v>
      </c>
      <c r="S554" s="4" t="n">
        <f aca="false">O554*M554</f>
        <v>4875.93</v>
      </c>
      <c r="T554" s="4" t="n">
        <f aca="false">R554+S554</f>
        <v>7250.33</v>
      </c>
      <c r="U554" s="4" t="n">
        <f aca="false">T554-K554</f>
        <v>3488.06</v>
      </c>
      <c r="V554" s="4" t="n">
        <f aca="false">R554+S554-U554</f>
        <v>3762.27</v>
      </c>
      <c r="W554" s="5" t="str">
        <f aca="false">IF(ROUND(V554-K554,2)=0,"OK","ERRO")</f>
        <v>OK</v>
      </c>
      <c r="X554" s="5" t="str">
        <f aca="false">VLOOKUP(F554,DIM_SERVICO!$A$2:$D$151,3,FALSE())</f>
        <v>Pintura</v>
      </c>
    </row>
    <row r="555" customFormat="false" ht="15" hidden="false" customHeight="false" outlineLevel="0" collapsed="false">
      <c r="A555" s="6" t="n">
        <v>554</v>
      </c>
      <c r="B555" s="6" t="n">
        <v>374</v>
      </c>
      <c r="C555" s="6" t="n">
        <v>1450</v>
      </c>
      <c r="D555" s="6" t="n">
        <v>596</v>
      </c>
      <c r="E555" s="6" t="n">
        <v>421</v>
      </c>
      <c r="F555" s="6" t="n">
        <v>12</v>
      </c>
      <c r="G555" s="6" t="n">
        <v>305</v>
      </c>
      <c r="H555" s="6" t="n">
        <v>4</v>
      </c>
      <c r="I555" s="7" t="n">
        <v>4375.72</v>
      </c>
      <c r="J555" s="7" t="n">
        <v>1399.41</v>
      </c>
      <c r="K555" s="7" t="n">
        <v>7313.71</v>
      </c>
      <c r="L555" s="7" t="n">
        <v>2375.26</v>
      </c>
      <c r="M555" s="6" t="n">
        <v>6</v>
      </c>
      <c r="N555" s="6" t="s">
        <v>24</v>
      </c>
      <c r="O555" s="8" t="n">
        <f aca="false">VLOOKUP(F555,DIM_SERVICO!$A$2:$D$151,4,FALSE())</f>
        <v>1399.41</v>
      </c>
      <c r="P555" s="8" t="n">
        <f aca="false">VLOOKUP(E555,DIM_PECA!$A$2:$F$501,6,FALSE())</f>
        <v>1515.89</v>
      </c>
      <c r="Q555" s="8" t="n">
        <f aca="false">VLOOKUP(E555,DIM_PECA!$A$2:$F$501,5,FALSE())</f>
        <v>1093.93</v>
      </c>
      <c r="R555" s="8" t="n">
        <f aca="false">H555*P555</f>
        <v>6063.56</v>
      </c>
      <c r="S555" s="8" t="n">
        <f aca="false">O555*M555</f>
        <v>8396.46</v>
      </c>
      <c r="T555" s="8" t="n">
        <f aca="false">R555+S555</f>
        <v>14460.02</v>
      </c>
      <c r="U555" s="8" t="n">
        <f aca="false">T555-K555</f>
        <v>7146.31</v>
      </c>
      <c r="V555" s="8" t="n">
        <f aca="false">R555+S555-U555</f>
        <v>7313.71</v>
      </c>
      <c r="W555" s="9" t="str">
        <f aca="false">IF(ROUND(V555-K555,2)=0,"OK","ERRO")</f>
        <v>OK</v>
      </c>
      <c r="X555" s="9" t="str">
        <f aca="false">VLOOKUP(F555,DIM_SERVICO!$A$2:$D$151,3,FALSE())</f>
        <v>Revisão</v>
      </c>
    </row>
    <row r="556" customFormat="false" ht="15" hidden="false" customHeight="false" outlineLevel="0" collapsed="false">
      <c r="A556" s="2" t="n">
        <v>555</v>
      </c>
      <c r="B556" s="2" t="n">
        <v>1319</v>
      </c>
      <c r="C556" s="2" t="n">
        <v>1091</v>
      </c>
      <c r="D556" s="2" t="n">
        <v>791</v>
      </c>
      <c r="E556" s="2" t="n">
        <v>321</v>
      </c>
      <c r="F556" s="2" t="n">
        <v>101</v>
      </c>
      <c r="G556" s="2" t="n">
        <v>1721</v>
      </c>
      <c r="H556" s="2" t="n">
        <v>4</v>
      </c>
      <c r="I556" s="3" t="n">
        <v>3999.16</v>
      </c>
      <c r="J556" s="3" t="n">
        <v>1690.47</v>
      </c>
      <c r="K556" s="3" t="n">
        <v>9815.47</v>
      </c>
      <c r="L556" s="3" t="n">
        <v>5039.13</v>
      </c>
      <c r="M556" s="2" t="n">
        <v>0.9</v>
      </c>
      <c r="N556" s="2" t="s">
        <v>24</v>
      </c>
      <c r="O556" s="4" t="n">
        <f aca="false">VLOOKUP(F556,DIM_SERVICO!$A$2:$D$151,4,FALSE())</f>
        <v>1690.47</v>
      </c>
      <c r="P556" s="4" t="n">
        <f aca="false">VLOOKUP(E556,DIM_PECA!$A$2:$F$501,6,FALSE())</f>
        <v>2031.25</v>
      </c>
      <c r="Q556" s="4" t="n">
        <f aca="false">VLOOKUP(E556,DIM_PECA!$A$2:$F$501,5,FALSE())</f>
        <v>999.79</v>
      </c>
      <c r="R556" s="4" t="n">
        <f aca="false">H556*P556</f>
        <v>8125</v>
      </c>
      <c r="S556" s="4" t="n">
        <f aca="false">O556*M556</f>
        <v>1521.423</v>
      </c>
      <c r="T556" s="4" t="n">
        <f aca="false">R556+S556</f>
        <v>9646.423</v>
      </c>
      <c r="U556" s="4" t="n">
        <f aca="false">T556-K556</f>
        <v>-169.046999999999</v>
      </c>
      <c r="V556" s="4" t="n">
        <f aca="false">R556+S556-U556</f>
        <v>9815.47</v>
      </c>
      <c r="W556" s="5" t="str">
        <f aca="false">IF(ROUND(V556-K556,2)=0,"OK","ERRO")</f>
        <v>OK</v>
      </c>
      <c r="X556" s="5" t="str">
        <f aca="false">VLOOKUP(F556,DIM_SERVICO!$A$2:$D$151,3,FALSE())</f>
        <v>Revisão</v>
      </c>
    </row>
    <row r="557" customFormat="false" ht="15" hidden="false" customHeight="false" outlineLevel="0" collapsed="false">
      <c r="A557" s="6" t="n">
        <v>556</v>
      </c>
      <c r="B557" s="6" t="n">
        <v>1020</v>
      </c>
      <c r="C557" s="6" t="n">
        <v>144</v>
      </c>
      <c r="D557" s="6" t="n">
        <v>312</v>
      </c>
      <c r="E557" s="6" t="n">
        <v>290</v>
      </c>
      <c r="F557" s="6" t="n">
        <v>35</v>
      </c>
      <c r="G557" s="6" t="n">
        <v>1432</v>
      </c>
      <c r="H557" s="6" t="n">
        <v>4</v>
      </c>
      <c r="I557" s="7" t="n">
        <v>2786.28</v>
      </c>
      <c r="J557" s="7" t="n">
        <v>1082.38</v>
      </c>
      <c r="K557" s="7" t="n">
        <v>4905.82</v>
      </c>
      <c r="L557" s="7" t="n">
        <v>1563.37</v>
      </c>
      <c r="M557" s="6" t="n">
        <v>0.7</v>
      </c>
      <c r="N557" s="6" t="s">
        <v>24</v>
      </c>
      <c r="O557" s="8" t="n">
        <f aca="false">VLOOKUP(F557,DIM_SERVICO!$A$2:$D$151,4,FALSE())</f>
        <v>1082.38</v>
      </c>
      <c r="P557" s="8" t="n">
        <f aca="false">VLOOKUP(E557,DIM_PECA!$A$2:$F$501,6,FALSE())</f>
        <v>955.86</v>
      </c>
      <c r="Q557" s="8" t="n">
        <f aca="false">VLOOKUP(E557,DIM_PECA!$A$2:$F$501,5,FALSE())</f>
        <v>696.57</v>
      </c>
      <c r="R557" s="8" t="n">
        <f aca="false">H557*P557</f>
        <v>3823.44</v>
      </c>
      <c r="S557" s="8" t="n">
        <f aca="false">O557*M557</f>
        <v>757.666</v>
      </c>
      <c r="T557" s="8" t="n">
        <f aca="false">R557+S557</f>
        <v>4581.106</v>
      </c>
      <c r="U557" s="8" t="n">
        <f aca="false">T557-K557</f>
        <v>-324.714</v>
      </c>
      <c r="V557" s="8" t="n">
        <f aca="false">R557+S557-U557</f>
        <v>4905.82</v>
      </c>
      <c r="W557" s="9" t="str">
        <f aca="false">IF(ROUND(V557-K557,2)=0,"OK","ERRO")</f>
        <v>OK</v>
      </c>
      <c r="X557" s="9" t="str">
        <f aca="false">VLOOKUP(F557,DIM_SERVICO!$A$2:$D$151,3,FALSE())</f>
        <v>Diagnóstico</v>
      </c>
    </row>
    <row r="558" customFormat="false" ht="15" hidden="false" customHeight="false" outlineLevel="0" collapsed="false">
      <c r="A558" s="2" t="n">
        <v>557</v>
      </c>
      <c r="B558" s="2" t="n">
        <v>1329</v>
      </c>
      <c r="C558" s="2" t="n">
        <v>873</v>
      </c>
      <c r="D558" s="2" t="n">
        <v>885</v>
      </c>
      <c r="E558" s="2" t="n">
        <v>242</v>
      </c>
      <c r="F558" s="2" t="n">
        <v>128</v>
      </c>
      <c r="G558" s="2" t="n">
        <v>1265</v>
      </c>
      <c r="H558" s="2" t="n">
        <v>2</v>
      </c>
      <c r="I558" s="3" t="n">
        <v>227.08</v>
      </c>
      <c r="J558" s="3" t="n">
        <v>1139.25</v>
      </c>
      <c r="K558" s="3" t="n">
        <v>1364.31</v>
      </c>
      <c r="L558" s="3" t="n">
        <v>650.68</v>
      </c>
      <c r="M558" s="2" t="n">
        <v>6.3</v>
      </c>
      <c r="N558" s="2" t="s">
        <v>24</v>
      </c>
      <c r="O558" s="4" t="n">
        <f aca="false">VLOOKUP(F558,DIM_SERVICO!$A$2:$D$151,4,FALSE())</f>
        <v>1139.25</v>
      </c>
      <c r="P558" s="4" t="n">
        <f aca="false">VLOOKUP(E558,DIM_PECA!$A$2:$F$501,6,FALSE())</f>
        <v>171.85</v>
      </c>
      <c r="Q558" s="4" t="n">
        <f aca="false">VLOOKUP(E558,DIM_PECA!$A$2:$F$501,5,FALSE())</f>
        <v>113.54</v>
      </c>
      <c r="R558" s="4" t="n">
        <f aca="false">H558*P558</f>
        <v>343.7</v>
      </c>
      <c r="S558" s="4" t="n">
        <f aca="false">O558*M558</f>
        <v>7177.275</v>
      </c>
      <c r="T558" s="4" t="n">
        <f aca="false">R558+S558</f>
        <v>7520.975</v>
      </c>
      <c r="U558" s="4" t="n">
        <f aca="false">T558-K558</f>
        <v>6156.665</v>
      </c>
      <c r="V558" s="4" t="n">
        <f aca="false">R558+S558-U558</f>
        <v>1364.31</v>
      </c>
      <c r="W558" s="5" t="str">
        <f aca="false">IF(ROUND(V558-K558,2)=0,"OK","ERRO")</f>
        <v>OK</v>
      </c>
      <c r="X558" s="5" t="str">
        <f aca="false">VLOOKUP(F558,DIM_SERVICO!$A$2:$D$151,3,FALSE())</f>
        <v>Revisão</v>
      </c>
    </row>
    <row r="559" customFormat="false" ht="15" hidden="false" customHeight="false" outlineLevel="0" collapsed="false">
      <c r="A559" s="6" t="n">
        <v>558</v>
      </c>
      <c r="B559" s="6" t="n">
        <v>171</v>
      </c>
      <c r="C559" s="6" t="n">
        <v>24</v>
      </c>
      <c r="D559" s="6" t="n">
        <v>886</v>
      </c>
      <c r="E559" s="6" t="n">
        <v>2</v>
      </c>
      <c r="F559" s="6" t="n">
        <v>131</v>
      </c>
      <c r="G559" s="6" t="n">
        <v>1416</v>
      </c>
      <c r="H559" s="6" t="n">
        <v>2</v>
      </c>
      <c r="I559" s="7" t="n">
        <v>1619.38</v>
      </c>
      <c r="J559" s="7" t="n">
        <v>419.61</v>
      </c>
      <c r="K559" s="7" t="n">
        <v>2846.17</v>
      </c>
      <c r="L559" s="7" t="n">
        <v>999.31</v>
      </c>
      <c r="M559" s="6" t="n">
        <v>7.5</v>
      </c>
      <c r="N559" s="6" t="s">
        <v>25</v>
      </c>
      <c r="O559" s="8" t="n">
        <f aca="false">VLOOKUP(F559,DIM_SERVICO!$A$2:$D$151,4,FALSE())</f>
        <v>419.61</v>
      </c>
      <c r="P559" s="8" t="n">
        <f aca="false">VLOOKUP(E559,DIM_PECA!$A$2:$F$501,6,FALSE())</f>
        <v>1213.28</v>
      </c>
      <c r="Q559" s="8" t="n">
        <f aca="false">VLOOKUP(E559,DIM_PECA!$A$2:$F$501,5,FALSE())</f>
        <v>809.69</v>
      </c>
      <c r="R559" s="8" t="n">
        <f aca="false">H559*P559</f>
        <v>2426.56</v>
      </c>
      <c r="S559" s="8" t="n">
        <f aca="false">O559*M559</f>
        <v>3147.075</v>
      </c>
      <c r="T559" s="8" t="n">
        <f aca="false">R559+S559</f>
        <v>5573.635</v>
      </c>
      <c r="U559" s="8" t="n">
        <f aca="false">T559-K559</f>
        <v>2727.465</v>
      </c>
      <c r="V559" s="8" t="n">
        <f aca="false">R559+S559-U559</f>
        <v>2846.17</v>
      </c>
      <c r="W559" s="9" t="str">
        <f aca="false">IF(ROUND(V559-K559,2)=0,"OK","ERRO")</f>
        <v>OK</v>
      </c>
      <c r="X559" s="9" t="str">
        <f aca="false">VLOOKUP(F559,DIM_SERVICO!$A$2:$D$151,3,FALSE())</f>
        <v>Freios</v>
      </c>
    </row>
    <row r="560" customFormat="false" ht="15" hidden="false" customHeight="false" outlineLevel="0" collapsed="false">
      <c r="A560" s="2" t="n">
        <v>559</v>
      </c>
      <c r="B560" s="2" t="n">
        <v>121</v>
      </c>
      <c r="C560" s="2" t="n">
        <v>457</v>
      </c>
      <c r="D560" s="2" t="n">
        <v>1133</v>
      </c>
      <c r="E560" s="2" t="n">
        <v>184</v>
      </c>
      <c r="F560" s="2" t="n">
        <v>22</v>
      </c>
      <c r="G560" s="2" t="n">
        <v>1467</v>
      </c>
      <c r="H560" s="2" t="n">
        <v>2</v>
      </c>
      <c r="I560" s="3" t="n">
        <v>1611.12</v>
      </c>
      <c r="J560" s="3" t="n">
        <v>1591.95</v>
      </c>
      <c r="K560" s="3" t="n">
        <v>4833.83</v>
      </c>
      <c r="L560" s="3" t="n">
        <v>2429.16</v>
      </c>
      <c r="M560" s="2" t="n">
        <v>11.9</v>
      </c>
      <c r="N560" s="2" t="s">
        <v>24</v>
      </c>
      <c r="O560" s="4" t="n">
        <f aca="false">VLOOKUP(F560,DIM_SERVICO!$A$2:$D$151,4,FALSE())</f>
        <v>1591.95</v>
      </c>
      <c r="P560" s="4" t="n">
        <f aca="false">VLOOKUP(E560,DIM_PECA!$A$2:$F$501,6,FALSE())</f>
        <v>1620.94</v>
      </c>
      <c r="Q560" s="4" t="n">
        <f aca="false">VLOOKUP(E560,DIM_PECA!$A$2:$F$501,5,FALSE())</f>
        <v>805.56</v>
      </c>
      <c r="R560" s="4" t="n">
        <f aca="false">H560*P560</f>
        <v>3241.88</v>
      </c>
      <c r="S560" s="4" t="n">
        <f aca="false">O560*M560</f>
        <v>18944.205</v>
      </c>
      <c r="T560" s="4" t="n">
        <f aca="false">R560+S560</f>
        <v>22186.085</v>
      </c>
      <c r="U560" s="4" t="n">
        <f aca="false">T560-K560</f>
        <v>17352.255</v>
      </c>
      <c r="V560" s="4" t="n">
        <f aca="false">R560+S560-U560</f>
        <v>4833.83</v>
      </c>
      <c r="W560" s="5" t="str">
        <f aca="false">IF(ROUND(V560-K560,2)=0,"OK","ERRO")</f>
        <v>OK</v>
      </c>
      <c r="X560" s="5" t="str">
        <f aca="false">VLOOKUP(F560,DIM_SERVICO!$A$2:$D$151,3,FALSE())</f>
        <v>Motor</v>
      </c>
    </row>
    <row r="561" customFormat="false" ht="15" hidden="false" customHeight="false" outlineLevel="0" collapsed="false">
      <c r="A561" s="6" t="n">
        <v>560</v>
      </c>
      <c r="B561" s="6" t="n">
        <v>584</v>
      </c>
      <c r="C561" s="6" t="n">
        <v>931</v>
      </c>
      <c r="D561" s="6" t="n">
        <v>1037</v>
      </c>
      <c r="E561" s="6" t="n">
        <v>92</v>
      </c>
      <c r="F561" s="6" t="n">
        <v>15</v>
      </c>
      <c r="G561" s="6" t="n">
        <v>1151</v>
      </c>
      <c r="H561" s="6" t="n">
        <v>2</v>
      </c>
      <c r="I561" s="7" t="n">
        <v>796.88</v>
      </c>
      <c r="J561" s="7" t="n">
        <v>1426.42</v>
      </c>
      <c r="K561" s="7" t="n">
        <v>2813.97</v>
      </c>
      <c r="L561" s="7" t="n">
        <v>1446.82</v>
      </c>
      <c r="M561" s="6" t="n">
        <v>4.9</v>
      </c>
      <c r="N561" s="6" t="s">
        <v>24</v>
      </c>
      <c r="O561" s="8" t="n">
        <f aca="false">VLOOKUP(F561,DIM_SERVICO!$A$2:$D$151,4,FALSE())</f>
        <v>1426.42</v>
      </c>
      <c r="P561" s="8" t="n">
        <f aca="false">VLOOKUP(E561,DIM_PECA!$A$2:$F$501,6,FALSE())</f>
        <v>816.12</v>
      </c>
      <c r="Q561" s="8" t="n">
        <f aca="false">VLOOKUP(E561,DIM_PECA!$A$2:$F$501,5,FALSE())</f>
        <v>398.44</v>
      </c>
      <c r="R561" s="8" t="n">
        <f aca="false">H561*P561</f>
        <v>1632.24</v>
      </c>
      <c r="S561" s="8" t="n">
        <f aca="false">O561*M561</f>
        <v>6989.458</v>
      </c>
      <c r="T561" s="8" t="n">
        <f aca="false">R561+S561</f>
        <v>8621.698</v>
      </c>
      <c r="U561" s="8" t="n">
        <f aca="false">T561-K561</f>
        <v>5807.728</v>
      </c>
      <c r="V561" s="8" t="n">
        <f aca="false">R561+S561-U561</f>
        <v>2813.97</v>
      </c>
      <c r="W561" s="9" t="str">
        <f aca="false">IF(ROUND(V561-K561,2)=0,"OK","ERRO")</f>
        <v>OK</v>
      </c>
      <c r="X561" s="9" t="str">
        <f aca="false">VLOOKUP(F561,DIM_SERVICO!$A$2:$D$151,3,FALSE())</f>
        <v>Pintura</v>
      </c>
    </row>
    <row r="562" customFormat="false" ht="15" hidden="false" customHeight="false" outlineLevel="0" collapsed="false">
      <c r="A562" s="2" t="n">
        <v>561</v>
      </c>
      <c r="B562" s="2" t="n">
        <v>1347</v>
      </c>
      <c r="C562" s="2" t="n">
        <v>1456</v>
      </c>
      <c r="D562" s="2" t="n">
        <v>714</v>
      </c>
      <c r="E562" s="2" t="n">
        <v>330</v>
      </c>
      <c r="F562" s="2" t="n">
        <v>42</v>
      </c>
      <c r="G562" s="2" t="n">
        <v>34</v>
      </c>
      <c r="H562" s="2" t="n">
        <v>1</v>
      </c>
      <c r="I562" s="3" t="n">
        <v>755.49</v>
      </c>
      <c r="J562" s="3" t="n">
        <v>1029.92</v>
      </c>
      <c r="K562" s="3" t="n">
        <v>2098.15</v>
      </c>
      <c r="L562" s="3" t="n">
        <v>811.99</v>
      </c>
      <c r="M562" s="2" t="n">
        <v>7.3</v>
      </c>
      <c r="N562" s="2" t="s">
        <v>24</v>
      </c>
      <c r="O562" s="4" t="n">
        <f aca="false">VLOOKUP(F562,DIM_SERVICO!$A$2:$D$151,4,FALSE())</f>
        <v>1029.92</v>
      </c>
      <c r="P562" s="4" t="n">
        <f aca="false">VLOOKUP(E562,DIM_PECA!$A$2:$F$501,6,FALSE())</f>
        <v>1111.05</v>
      </c>
      <c r="Q562" s="4" t="n">
        <f aca="false">VLOOKUP(E562,DIM_PECA!$A$2:$F$501,5,FALSE())</f>
        <v>755.49</v>
      </c>
      <c r="R562" s="4" t="n">
        <f aca="false">H562*P562</f>
        <v>1111.05</v>
      </c>
      <c r="S562" s="4" t="n">
        <f aca="false">O562*M562</f>
        <v>7518.416</v>
      </c>
      <c r="T562" s="4" t="n">
        <f aca="false">R562+S562</f>
        <v>8629.466</v>
      </c>
      <c r="U562" s="4" t="n">
        <f aca="false">T562-K562</f>
        <v>6531.316</v>
      </c>
      <c r="V562" s="4" t="n">
        <f aca="false">R562+S562-U562</f>
        <v>2098.15</v>
      </c>
      <c r="W562" s="5" t="str">
        <f aca="false">IF(ROUND(V562-K562,2)=0,"OK","ERRO")</f>
        <v>OK</v>
      </c>
      <c r="X562" s="5" t="str">
        <f aca="false">VLOOKUP(F562,DIM_SERVICO!$A$2:$D$151,3,FALSE())</f>
        <v>Elétrica</v>
      </c>
    </row>
    <row r="563" customFormat="false" ht="15" hidden="false" customHeight="false" outlineLevel="0" collapsed="false">
      <c r="A563" s="6" t="n">
        <v>562</v>
      </c>
      <c r="B563" s="6" t="n">
        <v>630</v>
      </c>
      <c r="C563" s="6" t="n">
        <v>667</v>
      </c>
      <c r="D563" s="6" t="n">
        <v>208</v>
      </c>
      <c r="E563" s="6" t="n">
        <v>348</v>
      </c>
      <c r="F563" s="6" t="n">
        <v>36</v>
      </c>
      <c r="G563" s="6" t="n">
        <v>782</v>
      </c>
      <c r="H563" s="6" t="n">
        <v>4</v>
      </c>
      <c r="I563" s="7" t="n">
        <v>2780.56</v>
      </c>
      <c r="J563" s="7" t="n">
        <v>1564.33</v>
      </c>
      <c r="K563" s="7" t="n">
        <v>7509.45</v>
      </c>
      <c r="L563" s="7" t="n">
        <v>3905.55</v>
      </c>
      <c r="M563" s="6" t="n">
        <v>11</v>
      </c>
      <c r="N563" s="6" t="s">
        <v>25</v>
      </c>
      <c r="O563" s="8" t="n">
        <f aca="false">VLOOKUP(F563,DIM_SERVICO!$A$2:$D$151,4,FALSE())</f>
        <v>1564.33</v>
      </c>
      <c r="P563" s="8" t="n">
        <f aca="false">VLOOKUP(E563,DIM_PECA!$A$2:$F$501,6,FALSE())</f>
        <v>1486.28</v>
      </c>
      <c r="Q563" s="8" t="n">
        <f aca="false">VLOOKUP(E563,DIM_PECA!$A$2:$F$501,5,FALSE())</f>
        <v>695.14</v>
      </c>
      <c r="R563" s="8" t="n">
        <f aca="false">H563*P563</f>
        <v>5945.12</v>
      </c>
      <c r="S563" s="8" t="n">
        <f aca="false">O563*M563</f>
        <v>17207.63</v>
      </c>
      <c r="T563" s="8" t="n">
        <f aca="false">R563+S563</f>
        <v>23152.75</v>
      </c>
      <c r="U563" s="8" t="n">
        <f aca="false">T563-K563</f>
        <v>15643.3</v>
      </c>
      <c r="V563" s="8" t="n">
        <f aca="false">R563+S563-U563</f>
        <v>7509.45</v>
      </c>
      <c r="W563" s="9" t="str">
        <f aca="false">IF(ROUND(V563-K563,2)=0,"OK","ERRO")</f>
        <v>OK</v>
      </c>
      <c r="X563" s="9" t="str">
        <f aca="false">VLOOKUP(F563,DIM_SERVICO!$A$2:$D$151,3,FALSE())</f>
        <v>Pintura</v>
      </c>
    </row>
    <row r="564" customFormat="false" ht="15" hidden="false" customHeight="false" outlineLevel="0" collapsed="false">
      <c r="A564" s="2" t="n">
        <v>563</v>
      </c>
      <c r="B564" s="2" t="n">
        <v>330</v>
      </c>
      <c r="C564" s="2" t="n">
        <v>858</v>
      </c>
      <c r="D564" s="2" t="n">
        <v>1057</v>
      </c>
      <c r="E564" s="2" t="n">
        <v>217</v>
      </c>
      <c r="F564" s="2" t="n">
        <v>29</v>
      </c>
      <c r="G564" s="2" t="n">
        <v>180</v>
      </c>
      <c r="H564" s="2" t="n">
        <v>1</v>
      </c>
      <c r="I564" s="3" t="n">
        <v>688.52</v>
      </c>
      <c r="J564" s="3" t="n">
        <v>223.62</v>
      </c>
      <c r="K564" s="3" t="n">
        <v>1514.41</v>
      </c>
      <c r="L564" s="3" t="n">
        <v>735.51</v>
      </c>
      <c r="M564" s="2" t="n">
        <v>3.3</v>
      </c>
      <c r="N564" s="2" t="s">
        <v>27</v>
      </c>
      <c r="O564" s="4" t="n">
        <f aca="false">VLOOKUP(F564,DIM_SERVICO!$A$2:$D$151,4,FALSE())</f>
        <v>223.62</v>
      </c>
      <c r="P564" s="4" t="n">
        <f aca="false">VLOOKUP(E564,DIM_PECA!$A$2:$F$501,6,FALSE())</f>
        <v>1370.5</v>
      </c>
      <c r="Q564" s="4" t="n">
        <f aca="false">VLOOKUP(E564,DIM_PECA!$A$2:$F$501,5,FALSE())</f>
        <v>688.52</v>
      </c>
      <c r="R564" s="4" t="n">
        <f aca="false">H564*P564</f>
        <v>1370.5</v>
      </c>
      <c r="S564" s="4" t="n">
        <f aca="false">O564*M564</f>
        <v>737.946</v>
      </c>
      <c r="T564" s="4" t="n">
        <f aca="false">R564+S564</f>
        <v>2108.446</v>
      </c>
      <c r="U564" s="4" t="n">
        <f aca="false">T564-K564</f>
        <v>594.036</v>
      </c>
      <c r="V564" s="4" t="n">
        <f aca="false">R564+S564-U564</f>
        <v>1514.41</v>
      </c>
      <c r="W564" s="5" t="str">
        <f aca="false">IF(ROUND(V564-K564,2)=0,"OK","ERRO")</f>
        <v>OK</v>
      </c>
      <c r="X564" s="5" t="str">
        <f aca="false">VLOOKUP(F564,DIM_SERVICO!$A$2:$D$151,3,FALSE())</f>
        <v>Diagnóstico</v>
      </c>
    </row>
    <row r="565" customFormat="false" ht="15" hidden="false" customHeight="false" outlineLevel="0" collapsed="false">
      <c r="A565" s="6" t="n">
        <v>564</v>
      </c>
      <c r="B565" s="6" t="n">
        <v>1220</v>
      </c>
      <c r="C565" s="6" t="n">
        <v>56</v>
      </c>
      <c r="D565" s="6" t="n">
        <v>1017</v>
      </c>
      <c r="E565" s="6" t="n">
        <v>93</v>
      </c>
      <c r="F565" s="6" t="n">
        <v>123</v>
      </c>
      <c r="G565" s="6" t="n">
        <v>801</v>
      </c>
      <c r="H565" s="6" t="n">
        <v>4</v>
      </c>
      <c r="I565" s="7" t="n">
        <v>3335.48</v>
      </c>
      <c r="J565" s="7" t="n">
        <v>2023.84</v>
      </c>
      <c r="K565" s="7" t="n">
        <v>7131.16</v>
      </c>
      <c r="L565" s="7" t="n">
        <v>2780.76</v>
      </c>
      <c r="M565" s="6" t="n">
        <v>9.4</v>
      </c>
      <c r="N565" s="6" t="s">
        <v>24</v>
      </c>
      <c r="O565" s="8" t="n">
        <f aca="false">VLOOKUP(F565,DIM_SERVICO!$A$2:$D$151,4,FALSE())</f>
        <v>2023.84</v>
      </c>
      <c r="P565" s="8" t="n">
        <f aca="false">VLOOKUP(E565,DIM_PECA!$A$2:$F$501,6,FALSE())</f>
        <v>1276.83</v>
      </c>
      <c r="Q565" s="8" t="n">
        <f aca="false">VLOOKUP(E565,DIM_PECA!$A$2:$F$501,5,FALSE())</f>
        <v>833.87</v>
      </c>
      <c r="R565" s="8" t="n">
        <f aca="false">H565*P565</f>
        <v>5107.32</v>
      </c>
      <c r="S565" s="8" t="n">
        <f aca="false">O565*M565</f>
        <v>19024.096</v>
      </c>
      <c r="T565" s="8" t="n">
        <f aca="false">R565+S565</f>
        <v>24131.416</v>
      </c>
      <c r="U565" s="8" t="n">
        <f aca="false">T565-K565</f>
        <v>17000.256</v>
      </c>
      <c r="V565" s="8" t="n">
        <f aca="false">R565+S565-U565</f>
        <v>7131.16</v>
      </c>
      <c r="W565" s="9" t="str">
        <f aca="false">IF(ROUND(V565-K565,2)=0,"OK","ERRO")</f>
        <v>OK</v>
      </c>
      <c r="X565" s="9" t="str">
        <f aca="false">VLOOKUP(F565,DIM_SERVICO!$A$2:$D$151,3,FALSE())</f>
        <v>Diagnóstico</v>
      </c>
    </row>
    <row r="566" customFormat="false" ht="15" hidden="false" customHeight="false" outlineLevel="0" collapsed="false">
      <c r="A566" s="2" t="n">
        <v>565</v>
      </c>
      <c r="B566" s="2" t="n">
        <v>1455</v>
      </c>
      <c r="C566" s="2" t="n">
        <v>855</v>
      </c>
      <c r="D566" s="2" t="n">
        <v>419</v>
      </c>
      <c r="E566" s="2" t="n">
        <v>455</v>
      </c>
      <c r="F566" s="2" t="n">
        <v>53</v>
      </c>
      <c r="G566" s="2" t="n">
        <v>448</v>
      </c>
      <c r="H566" s="2" t="n">
        <v>3</v>
      </c>
      <c r="I566" s="3" t="n">
        <v>1548.15</v>
      </c>
      <c r="J566" s="3" t="n">
        <v>955.09</v>
      </c>
      <c r="K566" s="3" t="n">
        <v>4135.66</v>
      </c>
      <c r="L566" s="3" t="n">
        <v>2178.52</v>
      </c>
      <c r="M566" s="2" t="n">
        <v>5.2</v>
      </c>
      <c r="N566" s="2" t="s">
        <v>27</v>
      </c>
      <c r="O566" s="4" t="n">
        <f aca="false">VLOOKUP(F566,DIM_SERVICO!$A$2:$D$151,4,FALSE())</f>
        <v>955.09</v>
      </c>
      <c r="P566" s="4" t="n">
        <f aca="false">VLOOKUP(E566,DIM_PECA!$A$2:$F$501,6,FALSE())</f>
        <v>1060.19</v>
      </c>
      <c r="Q566" s="4" t="n">
        <f aca="false">VLOOKUP(E566,DIM_PECA!$A$2:$F$501,5,FALSE())</f>
        <v>516.05</v>
      </c>
      <c r="R566" s="4" t="n">
        <f aca="false">H566*P566</f>
        <v>3180.57</v>
      </c>
      <c r="S566" s="4" t="n">
        <f aca="false">O566*M566</f>
        <v>4966.468</v>
      </c>
      <c r="T566" s="4" t="n">
        <f aca="false">R566+S566</f>
        <v>8147.038</v>
      </c>
      <c r="U566" s="4" t="n">
        <f aca="false">T566-K566</f>
        <v>4011.378</v>
      </c>
      <c r="V566" s="4" t="n">
        <f aca="false">R566+S566-U566</f>
        <v>4135.66</v>
      </c>
      <c r="W566" s="5" t="str">
        <f aca="false">IF(ROUND(V566-K566,2)=0,"OK","ERRO")</f>
        <v>OK</v>
      </c>
      <c r="X566" s="5" t="str">
        <f aca="false">VLOOKUP(F566,DIM_SERVICO!$A$2:$D$151,3,FALSE())</f>
        <v>Motor</v>
      </c>
    </row>
    <row r="567" customFormat="false" ht="15" hidden="false" customHeight="false" outlineLevel="0" collapsed="false">
      <c r="A567" s="6" t="n">
        <v>566</v>
      </c>
      <c r="B567" s="6" t="n">
        <v>382</v>
      </c>
      <c r="C567" s="6" t="n">
        <v>1011</v>
      </c>
      <c r="D567" s="6" t="n">
        <v>785</v>
      </c>
      <c r="E567" s="6" t="n">
        <v>5</v>
      </c>
      <c r="F567" s="6" t="n">
        <v>88</v>
      </c>
      <c r="G567" s="6" t="n">
        <v>726</v>
      </c>
      <c r="H567" s="6" t="n">
        <v>1</v>
      </c>
      <c r="I567" s="7" t="n">
        <v>928.46</v>
      </c>
      <c r="J567" s="7" t="n">
        <v>757.58</v>
      </c>
      <c r="K567" s="7" t="n">
        <v>2186.23</v>
      </c>
      <c r="L567" s="7" t="n">
        <v>894.8</v>
      </c>
      <c r="M567" s="6" t="n">
        <v>0.9</v>
      </c>
      <c r="N567" s="6" t="s">
        <v>27</v>
      </c>
      <c r="O567" s="8" t="n">
        <f aca="false">VLOOKUP(F567,DIM_SERVICO!$A$2:$D$151,4,FALSE())</f>
        <v>757.58</v>
      </c>
      <c r="P567" s="8" t="n">
        <f aca="false">VLOOKUP(E567,DIM_PECA!$A$2:$F$501,6,FALSE())</f>
        <v>1543.71</v>
      </c>
      <c r="Q567" s="8" t="n">
        <f aca="false">VLOOKUP(E567,DIM_PECA!$A$2:$F$501,5,FALSE())</f>
        <v>928.46</v>
      </c>
      <c r="R567" s="8" t="n">
        <f aca="false">H567*P567</f>
        <v>1543.71</v>
      </c>
      <c r="S567" s="8" t="n">
        <f aca="false">O567*M567</f>
        <v>681.822</v>
      </c>
      <c r="T567" s="8" t="n">
        <f aca="false">R567+S567</f>
        <v>2225.532</v>
      </c>
      <c r="U567" s="8" t="n">
        <f aca="false">T567-K567</f>
        <v>39.3020000000001</v>
      </c>
      <c r="V567" s="8" t="n">
        <f aca="false">R567+S567-U567</f>
        <v>2186.23</v>
      </c>
      <c r="W567" s="9" t="str">
        <f aca="false">IF(ROUND(V567-K567,2)=0,"OK","ERRO")</f>
        <v>OK</v>
      </c>
      <c r="X567" s="9" t="str">
        <f aca="false">VLOOKUP(F567,DIM_SERVICO!$A$2:$D$151,3,FALSE())</f>
        <v>Motor</v>
      </c>
    </row>
    <row r="568" customFormat="false" ht="15" hidden="false" customHeight="false" outlineLevel="0" collapsed="false">
      <c r="A568" s="2" t="n">
        <v>567</v>
      </c>
      <c r="B568" s="2" t="n">
        <v>524</v>
      </c>
      <c r="C568" s="2" t="n">
        <v>100</v>
      </c>
      <c r="D568" s="2" t="n">
        <v>1092</v>
      </c>
      <c r="E568" s="2" t="n">
        <v>28</v>
      </c>
      <c r="F568" s="2" t="n">
        <v>141</v>
      </c>
      <c r="G568" s="2" t="n">
        <v>447</v>
      </c>
      <c r="H568" s="2" t="n">
        <v>1</v>
      </c>
      <c r="I568" s="3" t="n">
        <v>362.01</v>
      </c>
      <c r="J568" s="3" t="n">
        <v>1203.42</v>
      </c>
      <c r="K568" s="3" t="n">
        <v>1930.93</v>
      </c>
      <c r="L568" s="3" t="n">
        <v>997.12</v>
      </c>
      <c r="M568" s="2" t="n">
        <v>4.6</v>
      </c>
      <c r="N568" s="2" t="s">
        <v>24</v>
      </c>
      <c r="O568" s="4" t="n">
        <f aca="false">VLOOKUP(F568,DIM_SERVICO!$A$2:$D$151,4,FALSE())</f>
        <v>1203.42</v>
      </c>
      <c r="P568" s="4" t="n">
        <f aca="false">VLOOKUP(E568,DIM_PECA!$A$2:$F$501,6,FALSE())</f>
        <v>766.92</v>
      </c>
      <c r="Q568" s="4" t="n">
        <f aca="false">VLOOKUP(E568,DIM_PECA!$A$2:$F$501,5,FALSE())</f>
        <v>362.01</v>
      </c>
      <c r="R568" s="4" t="n">
        <f aca="false">H568*P568</f>
        <v>766.92</v>
      </c>
      <c r="S568" s="4" t="n">
        <f aca="false">O568*M568</f>
        <v>5535.732</v>
      </c>
      <c r="T568" s="4" t="n">
        <f aca="false">R568+S568</f>
        <v>6302.652</v>
      </c>
      <c r="U568" s="4" t="n">
        <f aca="false">T568-K568</f>
        <v>4371.722</v>
      </c>
      <c r="V568" s="4" t="n">
        <f aca="false">R568+S568-U568</f>
        <v>1930.93</v>
      </c>
      <c r="W568" s="5" t="str">
        <f aca="false">IF(ROUND(V568-K568,2)=0,"OK","ERRO")</f>
        <v>OK</v>
      </c>
      <c r="X568" s="5" t="str">
        <f aca="false">VLOOKUP(F568,DIM_SERVICO!$A$2:$D$151,3,FALSE())</f>
        <v>Funilaria</v>
      </c>
    </row>
    <row r="569" customFormat="false" ht="15" hidden="false" customHeight="false" outlineLevel="0" collapsed="false">
      <c r="A569" s="6" t="n">
        <v>568</v>
      </c>
      <c r="B569" s="6" t="n">
        <v>782</v>
      </c>
      <c r="C569" s="6" t="n">
        <v>1417</v>
      </c>
      <c r="D569" s="6" t="n">
        <v>1065</v>
      </c>
      <c r="E569" s="6" t="n">
        <v>390</v>
      </c>
      <c r="F569" s="6" t="n">
        <v>130</v>
      </c>
      <c r="G569" s="6" t="n">
        <v>1699</v>
      </c>
      <c r="H569" s="6" t="n">
        <v>1</v>
      </c>
      <c r="I569" s="7" t="n">
        <v>551.98</v>
      </c>
      <c r="J569" s="7" t="n">
        <v>170.79</v>
      </c>
      <c r="K569" s="7" t="n">
        <v>1026.71</v>
      </c>
      <c r="L569" s="7" t="n">
        <v>381.36</v>
      </c>
      <c r="M569" s="6" t="n">
        <v>10.7</v>
      </c>
      <c r="N569" s="6" t="s">
        <v>24</v>
      </c>
      <c r="O569" s="8" t="n">
        <f aca="false">VLOOKUP(F569,DIM_SERVICO!$A$2:$D$151,4,FALSE())</f>
        <v>170.79</v>
      </c>
      <c r="P569" s="8" t="n">
        <f aca="false">VLOOKUP(E569,DIM_PECA!$A$2:$F$501,6,FALSE())</f>
        <v>855.92</v>
      </c>
      <c r="Q569" s="8" t="n">
        <f aca="false">VLOOKUP(E569,DIM_PECA!$A$2:$F$501,5,FALSE())</f>
        <v>551.98</v>
      </c>
      <c r="R569" s="8" t="n">
        <f aca="false">H569*P569</f>
        <v>855.92</v>
      </c>
      <c r="S569" s="8" t="n">
        <f aca="false">O569*M569</f>
        <v>1827.453</v>
      </c>
      <c r="T569" s="8" t="n">
        <f aca="false">R569+S569</f>
        <v>2683.373</v>
      </c>
      <c r="U569" s="8" t="n">
        <f aca="false">T569-K569</f>
        <v>1656.663</v>
      </c>
      <c r="V569" s="8" t="n">
        <f aca="false">R569+S569-U569</f>
        <v>1026.71</v>
      </c>
      <c r="W569" s="9" t="str">
        <f aca="false">IF(ROUND(V569-K569,2)=0,"OK","ERRO")</f>
        <v>OK</v>
      </c>
      <c r="X569" s="9" t="str">
        <f aca="false">VLOOKUP(F569,DIM_SERVICO!$A$2:$D$151,3,FALSE())</f>
        <v>Pintura</v>
      </c>
    </row>
    <row r="570" customFormat="false" ht="15" hidden="false" customHeight="false" outlineLevel="0" collapsed="false">
      <c r="A570" s="2" t="n">
        <v>569</v>
      </c>
      <c r="B570" s="2" t="n">
        <v>1387</v>
      </c>
      <c r="C570" s="2" t="n">
        <v>605</v>
      </c>
      <c r="D570" s="2" t="n">
        <v>558</v>
      </c>
      <c r="E570" s="2" t="n">
        <v>410</v>
      </c>
      <c r="F570" s="2" t="n">
        <v>20</v>
      </c>
      <c r="G570" s="2" t="n">
        <v>1199</v>
      </c>
      <c r="H570" s="2" t="n">
        <v>3</v>
      </c>
      <c r="I570" s="3" t="n">
        <v>3289.89</v>
      </c>
      <c r="J570" s="3" t="n">
        <v>295.88</v>
      </c>
      <c r="K570" s="3" t="n">
        <v>6384.33</v>
      </c>
      <c r="L570" s="3" t="n">
        <v>2986.89</v>
      </c>
      <c r="M570" s="2" t="n">
        <v>3.5</v>
      </c>
      <c r="N570" s="2" t="s">
        <v>24</v>
      </c>
      <c r="O570" s="4" t="n">
        <f aca="false">VLOOKUP(F570,DIM_SERVICO!$A$2:$D$151,4,FALSE())</f>
        <v>295.88</v>
      </c>
      <c r="P570" s="4" t="n">
        <f aca="false">VLOOKUP(E570,DIM_PECA!$A$2:$F$501,6,FALSE())</f>
        <v>2265.94</v>
      </c>
      <c r="Q570" s="4" t="n">
        <f aca="false">VLOOKUP(E570,DIM_PECA!$A$2:$F$501,5,FALSE())</f>
        <v>1096.63</v>
      </c>
      <c r="R570" s="4" t="n">
        <f aca="false">H570*P570</f>
        <v>6797.82</v>
      </c>
      <c r="S570" s="4" t="n">
        <f aca="false">O570*M570</f>
        <v>1035.58</v>
      </c>
      <c r="T570" s="4" t="n">
        <f aca="false">R570+S570</f>
        <v>7833.4</v>
      </c>
      <c r="U570" s="4" t="n">
        <f aca="false">T570-K570</f>
        <v>1449.07</v>
      </c>
      <c r="V570" s="4" t="n">
        <f aca="false">R570+S570-U570</f>
        <v>6384.33</v>
      </c>
      <c r="W570" s="5" t="str">
        <f aca="false">IF(ROUND(V570-K570,2)=0,"OK","ERRO")</f>
        <v>OK</v>
      </c>
      <c r="X570" s="5" t="str">
        <f aca="false">VLOOKUP(F570,DIM_SERVICO!$A$2:$D$151,3,FALSE())</f>
        <v>Elétrica</v>
      </c>
    </row>
    <row r="571" customFormat="false" ht="15" hidden="false" customHeight="false" outlineLevel="0" collapsed="false">
      <c r="A571" s="6" t="n">
        <v>570</v>
      </c>
      <c r="B571" s="6" t="n">
        <v>462</v>
      </c>
      <c r="C571" s="6" t="n">
        <v>856</v>
      </c>
      <c r="D571" s="6" t="n">
        <v>119</v>
      </c>
      <c r="E571" s="6" t="n">
        <v>201</v>
      </c>
      <c r="F571" s="6" t="n">
        <v>13</v>
      </c>
      <c r="G571" s="6" t="n">
        <v>762</v>
      </c>
      <c r="H571" s="6" t="n">
        <v>1</v>
      </c>
      <c r="I571" s="7" t="n">
        <v>106.45</v>
      </c>
      <c r="J571" s="7" t="n">
        <v>1546.25</v>
      </c>
      <c r="K571" s="7" t="n">
        <v>1593.6</v>
      </c>
      <c r="L571" s="7" t="n">
        <v>890.28</v>
      </c>
      <c r="M571" s="6" t="n">
        <v>9.1</v>
      </c>
      <c r="N571" s="6" t="s">
        <v>27</v>
      </c>
      <c r="O571" s="8" t="n">
        <f aca="false">VLOOKUP(F571,DIM_SERVICO!$A$2:$D$151,4,FALSE())</f>
        <v>1546.25</v>
      </c>
      <c r="P571" s="8" t="n">
        <f aca="false">VLOOKUP(E571,DIM_PECA!$A$2:$F$501,6,FALSE())</f>
        <v>185.92</v>
      </c>
      <c r="Q571" s="8" t="n">
        <f aca="false">VLOOKUP(E571,DIM_PECA!$A$2:$F$501,5,FALSE())</f>
        <v>106.45</v>
      </c>
      <c r="R571" s="8" t="n">
        <f aca="false">H571*P571</f>
        <v>185.92</v>
      </c>
      <c r="S571" s="8" t="n">
        <f aca="false">O571*M571</f>
        <v>14070.875</v>
      </c>
      <c r="T571" s="8" t="n">
        <f aca="false">R571+S571</f>
        <v>14256.795</v>
      </c>
      <c r="U571" s="8" t="n">
        <f aca="false">T571-K571</f>
        <v>12663.195</v>
      </c>
      <c r="V571" s="8" t="n">
        <f aca="false">R571+S571-U571</f>
        <v>1593.6</v>
      </c>
      <c r="W571" s="9" t="str">
        <f aca="false">IF(ROUND(V571-K571,2)=0,"OK","ERRO")</f>
        <v>OK</v>
      </c>
      <c r="X571" s="9" t="str">
        <f aca="false">VLOOKUP(F571,DIM_SERVICO!$A$2:$D$151,3,FALSE())</f>
        <v>Diagnóstico</v>
      </c>
    </row>
    <row r="572" customFormat="false" ht="15" hidden="false" customHeight="false" outlineLevel="0" collapsed="false">
      <c r="A572" s="2" t="n">
        <v>571</v>
      </c>
      <c r="B572" s="2" t="n">
        <v>698</v>
      </c>
      <c r="C572" s="2" t="n">
        <v>1197</v>
      </c>
      <c r="D572" s="2" t="n">
        <v>1093</v>
      </c>
      <c r="E572" s="2" t="n">
        <v>496</v>
      </c>
      <c r="F572" s="2" t="n">
        <v>11</v>
      </c>
      <c r="G572" s="2" t="n">
        <v>902</v>
      </c>
      <c r="H572" s="2" t="n">
        <v>4</v>
      </c>
      <c r="I572" s="3" t="n">
        <v>2688.08</v>
      </c>
      <c r="J572" s="3" t="n">
        <v>2164.78</v>
      </c>
      <c r="K572" s="3" t="n">
        <v>6347.94</v>
      </c>
      <c r="L572" s="3" t="n">
        <v>2650.53</v>
      </c>
      <c r="M572" s="2" t="n">
        <v>7.7</v>
      </c>
      <c r="N572" s="2" t="s">
        <v>26</v>
      </c>
      <c r="O572" s="4" t="n">
        <f aca="false">VLOOKUP(F572,DIM_SERVICO!$A$2:$D$151,4,FALSE())</f>
        <v>2164.78</v>
      </c>
      <c r="P572" s="4" t="n">
        <f aca="false">VLOOKUP(E572,DIM_PECA!$A$2:$F$501,6,FALSE())</f>
        <v>1045.79</v>
      </c>
      <c r="Q572" s="4" t="n">
        <f aca="false">VLOOKUP(E572,DIM_PECA!$A$2:$F$501,5,FALSE())</f>
        <v>672.02</v>
      </c>
      <c r="R572" s="4" t="n">
        <f aca="false">H572*P572</f>
        <v>4183.16</v>
      </c>
      <c r="S572" s="4" t="n">
        <f aca="false">O572*M572</f>
        <v>16668.806</v>
      </c>
      <c r="T572" s="4" t="n">
        <f aca="false">R572+S572</f>
        <v>20851.966</v>
      </c>
      <c r="U572" s="4" t="n">
        <f aca="false">T572-K572</f>
        <v>14504.026</v>
      </c>
      <c r="V572" s="4" t="n">
        <f aca="false">R572+S572-U572</f>
        <v>6347.94</v>
      </c>
      <c r="W572" s="5" t="str">
        <f aca="false">IF(ROUND(V572-K572,2)=0,"OK","ERRO")</f>
        <v>OK</v>
      </c>
      <c r="X572" s="5" t="str">
        <f aca="false">VLOOKUP(F572,DIM_SERVICO!$A$2:$D$151,3,FALSE())</f>
        <v>Freios</v>
      </c>
    </row>
    <row r="573" customFormat="false" ht="15" hidden="false" customHeight="false" outlineLevel="0" collapsed="false">
      <c r="A573" s="6" t="n">
        <v>572</v>
      </c>
      <c r="B573" s="6" t="n">
        <v>248</v>
      </c>
      <c r="C573" s="6" t="n">
        <v>225</v>
      </c>
      <c r="D573" s="6" t="n">
        <v>556</v>
      </c>
      <c r="E573" s="6" t="n">
        <v>313</v>
      </c>
      <c r="F573" s="6" t="n">
        <v>138</v>
      </c>
      <c r="G573" s="6" t="n">
        <v>432</v>
      </c>
      <c r="H573" s="6" t="n">
        <v>4</v>
      </c>
      <c r="I573" s="7" t="n">
        <v>345.32</v>
      </c>
      <c r="J573" s="7" t="n">
        <v>836.68</v>
      </c>
      <c r="K573" s="7" t="n">
        <v>1483.17</v>
      </c>
      <c r="L573" s="7" t="n">
        <v>757.68</v>
      </c>
      <c r="M573" s="6" t="n">
        <v>0.7</v>
      </c>
      <c r="N573" s="6" t="s">
        <v>25</v>
      </c>
      <c r="O573" s="8" t="n">
        <f aca="false">VLOOKUP(F573,DIM_SERVICO!$A$2:$D$151,4,FALSE())</f>
        <v>836.68</v>
      </c>
      <c r="P573" s="8" t="n">
        <f aca="false">VLOOKUP(E573,DIM_PECA!$A$2:$F$501,6,FALSE())</f>
        <v>169.19</v>
      </c>
      <c r="Q573" s="8" t="n">
        <f aca="false">VLOOKUP(E573,DIM_PECA!$A$2:$F$501,5,FALSE())</f>
        <v>86.33</v>
      </c>
      <c r="R573" s="8" t="n">
        <f aca="false">H573*P573</f>
        <v>676.76</v>
      </c>
      <c r="S573" s="8" t="n">
        <f aca="false">O573*M573</f>
        <v>585.676</v>
      </c>
      <c r="T573" s="8" t="n">
        <f aca="false">R573+S573</f>
        <v>1262.436</v>
      </c>
      <c r="U573" s="8" t="n">
        <f aca="false">T573-K573</f>
        <v>-220.734</v>
      </c>
      <c r="V573" s="8" t="n">
        <f aca="false">R573+S573-U573</f>
        <v>1483.17</v>
      </c>
      <c r="W573" s="9" t="str">
        <f aca="false">IF(ROUND(V573-K573,2)=0,"OK","ERRO")</f>
        <v>OK</v>
      </c>
      <c r="X573" s="9" t="str">
        <f aca="false">VLOOKUP(F573,DIM_SERVICO!$A$2:$D$151,3,FALSE())</f>
        <v>Funilaria</v>
      </c>
    </row>
    <row r="574" customFormat="false" ht="15" hidden="false" customHeight="false" outlineLevel="0" collapsed="false">
      <c r="A574" s="2" t="n">
        <v>573</v>
      </c>
      <c r="B574" s="2" t="n">
        <v>766</v>
      </c>
      <c r="C574" s="2" t="n">
        <v>275</v>
      </c>
      <c r="D574" s="2" t="n">
        <v>168</v>
      </c>
      <c r="E574" s="2" t="n">
        <v>231</v>
      </c>
      <c r="F574" s="2" t="n">
        <v>114</v>
      </c>
      <c r="G574" s="2" t="n">
        <v>572</v>
      </c>
      <c r="H574" s="2" t="n">
        <v>1</v>
      </c>
      <c r="I574" s="3" t="n">
        <v>1049.66</v>
      </c>
      <c r="J574" s="3" t="n">
        <v>767.72</v>
      </c>
      <c r="K574" s="3" t="n">
        <v>2496.24</v>
      </c>
      <c r="L574" s="3" t="n">
        <v>1060.14</v>
      </c>
      <c r="M574" s="2" t="n">
        <v>5.5</v>
      </c>
      <c r="N574" s="2" t="s">
        <v>24</v>
      </c>
      <c r="O574" s="4" t="n">
        <f aca="false">VLOOKUP(F574,DIM_SERVICO!$A$2:$D$151,4,FALSE())</f>
        <v>767.72</v>
      </c>
      <c r="P574" s="4" t="n">
        <f aca="false">VLOOKUP(E574,DIM_PECA!$A$2:$F$501,6,FALSE())</f>
        <v>1728.52</v>
      </c>
      <c r="Q574" s="4" t="n">
        <f aca="false">VLOOKUP(E574,DIM_PECA!$A$2:$F$501,5,FALSE())</f>
        <v>1049.66</v>
      </c>
      <c r="R574" s="4" t="n">
        <f aca="false">H574*P574</f>
        <v>1728.52</v>
      </c>
      <c r="S574" s="4" t="n">
        <f aca="false">O574*M574</f>
        <v>4222.46</v>
      </c>
      <c r="T574" s="4" t="n">
        <f aca="false">R574+S574</f>
        <v>5950.98</v>
      </c>
      <c r="U574" s="4" t="n">
        <f aca="false">T574-K574</f>
        <v>3454.74</v>
      </c>
      <c r="V574" s="4" t="n">
        <f aca="false">R574+S574-U574</f>
        <v>2496.24</v>
      </c>
      <c r="W574" s="5" t="str">
        <f aca="false">IF(ROUND(V574-K574,2)=0,"OK","ERRO")</f>
        <v>OK</v>
      </c>
      <c r="X574" s="5" t="str">
        <f aca="false">VLOOKUP(F574,DIM_SERVICO!$A$2:$D$151,3,FALSE())</f>
        <v>Elétrica</v>
      </c>
    </row>
    <row r="575" customFormat="false" ht="15" hidden="false" customHeight="false" outlineLevel="0" collapsed="false">
      <c r="A575" s="6" t="n">
        <v>574</v>
      </c>
      <c r="B575" s="6" t="n">
        <v>341</v>
      </c>
      <c r="C575" s="6" t="n">
        <v>761</v>
      </c>
      <c r="D575" s="6" t="n">
        <v>47</v>
      </c>
      <c r="E575" s="6" t="n">
        <v>497</v>
      </c>
      <c r="F575" s="6" t="n">
        <v>11</v>
      </c>
      <c r="G575" s="6" t="n">
        <v>572</v>
      </c>
      <c r="H575" s="6" t="n">
        <v>2</v>
      </c>
      <c r="I575" s="7" t="n">
        <v>64.98</v>
      </c>
      <c r="J575" s="7" t="n">
        <v>2164.78</v>
      </c>
      <c r="K575" s="7" t="n">
        <v>2051.53</v>
      </c>
      <c r="L575" s="7" t="n">
        <v>1015.12</v>
      </c>
      <c r="M575" s="6" t="n">
        <v>10.5</v>
      </c>
      <c r="N575" s="6" t="s">
        <v>27</v>
      </c>
      <c r="O575" s="8" t="n">
        <f aca="false">VLOOKUP(F575,DIM_SERVICO!$A$2:$D$151,4,FALSE())</f>
        <v>2164.78</v>
      </c>
      <c r="P575" s="8" t="n">
        <f aca="false">VLOOKUP(E575,DIM_PECA!$A$2:$F$501,6,FALSE())</f>
        <v>57.35</v>
      </c>
      <c r="Q575" s="8" t="n">
        <f aca="false">VLOOKUP(E575,DIM_PECA!$A$2:$F$501,5,FALSE())</f>
        <v>32.49</v>
      </c>
      <c r="R575" s="8" t="n">
        <f aca="false">H575*P575</f>
        <v>114.7</v>
      </c>
      <c r="S575" s="8" t="n">
        <f aca="false">O575*M575</f>
        <v>22730.19</v>
      </c>
      <c r="T575" s="8" t="n">
        <f aca="false">R575+S575</f>
        <v>22844.89</v>
      </c>
      <c r="U575" s="8" t="n">
        <f aca="false">T575-K575</f>
        <v>20793.36</v>
      </c>
      <c r="V575" s="8" t="n">
        <f aca="false">R575+S575-U575</f>
        <v>2051.53</v>
      </c>
      <c r="W575" s="9" t="str">
        <f aca="false">IF(ROUND(V575-K575,2)=0,"OK","ERRO")</f>
        <v>OK</v>
      </c>
      <c r="X575" s="9" t="str">
        <f aca="false">VLOOKUP(F575,DIM_SERVICO!$A$2:$D$151,3,FALSE())</f>
        <v>Freios</v>
      </c>
    </row>
    <row r="576" customFormat="false" ht="15" hidden="false" customHeight="false" outlineLevel="0" collapsed="false">
      <c r="A576" s="2" t="n">
        <v>575</v>
      </c>
      <c r="B576" s="2" t="n">
        <v>91</v>
      </c>
      <c r="C576" s="2" t="n">
        <v>216</v>
      </c>
      <c r="D576" s="2" t="n">
        <v>598</v>
      </c>
      <c r="E576" s="2" t="n">
        <v>420</v>
      </c>
      <c r="F576" s="2" t="n">
        <v>115</v>
      </c>
      <c r="G576" s="2" t="n">
        <v>726</v>
      </c>
      <c r="H576" s="2" t="n">
        <v>2</v>
      </c>
      <c r="I576" s="3" t="n">
        <v>1375.02</v>
      </c>
      <c r="J576" s="3" t="n">
        <v>1374.43</v>
      </c>
      <c r="K576" s="3" t="n">
        <v>4015.15</v>
      </c>
      <c r="L576" s="3" t="n">
        <v>1988.43</v>
      </c>
      <c r="M576" s="2" t="n">
        <v>8.7</v>
      </c>
      <c r="N576" s="2" t="s">
        <v>24</v>
      </c>
      <c r="O576" s="4" t="n">
        <f aca="false">VLOOKUP(F576,DIM_SERVICO!$A$2:$D$151,4,FALSE())</f>
        <v>1374.43</v>
      </c>
      <c r="P576" s="4" t="n">
        <f aca="false">VLOOKUP(E576,DIM_PECA!$A$2:$F$501,6,FALSE())</f>
        <v>1320.36</v>
      </c>
      <c r="Q576" s="4" t="n">
        <f aca="false">VLOOKUP(E576,DIM_PECA!$A$2:$F$501,5,FALSE())</f>
        <v>687.51</v>
      </c>
      <c r="R576" s="4" t="n">
        <f aca="false">H576*P576</f>
        <v>2640.72</v>
      </c>
      <c r="S576" s="4" t="n">
        <f aca="false">O576*M576</f>
        <v>11957.541</v>
      </c>
      <c r="T576" s="4" t="n">
        <f aca="false">R576+S576</f>
        <v>14598.261</v>
      </c>
      <c r="U576" s="4" t="n">
        <f aca="false">T576-K576</f>
        <v>10583.111</v>
      </c>
      <c r="V576" s="4" t="n">
        <f aca="false">R576+S576-U576</f>
        <v>4015.15</v>
      </c>
      <c r="W576" s="5" t="str">
        <f aca="false">IF(ROUND(V576-K576,2)=0,"OK","ERRO")</f>
        <v>OK</v>
      </c>
      <c r="X576" s="5" t="str">
        <f aca="false">VLOOKUP(F576,DIM_SERVICO!$A$2:$D$151,3,FALSE())</f>
        <v>Suspensão</v>
      </c>
    </row>
    <row r="577" customFormat="false" ht="15" hidden="false" customHeight="false" outlineLevel="0" collapsed="false">
      <c r="A577" s="6" t="n">
        <v>576</v>
      </c>
      <c r="B577" s="6" t="n">
        <v>970</v>
      </c>
      <c r="C577" s="6" t="n">
        <v>508</v>
      </c>
      <c r="D577" s="6" t="n">
        <v>1000</v>
      </c>
      <c r="E577" s="6" t="n">
        <v>202</v>
      </c>
      <c r="F577" s="6" t="n">
        <v>10</v>
      </c>
      <c r="G577" s="6" t="n">
        <v>406</v>
      </c>
      <c r="H577" s="6" t="n">
        <v>1</v>
      </c>
      <c r="I577" s="7" t="n">
        <v>693.1</v>
      </c>
      <c r="J577" s="7" t="n">
        <v>338.82</v>
      </c>
      <c r="K577" s="7" t="n">
        <v>1658.7</v>
      </c>
      <c r="L577" s="7" t="n">
        <v>818.25</v>
      </c>
      <c r="M577" s="6" t="n">
        <v>6.9</v>
      </c>
      <c r="N577" s="6" t="s">
        <v>24</v>
      </c>
      <c r="O577" s="8" t="n">
        <f aca="false">VLOOKUP(F577,DIM_SERVICO!$A$2:$D$151,4,FALSE())</f>
        <v>338.82</v>
      </c>
      <c r="P577" s="8" t="n">
        <f aca="false">VLOOKUP(E577,DIM_PECA!$A$2:$F$501,6,FALSE())</f>
        <v>1319.88</v>
      </c>
      <c r="Q577" s="8" t="n">
        <f aca="false">VLOOKUP(E577,DIM_PECA!$A$2:$F$501,5,FALSE())</f>
        <v>693.1</v>
      </c>
      <c r="R577" s="8" t="n">
        <f aca="false">H577*P577</f>
        <v>1319.88</v>
      </c>
      <c r="S577" s="8" t="n">
        <f aca="false">O577*M577</f>
        <v>2337.858</v>
      </c>
      <c r="T577" s="8" t="n">
        <f aca="false">R577+S577</f>
        <v>3657.738</v>
      </c>
      <c r="U577" s="8" t="n">
        <f aca="false">T577-K577</f>
        <v>1999.038</v>
      </c>
      <c r="V577" s="8" t="n">
        <f aca="false">R577+S577-U577</f>
        <v>1658.7</v>
      </c>
      <c r="W577" s="9" t="str">
        <f aca="false">IF(ROUND(V577-K577,2)=0,"OK","ERRO")</f>
        <v>OK</v>
      </c>
      <c r="X577" s="9" t="str">
        <f aca="false">VLOOKUP(F577,DIM_SERVICO!$A$2:$D$151,3,FALSE())</f>
        <v>Diagnóstico</v>
      </c>
    </row>
    <row r="578" customFormat="false" ht="15" hidden="false" customHeight="false" outlineLevel="0" collapsed="false">
      <c r="A578" s="2" t="n">
        <v>577</v>
      </c>
      <c r="B578" s="2" t="n">
        <v>1363</v>
      </c>
      <c r="C578" s="2" t="n">
        <v>906</v>
      </c>
      <c r="D578" s="2" t="n">
        <v>664</v>
      </c>
      <c r="E578" s="2" t="n">
        <v>452</v>
      </c>
      <c r="F578" s="2" t="n">
        <v>102</v>
      </c>
      <c r="G578" s="2" t="n">
        <v>967</v>
      </c>
      <c r="H578" s="2" t="n">
        <v>3</v>
      </c>
      <c r="I578" s="3" t="n">
        <v>3424.68</v>
      </c>
      <c r="J578" s="3" t="n">
        <v>352.9</v>
      </c>
      <c r="K578" s="3" t="n">
        <v>6029.22</v>
      </c>
      <c r="L578" s="3" t="n">
        <v>2466.67</v>
      </c>
      <c r="M578" s="2" t="n">
        <v>4.2</v>
      </c>
      <c r="N578" s="2" t="s">
        <v>26</v>
      </c>
      <c r="O578" s="4" t="n">
        <f aca="false">VLOOKUP(F578,DIM_SERVICO!$A$2:$D$151,4,FALSE())</f>
        <v>352.9</v>
      </c>
      <c r="P578" s="4" t="n">
        <f aca="false">VLOOKUP(E578,DIM_PECA!$A$2:$F$501,6,FALSE())</f>
        <v>2115.41</v>
      </c>
      <c r="Q578" s="4" t="n">
        <f aca="false">VLOOKUP(E578,DIM_PECA!$A$2:$F$501,5,FALSE())</f>
        <v>1141.56</v>
      </c>
      <c r="R578" s="4" t="n">
        <f aca="false">H578*P578</f>
        <v>6346.23</v>
      </c>
      <c r="S578" s="4" t="n">
        <f aca="false">O578*M578</f>
        <v>1482.18</v>
      </c>
      <c r="T578" s="4" t="n">
        <f aca="false">R578+S578</f>
        <v>7828.41</v>
      </c>
      <c r="U578" s="4" t="n">
        <f aca="false">T578-K578</f>
        <v>1799.19</v>
      </c>
      <c r="V578" s="4" t="n">
        <f aca="false">R578+S578-U578</f>
        <v>6029.22</v>
      </c>
      <c r="W578" s="5" t="str">
        <f aca="false">IF(ROUND(V578-K578,2)=0,"OK","ERRO")</f>
        <v>OK</v>
      </c>
      <c r="X578" s="5" t="str">
        <f aca="false">VLOOKUP(F578,DIM_SERVICO!$A$2:$D$151,3,FALSE())</f>
        <v>Motor</v>
      </c>
    </row>
    <row r="579" customFormat="false" ht="15" hidden="false" customHeight="false" outlineLevel="0" collapsed="false">
      <c r="A579" s="6" t="n">
        <v>578</v>
      </c>
      <c r="B579" s="6" t="n">
        <v>863</v>
      </c>
      <c r="C579" s="6" t="n">
        <v>154</v>
      </c>
      <c r="D579" s="6" t="n">
        <v>569</v>
      </c>
      <c r="E579" s="6" t="n">
        <v>128</v>
      </c>
      <c r="F579" s="6" t="n">
        <v>67</v>
      </c>
      <c r="G579" s="6" t="n">
        <v>1355</v>
      </c>
      <c r="H579" s="6" t="n">
        <v>4</v>
      </c>
      <c r="I579" s="7" t="n">
        <v>618.12</v>
      </c>
      <c r="J579" s="7" t="n">
        <v>1283.08</v>
      </c>
      <c r="K579" s="7" t="n">
        <v>2609.6</v>
      </c>
      <c r="L579" s="7" t="n">
        <v>1490.58</v>
      </c>
      <c r="M579" s="6" t="n">
        <v>6.2</v>
      </c>
      <c r="N579" s="6" t="s">
        <v>24</v>
      </c>
      <c r="O579" s="8" t="n">
        <f aca="false">VLOOKUP(F579,DIM_SERVICO!$A$2:$D$151,4,FALSE())</f>
        <v>1283.08</v>
      </c>
      <c r="P579" s="8" t="n">
        <f aca="false">VLOOKUP(E579,DIM_PECA!$A$2:$F$501,6,FALSE())</f>
        <v>331.63</v>
      </c>
      <c r="Q579" s="8" t="n">
        <f aca="false">VLOOKUP(E579,DIM_PECA!$A$2:$F$501,5,FALSE())</f>
        <v>154.53</v>
      </c>
      <c r="R579" s="8" t="n">
        <f aca="false">H579*P579</f>
        <v>1326.52</v>
      </c>
      <c r="S579" s="8" t="n">
        <f aca="false">O579*M579</f>
        <v>7955.096</v>
      </c>
      <c r="T579" s="8" t="n">
        <f aca="false">R579+S579</f>
        <v>9281.616</v>
      </c>
      <c r="U579" s="8" t="n">
        <f aca="false">T579-K579</f>
        <v>6672.016</v>
      </c>
      <c r="V579" s="8" t="n">
        <f aca="false">R579+S579-U579</f>
        <v>2609.6</v>
      </c>
      <c r="W579" s="9" t="str">
        <f aca="false">IF(ROUND(V579-K579,2)=0,"OK","ERRO")</f>
        <v>OK</v>
      </c>
      <c r="X579" s="9" t="str">
        <f aca="false">VLOOKUP(F579,DIM_SERVICO!$A$2:$D$151,3,FALSE())</f>
        <v>Elétrica</v>
      </c>
    </row>
    <row r="580" customFormat="false" ht="15" hidden="false" customHeight="false" outlineLevel="0" collapsed="false">
      <c r="A580" s="2" t="n">
        <v>579</v>
      </c>
      <c r="B580" s="2" t="n">
        <v>359</v>
      </c>
      <c r="C580" s="2" t="n">
        <v>1062</v>
      </c>
      <c r="D580" s="2" t="n">
        <v>191</v>
      </c>
      <c r="E580" s="2" t="n">
        <v>88</v>
      </c>
      <c r="F580" s="2" t="n">
        <v>15</v>
      </c>
      <c r="G580" s="2" t="n">
        <v>939</v>
      </c>
      <c r="H580" s="2" t="n">
        <v>1</v>
      </c>
      <c r="I580" s="3" t="n">
        <v>189.03</v>
      </c>
      <c r="J580" s="3" t="n">
        <v>1426.42</v>
      </c>
      <c r="K580" s="3" t="n">
        <v>1635.71</v>
      </c>
      <c r="L580" s="3" t="n">
        <v>711.66</v>
      </c>
      <c r="M580" s="2" t="n">
        <v>2.9</v>
      </c>
      <c r="N580" s="2" t="s">
        <v>24</v>
      </c>
      <c r="O580" s="4" t="n">
        <f aca="false">VLOOKUP(F580,DIM_SERVICO!$A$2:$D$151,4,FALSE())</f>
        <v>1426.42</v>
      </c>
      <c r="P580" s="4" t="n">
        <f aca="false">VLOOKUP(E580,DIM_PECA!$A$2:$F$501,6,FALSE())</f>
        <v>391.04</v>
      </c>
      <c r="Q580" s="4" t="n">
        <f aca="false">VLOOKUP(E580,DIM_PECA!$A$2:$F$501,5,FALSE())</f>
        <v>189.03</v>
      </c>
      <c r="R580" s="4" t="n">
        <f aca="false">H580*P580</f>
        <v>391.04</v>
      </c>
      <c r="S580" s="4" t="n">
        <f aca="false">O580*M580</f>
        <v>4136.618</v>
      </c>
      <c r="T580" s="4" t="n">
        <f aca="false">R580+S580</f>
        <v>4527.658</v>
      </c>
      <c r="U580" s="4" t="n">
        <f aca="false">T580-K580</f>
        <v>2891.948</v>
      </c>
      <c r="V580" s="4" t="n">
        <f aca="false">R580+S580-U580</f>
        <v>1635.71</v>
      </c>
      <c r="W580" s="5" t="str">
        <f aca="false">IF(ROUND(V580-K580,2)=0,"OK","ERRO")</f>
        <v>OK</v>
      </c>
      <c r="X580" s="5" t="str">
        <f aca="false">VLOOKUP(F580,DIM_SERVICO!$A$2:$D$151,3,FALSE())</f>
        <v>Pintura</v>
      </c>
    </row>
    <row r="581" customFormat="false" ht="15" hidden="false" customHeight="false" outlineLevel="0" collapsed="false">
      <c r="A581" s="6" t="n">
        <v>580</v>
      </c>
      <c r="B581" s="6" t="n">
        <v>384</v>
      </c>
      <c r="C581" s="6" t="n">
        <v>1106</v>
      </c>
      <c r="D581" s="6" t="n">
        <v>155</v>
      </c>
      <c r="E581" s="6" t="n">
        <v>439</v>
      </c>
      <c r="F581" s="6" t="n">
        <v>1</v>
      </c>
      <c r="G581" s="6" t="n">
        <v>237</v>
      </c>
      <c r="H581" s="6" t="n">
        <v>1</v>
      </c>
      <c r="I581" s="7" t="n">
        <v>569.02</v>
      </c>
      <c r="J581" s="7" t="n">
        <v>412.84</v>
      </c>
      <c r="K581" s="7" t="n">
        <v>1379.86</v>
      </c>
      <c r="L581" s="7" t="n">
        <v>614</v>
      </c>
      <c r="M581" s="6" t="n">
        <v>10.5</v>
      </c>
      <c r="N581" s="6" t="s">
        <v>26</v>
      </c>
      <c r="O581" s="8" t="n">
        <f aca="false">VLOOKUP(F581,DIM_SERVICO!$A$2:$D$151,4,FALSE())</f>
        <v>412.84</v>
      </c>
      <c r="P581" s="8" t="n">
        <f aca="false">VLOOKUP(E581,DIM_PECA!$A$2:$F$501,6,FALSE())</f>
        <v>967.02</v>
      </c>
      <c r="Q581" s="8" t="n">
        <f aca="false">VLOOKUP(E581,DIM_PECA!$A$2:$F$501,5,FALSE())</f>
        <v>569.02</v>
      </c>
      <c r="R581" s="8" t="n">
        <f aca="false">H581*P581</f>
        <v>967.02</v>
      </c>
      <c r="S581" s="8" t="n">
        <f aca="false">O581*M581</f>
        <v>4334.82</v>
      </c>
      <c r="T581" s="8" t="n">
        <f aca="false">R581+S581</f>
        <v>5301.84</v>
      </c>
      <c r="U581" s="8" t="n">
        <f aca="false">T581-K581</f>
        <v>3921.98</v>
      </c>
      <c r="V581" s="8" t="n">
        <f aca="false">R581+S581-U581</f>
        <v>1379.86</v>
      </c>
      <c r="W581" s="9" t="str">
        <f aca="false">IF(ROUND(V581-K581,2)=0,"OK","ERRO")</f>
        <v>OK</v>
      </c>
      <c r="X581" s="9" t="str">
        <f aca="false">VLOOKUP(F581,DIM_SERVICO!$A$2:$D$151,3,FALSE())</f>
        <v>Elétrica</v>
      </c>
    </row>
    <row r="582" customFormat="false" ht="15" hidden="false" customHeight="false" outlineLevel="0" collapsed="false">
      <c r="A582" s="2" t="n">
        <v>581</v>
      </c>
      <c r="B582" s="2" t="n">
        <v>654</v>
      </c>
      <c r="C582" s="2" t="n">
        <v>1030</v>
      </c>
      <c r="D582" s="2" t="n">
        <v>277</v>
      </c>
      <c r="E582" s="2" t="n">
        <v>434</v>
      </c>
      <c r="F582" s="2" t="n">
        <v>62</v>
      </c>
      <c r="G582" s="2" t="n">
        <v>527</v>
      </c>
      <c r="H582" s="2" t="n">
        <v>1</v>
      </c>
      <c r="I582" s="3" t="n">
        <v>1089.21</v>
      </c>
      <c r="J582" s="3" t="n">
        <v>709.8</v>
      </c>
      <c r="K582" s="3" t="n">
        <v>1966.86</v>
      </c>
      <c r="L582" s="3" t="n">
        <v>520.13</v>
      </c>
      <c r="M582" s="2" t="n">
        <v>7.4</v>
      </c>
      <c r="N582" s="2" t="s">
        <v>24</v>
      </c>
      <c r="O582" s="4" t="n">
        <f aca="false">VLOOKUP(F582,DIM_SERVICO!$A$2:$D$151,4,FALSE())</f>
        <v>709.8</v>
      </c>
      <c r="P582" s="4" t="n">
        <f aca="false">VLOOKUP(E582,DIM_PECA!$A$2:$F$501,6,FALSE())</f>
        <v>1475.6</v>
      </c>
      <c r="Q582" s="4" t="n">
        <f aca="false">VLOOKUP(E582,DIM_PECA!$A$2:$F$501,5,FALSE())</f>
        <v>1089.21</v>
      </c>
      <c r="R582" s="4" t="n">
        <f aca="false">H582*P582</f>
        <v>1475.6</v>
      </c>
      <c r="S582" s="4" t="n">
        <f aca="false">O582*M582</f>
        <v>5252.52</v>
      </c>
      <c r="T582" s="4" t="n">
        <f aca="false">R582+S582</f>
        <v>6728.12</v>
      </c>
      <c r="U582" s="4" t="n">
        <f aca="false">T582-K582</f>
        <v>4761.26</v>
      </c>
      <c r="V582" s="4" t="n">
        <f aca="false">R582+S582-U582</f>
        <v>1966.86</v>
      </c>
      <c r="W582" s="5" t="str">
        <f aca="false">IF(ROUND(V582-K582,2)=0,"OK","ERRO")</f>
        <v>OK</v>
      </c>
      <c r="X582" s="5" t="str">
        <f aca="false">VLOOKUP(F582,DIM_SERVICO!$A$2:$D$151,3,FALSE())</f>
        <v>Pintura</v>
      </c>
    </row>
    <row r="583" customFormat="false" ht="15" hidden="false" customHeight="false" outlineLevel="0" collapsed="false">
      <c r="A583" s="6" t="n">
        <v>582</v>
      </c>
      <c r="B583" s="6" t="n">
        <v>1114</v>
      </c>
      <c r="C583" s="6" t="n">
        <v>1259</v>
      </c>
      <c r="D583" s="6" t="n">
        <v>51</v>
      </c>
      <c r="E583" s="6" t="n">
        <v>296</v>
      </c>
      <c r="F583" s="6" t="n">
        <v>119</v>
      </c>
      <c r="G583" s="6" t="n">
        <v>712</v>
      </c>
      <c r="H583" s="6" t="n">
        <v>4</v>
      </c>
      <c r="I583" s="7" t="n">
        <v>1744.76</v>
      </c>
      <c r="J583" s="7" t="n">
        <v>92.23</v>
      </c>
      <c r="K583" s="7" t="n">
        <v>2866.2</v>
      </c>
      <c r="L583" s="7" t="n">
        <v>1079.56</v>
      </c>
      <c r="M583" s="6" t="n">
        <v>9.7</v>
      </c>
      <c r="N583" s="6" t="s">
        <v>26</v>
      </c>
      <c r="O583" s="8" t="n">
        <f aca="false">VLOOKUP(F583,DIM_SERVICO!$A$2:$D$151,4,FALSE())</f>
        <v>92.23</v>
      </c>
      <c r="P583" s="8" t="n">
        <f aca="false">VLOOKUP(E583,DIM_PECA!$A$2:$F$501,6,FALSE())</f>
        <v>755.8</v>
      </c>
      <c r="Q583" s="8" t="n">
        <f aca="false">VLOOKUP(E583,DIM_PECA!$A$2:$F$501,5,FALSE())</f>
        <v>436.19</v>
      </c>
      <c r="R583" s="8" t="n">
        <f aca="false">H583*P583</f>
        <v>3023.2</v>
      </c>
      <c r="S583" s="8" t="n">
        <f aca="false">O583*M583</f>
        <v>894.631</v>
      </c>
      <c r="T583" s="8" t="n">
        <f aca="false">R583+S583</f>
        <v>3917.831</v>
      </c>
      <c r="U583" s="8" t="n">
        <f aca="false">T583-K583</f>
        <v>1051.631</v>
      </c>
      <c r="V583" s="8" t="n">
        <f aca="false">R583+S583-U583</f>
        <v>2866.2</v>
      </c>
      <c r="W583" s="9" t="str">
        <f aca="false">IF(ROUND(V583-K583,2)=0,"OK","ERRO")</f>
        <v>OK</v>
      </c>
      <c r="X583" s="9" t="str">
        <f aca="false">VLOOKUP(F583,DIM_SERVICO!$A$2:$D$151,3,FALSE())</f>
        <v>Motor</v>
      </c>
    </row>
    <row r="584" customFormat="false" ht="15" hidden="false" customHeight="false" outlineLevel="0" collapsed="false">
      <c r="A584" s="2" t="n">
        <v>583</v>
      </c>
      <c r="B584" s="2" t="n">
        <v>697</v>
      </c>
      <c r="C584" s="2" t="n">
        <v>234</v>
      </c>
      <c r="D584" s="2" t="n">
        <v>736</v>
      </c>
      <c r="E584" s="2" t="n">
        <v>205</v>
      </c>
      <c r="F584" s="2" t="n">
        <v>22</v>
      </c>
      <c r="G584" s="2" t="n">
        <v>1153</v>
      </c>
      <c r="H584" s="2" t="n">
        <v>1</v>
      </c>
      <c r="I584" s="3" t="n">
        <v>168.56</v>
      </c>
      <c r="J584" s="3" t="n">
        <v>1591.95</v>
      </c>
      <c r="K584" s="3" t="n">
        <v>1850.06</v>
      </c>
      <c r="L584" s="3" t="n">
        <v>844.12</v>
      </c>
      <c r="M584" s="2" t="n">
        <v>4.1</v>
      </c>
      <c r="N584" s="2" t="s">
        <v>24</v>
      </c>
      <c r="O584" s="4" t="n">
        <f aca="false">VLOOKUP(F584,DIM_SERVICO!$A$2:$D$151,4,FALSE())</f>
        <v>1591.95</v>
      </c>
      <c r="P584" s="4" t="n">
        <f aca="false">VLOOKUP(E584,DIM_PECA!$A$2:$F$501,6,FALSE())</f>
        <v>295.87</v>
      </c>
      <c r="Q584" s="4" t="n">
        <f aca="false">VLOOKUP(E584,DIM_PECA!$A$2:$F$501,5,FALSE())</f>
        <v>168.56</v>
      </c>
      <c r="R584" s="4" t="n">
        <f aca="false">H584*P584</f>
        <v>295.87</v>
      </c>
      <c r="S584" s="4" t="n">
        <f aca="false">O584*M584</f>
        <v>6526.995</v>
      </c>
      <c r="T584" s="4" t="n">
        <f aca="false">R584+S584</f>
        <v>6822.865</v>
      </c>
      <c r="U584" s="4" t="n">
        <f aca="false">T584-K584</f>
        <v>4972.805</v>
      </c>
      <c r="V584" s="4" t="n">
        <f aca="false">R584+S584-U584</f>
        <v>1850.06</v>
      </c>
      <c r="W584" s="5" t="str">
        <f aca="false">IF(ROUND(V584-K584,2)=0,"OK","ERRO")</f>
        <v>OK</v>
      </c>
      <c r="X584" s="5" t="str">
        <f aca="false">VLOOKUP(F584,DIM_SERVICO!$A$2:$D$151,3,FALSE())</f>
        <v>Motor</v>
      </c>
    </row>
    <row r="585" customFormat="false" ht="15" hidden="false" customHeight="false" outlineLevel="0" collapsed="false">
      <c r="A585" s="6" t="n">
        <v>584</v>
      </c>
      <c r="B585" s="6" t="n">
        <v>1043</v>
      </c>
      <c r="C585" s="6" t="n">
        <v>1228</v>
      </c>
      <c r="D585" s="6" t="n">
        <v>87</v>
      </c>
      <c r="E585" s="6" t="n">
        <v>144</v>
      </c>
      <c r="F585" s="6" t="n">
        <v>58</v>
      </c>
      <c r="G585" s="6" t="n">
        <v>1606</v>
      </c>
      <c r="H585" s="6" t="n">
        <v>3</v>
      </c>
      <c r="I585" s="7" t="n">
        <v>224.22</v>
      </c>
      <c r="J585" s="7" t="n">
        <v>1803.6</v>
      </c>
      <c r="K585" s="7" t="n">
        <v>2088.49</v>
      </c>
      <c r="L585" s="7" t="n">
        <v>990.82</v>
      </c>
      <c r="M585" s="6" t="n">
        <v>8.8</v>
      </c>
      <c r="N585" s="6" t="s">
        <v>24</v>
      </c>
      <c r="O585" s="8" t="n">
        <f aca="false">VLOOKUP(F585,DIM_SERVICO!$A$2:$D$151,4,FALSE())</f>
        <v>1803.6</v>
      </c>
      <c r="P585" s="8" t="n">
        <f aca="false">VLOOKUP(E585,DIM_PECA!$A$2:$F$501,6,FALSE())</f>
        <v>155.5</v>
      </c>
      <c r="Q585" s="8" t="n">
        <f aca="false">VLOOKUP(E585,DIM_PECA!$A$2:$F$501,5,FALSE())</f>
        <v>74.74</v>
      </c>
      <c r="R585" s="8" t="n">
        <f aca="false">H585*P585</f>
        <v>466.5</v>
      </c>
      <c r="S585" s="8" t="n">
        <f aca="false">O585*M585</f>
        <v>15871.68</v>
      </c>
      <c r="T585" s="8" t="n">
        <f aca="false">R585+S585</f>
        <v>16338.18</v>
      </c>
      <c r="U585" s="8" t="n">
        <f aca="false">T585-K585</f>
        <v>14249.69</v>
      </c>
      <c r="V585" s="8" t="n">
        <f aca="false">R585+S585-U585</f>
        <v>2088.49</v>
      </c>
      <c r="W585" s="9" t="str">
        <f aca="false">IF(ROUND(V585-K585,2)=0,"OK","ERRO")</f>
        <v>OK</v>
      </c>
      <c r="X585" s="9" t="str">
        <f aca="false">VLOOKUP(F585,DIM_SERVICO!$A$2:$D$151,3,FALSE())</f>
        <v>Freios</v>
      </c>
    </row>
    <row r="586" customFormat="false" ht="15" hidden="false" customHeight="false" outlineLevel="0" collapsed="false">
      <c r="A586" s="2" t="n">
        <v>585</v>
      </c>
      <c r="B586" s="2" t="n">
        <v>19</v>
      </c>
      <c r="C586" s="2" t="n">
        <v>890</v>
      </c>
      <c r="D586" s="2" t="n">
        <v>1159</v>
      </c>
      <c r="E586" s="2" t="n">
        <v>73</v>
      </c>
      <c r="F586" s="2" t="n">
        <v>33</v>
      </c>
      <c r="G586" s="2" t="n">
        <v>1413</v>
      </c>
      <c r="H586" s="2" t="n">
        <v>2</v>
      </c>
      <c r="I586" s="3" t="n">
        <v>781.74</v>
      </c>
      <c r="J586" s="3" t="n">
        <v>538.49</v>
      </c>
      <c r="K586" s="3" t="n">
        <v>2119.24</v>
      </c>
      <c r="L586" s="3" t="n">
        <v>1074.74</v>
      </c>
      <c r="M586" s="2" t="n">
        <v>2</v>
      </c>
      <c r="N586" s="2" t="s">
        <v>24</v>
      </c>
      <c r="O586" s="4" t="n">
        <f aca="false">VLOOKUP(F586,DIM_SERVICO!$A$2:$D$151,4,FALSE())</f>
        <v>538.49</v>
      </c>
      <c r="P586" s="4" t="n">
        <f aca="false">VLOOKUP(E586,DIM_PECA!$A$2:$F$501,6,FALSE())</f>
        <v>812</v>
      </c>
      <c r="Q586" s="4" t="n">
        <f aca="false">VLOOKUP(E586,DIM_PECA!$A$2:$F$501,5,FALSE())</f>
        <v>390.87</v>
      </c>
      <c r="R586" s="4" t="n">
        <f aca="false">H586*P586</f>
        <v>1624</v>
      </c>
      <c r="S586" s="4" t="n">
        <f aca="false">O586*M586</f>
        <v>1076.98</v>
      </c>
      <c r="T586" s="4" t="n">
        <f aca="false">R586+S586</f>
        <v>2700.98</v>
      </c>
      <c r="U586" s="4" t="n">
        <f aca="false">T586-K586</f>
        <v>581.74</v>
      </c>
      <c r="V586" s="4" t="n">
        <f aca="false">R586+S586-U586</f>
        <v>2119.24</v>
      </c>
      <c r="W586" s="5" t="str">
        <f aca="false">IF(ROUND(V586-K586,2)=0,"OK","ERRO")</f>
        <v>OK</v>
      </c>
      <c r="X586" s="5" t="str">
        <f aca="false">VLOOKUP(F586,DIM_SERVICO!$A$2:$D$151,3,FALSE())</f>
        <v>Suspensão</v>
      </c>
    </row>
    <row r="587" customFormat="false" ht="15" hidden="false" customHeight="false" outlineLevel="0" collapsed="false">
      <c r="A587" s="6" t="n">
        <v>586</v>
      </c>
      <c r="B587" s="6" t="n">
        <v>576</v>
      </c>
      <c r="C587" s="6" t="n">
        <v>215</v>
      </c>
      <c r="D587" s="6" t="n">
        <v>43</v>
      </c>
      <c r="E587" s="6" t="n">
        <v>175</v>
      </c>
      <c r="F587" s="6" t="n">
        <v>69</v>
      </c>
      <c r="G587" s="6" t="n">
        <v>1599</v>
      </c>
      <c r="H587" s="6" t="n">
        <v>1</v>
      </c>
      <c r="I587" s="7" t="n">
        <v>18.69</v>
      </c>
      <c r="J587" s="7" t="n">
        <v>905.47</v>
      </c>
      <c r="K587" s="7" t="n">
        <v>937.76</v>
      </c>
      <c r="L587" s="7" t="n">
        <v>471.01</v>
      </c>
      <c r="M587" s="6" t="n">
        <v>9.1</v>
      </c>
      <c r="N587" s="6" t="s">
        <v>24</v>
      </c>
      <c r="O587" s="8" t="n">
        <f aca="false">VLOOKUP(F587,DIM_SERVICO!$A$2:$D$151,4,FALSE())</f>
        <v>905.47</v>
      </c>
      <c r="P587" s="8" t="n">
        <f aca="false">VLOOKUP(E587,DIM_PECA!$A$2:$F$501,6,FALSE())</f>
        <v>32.29</v>
      </c>
      <c r="Q587" s="8" t="n">
        <f aca="false">VLOOKUP(E587,DIM_PECA!$A$2:$F$501,5,FALSE())</f>
        <v>18.69</v>
      </c>
      <c r="R587" s="8" t="n">
        <f aca="false">H587*P587</f>
        <v>32.29</v>
      </c>
      <c r="S587" s="8" t="n">
        <f aca="false">O587*M587</f>
        <v>8239.777</v>
      </c>
      <c r="T587" s="8" t="n">
        <f aca="false">R587+S587</f>
        <v>8272.067</v>
      </c>
      <c r="U587" s="8" t="n">
        <f aca="false">T587-K587</f>
        <v>7334.307</v>
      </c>
      <c r="V587" s="8" t="n">
        <f aca="false">R587+S587-U587</f>
        <v>937.76</v>
      </c>
      <c r="W587" s="9" t="str">
        <f aca="false">IF(ROUND(V587-K587,2)=0,"OK","ERRO")</f>
        <v>OK</v>
      </c>
      <c r="X587" s="9" t="str">
        <f aca="false">VLOOKUP(F587,DIM_SERVICO!$A$2:$D$151,3,FALSE())</f>
        <v>Motor</v>
      </c>
    </row>
    <row r="588" customFormat="false" ht="15" hidden="false" customHeight="false" outlineLevel="0" collapsed="false">
      <c r="A588" s="2" t="n">
        <v>587</v>
      </c>
      <c r="B588" s="2" t="n">
        <v>1279</v>
      </c>
      <c r="C588" s="2" t="n">
        <v>369</v>
      </c>
      <c r="D588" s="2" t="n">
        <v>938</v>
      </c>
      <c r="E588" s="2" t="n">
        <v>333</v>
      </c>
      <c r="F588" s="2" t="n">
        <v>78</v>
      </c>
      <c r="G588" s="2" t="n">
        <v>1744</v>
      </c>
      <c r="H588" s="2" t="n">
        <v>4</v>
      </c>
      <c r="I588" s="3" t="n">
        <v>3553.2</v>
      </c>
      <c r="J588" s="3" t="n">
        <v>1647.18</v>
      </c>
      <c r="K588" s="3" t="n">
        <v>6499.5</v>
      </c>
      <c r="L588" s="3" t="n">
        <v>2132.25</v>
      </c>
      <c r="M588" s="2" t="n">
        <v>2.1</v>
      </c>
      <c r="N588" s="2" t="s">
        <v>25</v>
      </c>
      <c r="O588" s="4" t="n">
        <f aca="false">VLOOKUP(F588,DIM_SERVICO!$A$2:$D$151,4,FALSE())</f>
        <v>1647.18</v>
      </c>
      <c r="P588" s="4" t="n">
        <f aca="false">VLOOKUP(E588,DIM_PECA!$A$2:$F$501,6,FALSE())</f>
        <v>1213.08</v>
      </c>
      <c r="Q588" s="4" t="n">
        <f aca="false">VLOOKUP(E588,DIM_PECA!$A$2:$F$501,5,FALSE())</f>
        <v>888.3</v>
      </c>
      <c r="R588" s="4" t="n">
        <f aca="false">H588*P588</f>
        <v>4852.32</v>
      </c>
      <c r="S588" s="4" t="n">
        <f aca="false">O588*M588</f>
        <v>3459.078</v>
      </c>
      <c r="T588" s="4" t="n">
        <f aca="false">R588+S588</f>
        <v>8311.398</v>
      </c>
      <c r="U588" s="4" t="n">
        <f aca="false">T588-K588</f>
        <v>1811.898</v>
      </c>
      <c r="V588" s="4" t="n">
        <f aca="false">R588+S588-U588</f>
        <v>6499.5</v>
      </c>
      <c r="W588" s="5" t="str">
        <f aca="false">IF(ROUND(V588-K588,2)=0,"OK","ERRO")</f>
        <v>OK</v>
      </c>
      <c r="X588" s="5" t="str">
        <f aca="false">VLOOKUP(F588,DIM_SERVICO!$A$2:$D$151,3,FALSE())</f>
        <v>Suspensão</v>
      </c>
    </row>
    <row r="589" customFormat="false" ht="15" hidden="false" customHeight="false" outlineLevel="0" collapsed="false">
      <c r="A589" s="6" t="n">
        <v>588</v>
      </c>
      <c r="B589" s="6" t="n">
        <v>1485</v>
      </c>
      <c r="C589" s="6" t="n">
        <v>187</v>
      </c>
      <c r="D589" s="6" t="n">
        <v>958</v>
      </c>
      <c r="E589" s="6" t="n">
        <v>301</v>
      </c>
      <c r="F589" s="6" t="n">
        <v>82</v>
      </c>
      <c r="G589" s="6" t="n">
        <v>785</v>
      </c>
      <c r="H589" s="6" t="n">
        <v>4</v>
      </c>
      <c r="I589" s="7" t="n">
        <v>1594.68</v>
      </c>
      <c r="J589" s="7" t="n">
        <v>673.49</v>
      </c>
      <c r="K589" s="7" t="n">
        <v>3328.09</v>
      </c>
      <c r="L589" s="7" t="n">
        <v>1380.02</v>
      </c>
      <c r="M589" s="6" t="n">
        <v>7.1</v>
      </c>
      <c r="N589" s="6" t="s">
        <v>25</v>
      </c>
      <c r="O589" s="8" t="n">
        <f aca="false">VLOOKUP(F589,DIM_SERVICO!$A$2:$D$151,4,FALSE())</f>
        <v>673.49</v>
      </c>
      <c r="P589" s="8" t="n">
        <f aca="false">VLOOKUP(E589,DIM_PECA!$A$2:$F$501,6,FALSE())</f>
        <v>663.65</v>
      </c>
      <c r="Q589" s="8" t="n">
        <f aca="false">VLOOKUP(E589,DIM_PECA!$A$2:$F$501,5,FALSE())</f>
        <v>398.67</v>
      </c>
      <c r="R589" s="8" t="n">
        <f aca="false">H589*P589</f>
        <v>2654.6</v>
      </c>
      <c r="S589" s="8" t="n">
        <f aca="false">O589*M589</f>
        <v>4781.779</v>
      </c>
      <c r="T589" s="8" t="n">
        <f aca="false">R589+S589</f>
        <v>7436.379</v>
      </c>
      <c r="U589" s="8" t="n">
        <f aca="false">T589-K589</f>
        <v>4108.289</v>
      </c>
      <c r="V589" s="8" t="n">
        <f aca="false">R589+S589-U589</f>
        <v>3328.09</v>
      </c>
      <c r="W589" s="9" t="str">
        <f aca="false">IF(ROUND(V589-K589,2)=0,"OK","ERRO")</f>
        <v>OK</v>
      </c>
      <c r="X589" s="9" t="str">
        <f aca="false">VLOOKUP(F589,DIM_SERVICO!$A$2:$D$151,3,FALSE())</f>
        <v>Diagnóstico</v>
      </c>
    </row>
    <row r="590" customFormat="false" ht="15" hidden="false" customHeight="false" outlineLevel="0" collapsed="false">
      <c r="A590" s="2" t="n">
        <v>589</v>
      </c>
      <c r="B590" s="2" t="n">
        <v>860</v>
      </c>
      <c r="C590" s="2" t="n">
        <v>445</v>
      </c>
      <c r="D590" s="2" t="n">
        <v>358</v>
      </c>
      <c r="E590" s="2" t="n">
        <v>343</v>
      </c>
      <c r="F590" s="2" t="n">
        <v>150</v>
      </c>
      <c r="G590" s="2" t="n">
        <v>922</v>
      </c>
      <c r="H590" s="2" t="n">
        <v>3</v>
      </c>
      <c r="I590" s="3" t="n">
        <v>1285.26</v>
      </c>
      <c r="J590" s="3" t="n">
        <v>1370.46</v>
      </c>
      <c r="K590" s="3" t="n">
        <v>4173.21</v>
      </c>
      <c r="L590" s="3" t="n">
        <v>2356.16</v>
      </c>
      <c r="M590" s="2" t="n">
        <v>11.6</v>
      </c>
      <c r="N590" s="2" t="s">
        <v>25</v>
      </c>
      <c r="O590" s="4" t="n">
        <f aca="false">VLOOKUP(F590,DIM_SERVICO!$A$2:$D$151,4,FALSE())</f>
        <v>1370.46</v>
      </c>
      <c r="P590" s="4" t="n">
        <f aca="false">VLOOKUP(E590,DIM_PECA!$A$2:$F$501,6,FALSE())</f>
        <v>934.25</v>
      </c>
      <c r="Q590" s="4" t="n">
        <f aca="false">VLOOKUP(E590,DIM_PECA!$A$2:$F$501,5,FALSE())</f>
        <v>428.42</v>
      </c>
      <c r="R590" s="4" t="n">
        <f aca="false">H590*P590</f>
        <v>2802.75</v>
      </c>
      <c r="S590" s="4" t="n">
        <f aca="false">O590*M590</f>
        <v>15897.336</v>
      </c>
      <c r="T590" s="4" t="n">
        <f aca="false">R590+S590</f>
        <v>18700.086</v>
      </c>
      <c r="U590" s="4" t="n">
        <f aca="false">T590-K590</f>
        <v>14526.876</v>
      </c>
      <c r="V590" s="4" t="n">
        <f aca="false">R590+S590-U590</f>
        <v>4173.21</v>
      </c>
      <c r="W590" s="5" t="str">
        <f aca="false">IF(ROUND(V590-K590,2)=0,"OK","ERRO")</f>
        <v>OK</v>
      </c>
      <c r="X590" s="5" t="str">
        <f aca="false">VLOOKUP(F590,DIM_SERVICO!$A$2:$D$151,3,FALSE())</f>
        <v>Revisão</v>
      </c>
    </row>
    <row r="591" customFormat="false" ht="15" hidden="false" customHeight="false" outlineLevel="0" collapsed="false">
      <c r="A591" s="6" t="n">
        <v>590</v>
      </c>
      <c r="B591" s="6" t="n">
        <v>1319</v>
      </c>
      <c r="C591" s="6" t="n">
        <v>1091</v>
      </c>
      <c r="D591" s="6" t="n">
        <v>77</v>
      </c>
      <c r="E591" s="6" t="n">
        <v>91</v>
      </c>
      <c r="F591" s="6" t="n">
        <v>60</v>
      </c>
      <c r="G591" s="6" t="n">
        <v>1109</v>
      </c>
      <c r="H591" s="6" t="n">
        <v>3</v>
      </c>
      <c r="I591" s="7" t="n">
        <v>2862.39</v>
      </c>
      <c r="J591" s="7" t="n">
        <v>1091.63</v>
      </c>
      <c r="K591" s="7" t="n">
        <v>4730.14</v>
      </c>
      <c r="L591" s="7" t="n">
        <v>1389.42</v>
      </c>
      <c r="M591" s="6" t="n">
        <v>9.5</v>
      </c>
      <c r="N591" s="6" t="s">
        <v>24</v>
      </c>
      <c r="O591" s="8" t="n">
        <f aca="false">VLOOKUP(F591,DIM_SERVICO!$A$2:$D$151,4,FALSE())</f>
        <v>1091.63</v>
      </c>
      <c r="P591" s="8" t="n">
        <f aca="false">VLOOKUP(E591,DIM_PECA!$A$2:$F$501,6,FALSE())</f>
        <v>1295.82</v>
      </c>
      <c r="Q591" s="8" t="n">
        <f aca="false">VLOOKUP(E591,DIM_PECA!$A$2:$F$501,5,FALSE())</f>
        <v>954.13</v>
      </c>
      <c r="R591" s="8" t="n">
        <f aca="false">H591*P591</f>
        <v>3887.46</v>
      </c>
      <c r="S591" s="8" t="n">
        <f aca="false">O591*M591</f>
        <v>10370.485</v>
      </c>
      <c r="T591" s="8" t="n">
        <f aca="false">R591+S591</f>
        <v>14257.945</v>
      </c>
      <c r="U591" s="8" t="n">
        <f aca="false">T591-K591</f>
        <v>9527.805</v>
      </c>
      <c r="V591" s="8" t="n">
        <f aca="false">R591+S591-U591</f>
        <v>4730.14</v>
      </c>
      <c r="W591" s="9" t="str">
        <f aca="false">IF(ROUND(V591-K591,2)=0,"OK","ERRO")</f>
        <v>OK</v>
      </c>
      <c r="X591" s="9" t="str">
        <f aca="false">VLOOKUP(F591,DIM_SERVICO!$A$2:$D$151,3,FALSE())</f>
        <v>Diagnóstico</v>
      </c>
    </row>
    <row r="592" customFormat="false" ht="15" hidden="false" customHeight="false" outlineLevel="0" collapsed="false">
      <c r="A592" s="2" t="n">
        <v>591</v>
      </c>
      <c r="B592" s="2" t="n">
        <v>1246</v>
      </c>
      <c r="C592" s="2" t="n">
        <v>623</v>
      </c>
      <c r="D592" s="2" t="n">
        <v>546</v>
      </c>
      <c r="E592" s="2" t="n">
        <v>131</v>
      </c>
      <c r="F592" s="2" t="n">
        <v>58</v>
      </c>
      <c r="G592" s="2" t="n">
        <v>1499</v>
      </c>
      <c r="H592" s="2" t="n">
        <v>2</v>
      </c>
      <c r="I592" s="3" t="n">
        <v>1181.92</v>
      </c>
      <c r="J592" s="3" t="n">
        <v>1803.6</v>
      </c>
      <c r="K592" s="3" t="n">
        <v>3253.87</v>
      </c>
      <c r="L592" s="3" t="n">
        <v>1196.9</v>
      </c>
      <c r="M592" s="2" t="n">
        <v>10.9</v>
      </c>
      <c r="N592" s="2" t="s">
        <v>24</v>
      </c>
      <c r="O592" s="4" t="n">
        <f aca="false">VLOOKUP(F592,DIM_SERVICO!$A$2:$D$151,4,FALSE())</f>
        <v>1803.6</v>
      </c>
      <c r="P592" s="4" t="n">
        <f aca="false">VLOOKUP(E592,DIM_PECA!$A$2:$F$501,6,FALSE())</f>
        <v>866.61</v>
      </c>
      <c r="Q592" s="4" t="n">
        <f aca="false">VLOOKUP(E592,DIM_PECA!$A$2:$F$501,5,FALSE())</f>
        <v>590.96</v>
      </c>
      <c r="R592" s="4" t="n">
        <f aca="false">H592*P592</f>
        <v>1733.22</v>
      </c>
      <c r="S592" s="4" t="n">
        <f aca="false">O592*M592</f>
        <v>19659.24</v>
      </c>
      <c r="T592" s="4" t="n">
        <f aca="false">R592+S592</f>
        <v>21392.46</v>
      </c>
      <c r="U592" s="4" t="n">
        <f aca="false">T592-K592</f>
        <v>18138.59</v>
      </c>
      <c r="V592" s="4" t="n">
        <f aca="false">R592+S592-U592</f>
        <v>3253.87</v>
      </c>
      <c r="W592" s="5" t="str">
        <f aca="false">IF(ROUND(V592-K592,2)=0,"OK","ERRO")</f>
        <v>OK</v>
      </c>
      <c r="X592" s="5" t="str">
        <f aca="false">VLOOKUP(F592,DIM_SERVICO!$A$2:$D$151,3,FALSE())</f>
        <v>Freios</v>
      </c>
    </row>
    <row r="593" customFormat="false" ht="15" hidden="false" customHeight="false" outlineLevel="0" collapsed="false">
      <c r="A593" s="6" t="n">
        <v>592</v>
      </c>
      <c r="B593" s="6" t="n">
        <v>1178</v>
      </c>
      <c r="C593" s="6" t="n">
        <v>774</v>
      </c>
      <c r="D593" s="6" t="n">
        <v>1155</v>
      </c>
      <c r="E593" s="6" t="n">
        <v>331</v>
      </c>
      <c r="F593" s="6" t="n">
        <v>10</v>
      </c>
      <c r="G593" s="6" t="n">
        <v>1271</v>
      </c>
      <c r="H593" s="6" t="n">
        <v>1</v>
      </c>
      <c r="I593" s="7" t="n">
        <v>808.82</v>
      </c>
      <c r="J593" s="7" t="n">
        <v>338.82</v>
      </c>
      <c r="K593" s="7" t="n">
        <v>1373</v>
      </c>
      <c r="L593" s="7" t="n">
        <v>423.28</v>
      </c>
      <c r="M593" s="6" t="n">
        <v>3.1</v>
      </c>
      <c r="N593" s="6" t="s">
        <v>24</v>
      </c>
      <c r="O593" s="8" t="n">
        <f aca="false">VLOOKUP(F593,DIM_SERVICO!$A$2:$D$151,4,FALSE())</f>
        <v>338.82</v>
      </c>
      <c r="P593" s="8" t="n">
        <f aca="false">VLOOKUP(E593,DIM_PECA!$A$2:$F$501,6,FALSE())</f>
        <v>1106.44</v>
      </c>
      <c r="Q593" s="8" t="n">
        <f aca="false">VLOOKUP(E593,DIM_PECA!$A$2:$F$501,5,FALSE())</f>
        <v>808.82</v>
      </c>
      <c r="R593" s="8" t="n">
        <f aca="false">H593*P593</f>
        <v>1106.44</v>
      </c>
      <c r="S593" s="8" t="n">
        <f aca="false">O593*M593</f>
        <v>1050.342</v>
      </c>
      <c r="T593" s="8" t="n">
        <f aca="false">R593+S593</f>
        <v>2156.782</v>
      </c>
      <c r="U593" s="8" t="n">
        <f aca="false">T593-K593</f>
        <v>783.782</v>
      </c>
      <c r="V593" s="8" t="n">
        <f aca="false">R593+S593-U593</f>
        <v>1373</v>
      </c>
      <c r="W593" s="9" t="str">
        <f aca="false">IF(ROUND(V593-K593,2)=0,"OK","ERRO")</f>
        <v>OK</v>
      </c>
      <c r="X593" s="9" t="str">
        <f aca="false">VLOOKUP(F593,DIM_SERVICO!$A$2:$D$151,3,FALSE())</f>
        <v>Diagnóstico</v>
      </c>
    </row>
    <row r="594" customFormat="false" ht="15" hidden="false" customHeight="false" outlineLevel="0" collapsed="false">
      <c r="A594" s="2" t="n">
        <v>593</v>
      </c>
      <c r="B594" s="2" t="n">
        <v>1005</v>
      </c>
      <c r="C594" s="2" t="n">
        <v>959</v>
      </c>
      <c r="D594" s="2" t="n">
        <v>1083</v>
      </c>
      <c r="E594" s="2" t="n">
        <v>157</v>
      </c>
      <c r="F594" s="2" t="n">
        <v>114</v>
      </c>
      <c r="G594" s="2" t="n">
        <v>804</v>
      </c>
      <c r="H594" s="2" t="n">
        <v>2</v>
      </c>
      <c r="I594" s="3" t="n">
        <v>913.9</v>
      </c>
      <c r="J594" s="3" t="n">
        <v>767.72</v>
      </c>
      <c r="K594" s="3" t="n">
        <v>2595.7</v>
      </c>
      <c r="L594" s="3" t="n">
        <v>1331.93</v>
      </c>
      <c r="M594" s="2" t="n">
        <v>8</v>
      </c>
      <c r="N594" s="2" t="s">
        <v>24</v>
      </c>
      <c r="O594" s="4" t="n">
        <f aca="false">VLOOKUP(F594,DIM_SERVICO!$A$2:$D$151,4,FALSE())</f>
        <v>767.72</v>
      </c>
      <c r="P594" s="4" t="n">
        <f aca="false">VLOOKUP(E594,DIM_PECA!$A$2:$F$501,6,FALSE())</f>
        <v>913.99</v>
      </c>
      <c r="Q594" s="4" t="n">
        <f aca="false">VLOOKUP(E594,DIM_PECA!$A$2:$F$501,5,FALSE())</f>
        <v>456.95</v>
      </c>
      <c r="R594" s="4" t="n">
        <f aca="false">H594*P594</f>
        <v>1827.98</v>
      </c>
      <c r="S594" s="4" t="n">
        <f aca="false">O594*M594</f>
        <v>6141.76</v>
      </c>
      <c r="T594" s="4" t="n">
        <f aca="false">R594+S594</f>
        <v>7969.74</v>
      </c>
      <c r="U594" s="4" t="n">
        <f aca="false">T594-K594</f>
        <v>5374.04</v>
      </c>
      <c r="V594" s="4" t="n">
        <f aca="false">R594+S594-U594</f>
        <v>2595.7</v>
      </c>
      <c r="W594" s="5" t="str">
        <f aca="false">IF(ROUND(V594-K594,2)=0,"OK","ERRO")</f>
        <v>OK</v>
      </c>
      <c r="X594" s="5" t="str">
        <f aca="false">VLOOKUP(F594,DIM_SERVICO!$A$2:$D$151,3,FALSE())</f>
        <v>Elétrica</v>
      </c>
    </row>
    <row r="595" customFormat="false" ht="15" hidden="false" customHeight="false" outlineLevel="0" collapsed="false">
      <c r="A595" s="6" t="n">
        <v>594</v>
      </c>
      <c r="B595" s="6" t="n">
        <v>1279</v>
      </c>
      <c r="C595" s="6" t="n">
        <v>369</v>
      </c>
      <c r="D595" s="6" t="n">
        <v>1032</v>
      </c>
      <c r="E595" s="6" t="n">
        <v>9</v>
      </c>
      <c r="F595" s="6" t="n">
        <v>4</v>
      </c>
      <c r="G595" s="6" t="n">
        <v>325</v>
      </c>
      <c r="H595" s="6" t="n">
        <v>3</v>
      </c>
      <c r="I595" s="7" t="n">
        <v>2663.07</v>
      </c>
      <c r="J595" s="7" t="n">
        <v>1007.95</v>
      </c>
      <c r="K595" s="7" t="n">
        <v>4952.68</v>
      </c>
      <c r="L595" s="7" t="n">
        <v>1903.38</v>
      </c>
      <c r="M595" s="6" t="n">
        <v>6.7</v>
      </c>
      <c r="N595" s="6" t="s">
        <v>24</v>
      </c>
      <c r="O595" s="8" t="n">
        <f aca="false">VLOOKUP(F595,DIM_SERVICO!$A$2:$D$151,4,FALSE())</f>
        <v>1007.95</v>
      </c>
      <c r="P595" s="8" t="n">
        <f aca="false">VLOOKUP(E595,DIM_PECA!$A$2:$F$501,6,FALSE())</f>
        <v>1401.8</v>
      </c>
      <c r="Q595" s="8" t="n">
        <f aca="false">VLOOKUP(E595,DIM_PECA!$A$2:$F$501,5,FALSE())</f>
        <v>887.69</v>
      </c>
      <c r="R595" s="8" t="n">
        <f aca="false">H595*P595</f>
        <v>4205.4</v>
      </c>
      <c r="S595" s="8" t="n">
        <f aca="false">O595*M595</f>
        <v>6753.265</v>
      </c>
      <c r="T595" s="8" t="n">
        <f aca="false">R595+S595</f>
        <v>10958.665</v>
      </c>
      <c r="U595" s="8" t="n">
        <f aca="false">T595-K595</f>
        <v>6005.985</v>
      </c>
      <c r="V595" s="8" t="n">
        <f aca="false">R595+S595-U595</f>
        <v>4952.68</v>
      </c>
      <c r="W595" s="9" t="str">
        <f aca="false">IF(ROUND(V595-K595,2)=0,"OK","ERRO")</f>
        <v>OK</v>
      </c>
      <c r="X595" s="9" t="str">
        <f aca="false">VLOOKUP(F595,DIM_SERVICO!$A$2:$D$151,3,FALSE())</f>
        <v>Revisão</v>
      </c>
    </row>
    <row r="596" customFormat="false" ht="15" hidden="false" customHeight="false" outlineLevel="0" collapsed="false">
      <c r="A596" s="2" t="n">
        <v>595</v>
      </c>
      <c r="B596" s="2" t="n">
        <v>1191</v>
      </c>
      <c r="C596" s="2" t="n">
        <v>701</v>
      </c>
      <c r="D596" s="2" t="n">
        <v>289</v>
      </c>
      <c r="E596" s="2" t="n">
        <v>434</v>
      </c>
      <c r="F596" s="2" t="n">
        <v>52</v>
      </c>
      <c r="G596" s="2" t="n">
        <v>605</v>
      </c>
      <c r="H596" s="2" t="n">
        <v>4</v>
      </c>
      <c r="I596" s="3" t="n">
        <v>4356.84</v>
      </c>
      <c r="J596" s="3" t="n">
        <v>188.62</v>
      </c>
      <c r="K596" s="3" t="n">
        <v>5603.74</v>
      </c>
      <c r="L596" s="3" t="n">
        <v>1145.03</v>
      </c>
      <c r="M596" s="2" t="n">
        <v>4.1</v>
      </c>
      <c r="N596" s="2" t="s">
        <v>24</v>
      </c>
      <c r="O596" s="4" t="n">
        <f aca="false">VLOOKUP(F596,DIM_SERVICO!$A$2:$D$151,4,FALSE())</f>
        <v>188.62</v>
      </c>
      <c r="P596" s="4" t="n">
        <f aca="false">VLOOKUP(E596,DIM_PECA!$A$2:$F$501,6,FALSE())</f>
        <v>1475.6</v>
      </c>
      <c r="Q596" s="4" t="n">
        <f aca="false">VLOOKUP(E596,DIM_PECA!$A$2:$F$501,5,FALSE())</f>
        <v>1089.21</v>
      </c>
      <c r="R596" s="4" t="n">
        <f aca="false">H596*P596</f>
        <v>5902.4</v>
      </c>
      <c r="S596" s="4" t="n">
        <f aca="false">O596*M596</f>
        <v>773.342</v>
      </c>
      <c r="T596" s="4" t="n">
        <f aca="false">R596+S596</f>
        <v>6675.742</v>
      </c>
      <c r="U596" s="4" t="n">
        <f aca="false">T596-K596</f>
        <v>1072.002</v>
      </c>
      <c r="V596" s="4" t="n">
        <f aca="false">R596+S596-U596</f>
        <v>5603.74</v>
      </c>
      <c r="W596" s="5" t="str">
        <f aca="false">IF(ROUND(V596-K596,2)=0,"OK","ERRO")</f>
        <v>OK</v>
      </c>
      <c r="X596" s="5" t="str">
        <f aca="false">VLOOKUP(F596,DIM_SERVICO!$A$2:$D$151,3,FALSE())</f>
        <v>Funilaria</v>
      </c>
    </row>
    <row r="597" customFormat="false" ht="15" hidden="false" customHeight="false" outlineLevel="0" collapsed="false">
      <c r="A597" s="6" t="n">
        <v>596</v>
      </c>
      <c r="B597" s="6" t="n">
        <v>740</v>
      </c>
      <c r="C597" s="6" t="n">
        <v>327</v>
      </c>
      <c r="D597" s="6" t="n">
        <v>201</v>
      </c>
      <c r="E597" s="6" t="n">
        <v>387</v>
      </c>
      <c r="F597" s="6" t="n">
        <v>110</v>
      </c>
      <c r="G597" s="6" t="n">
        <v>1008</v>
      </c>
      <c r="H597" s="6" t="n">
        <v>4</v>
      </c>
      <c r="I597" s="7" t="n">
        <v>4568.16</v>
      </c>
      <c r="J597" s="7" t="n">
        <v>587.35</v>
      </c>
      <c r="K597" s="7" t="n">
        <v>7498.1</v>
      </c>
      <c r="L597" s="7" t="n">
        <v>2723.84</v>
      </c>
      <c r="M597" s="6" t="n">
        <v>11.2</v>
      </c>
      <c r="N597" s="6" t="s">
        <v>25</v>
      </c>
      <c r="O597" s="8" t="n">
        <f aca="false">VLOOKUP(F597,DIM_SERVICO!$A$2:$D$151,4,FALSE())</f>
        <v>587.35</v>
      </c>
      <c r="P597" s="8" t="n">
        <f aca="false">VLOOKUP(E597,DIM_PECA!$A$2:$F$501,6,FALSE())</f>
        <v>1890.69</v>
      </c>
      <c r="Q597" s="8" t="n">
        <f aca="false">VLOOKUP(E597,DIM_PECA!$A$2:$F$501,5,FALSE())</f>
        <v>1142.04</v>
      </c>
      <c r="R597" s="8" t="n">
        <f aca="false">H597*P597</f>
        <v>7562.76</v>
      </c>
      <c r="S597" s="8" t="n">
        <f aca="false">O597*M597</f>
        <v>6578.32</v>
      </c>
      <c r="T597" s="8" t="n">
        <f aca="false">R597+S597</f>
        <v>14141.08</v>
      </c>
      <c r="U597" s="8" t="n">
        <f aca="false">T597-K597</f>
        <v>6642.98</v>
      </c>
      <c r="V597" s="8" t="n">
        <f aca="false">R597+S597-U597</f>
        <v>7498.1</v>
      </c>
      <c r="W597" s="9" t="str">
        <f aca="false">IF(ROUND(V597-K597,2)=0,"OK","ERRO")</f>
        <v>OK</v>
      </c>
      <c r="X597" s="9" t="str">
        <f aca="false">VLOOKUP(F597,DIM_SERVICO!$A$2:$D$151,3,FALSE())</f>
        <v>Funilaria</v>
      </c>
    </row>
    <row r="598" customFormat="false" ht="15" hidden="false" customHeight="false" outlineLevel="0" collapsed="false">
      <c r="A598" s="2" t="n">
        <v>597</v>
      </c>
      <c r="B598" s="2" t="n">
        <v>1105</v>
      </c>
      <c r="C598" s="2" t="n">
        <v>838</v>
      </c>
      <c r="D598" s="2" t="n">
        <v>82</v>
      </c>
      <c r="E598" s="2" t="n">
        <v>46</v>
      </c>
      <c r="F598" s="2" t="n">
        <v>6</v>
      </c>
      <c r="G598" s="2" t="n">
        <v>775</v>
      </c>
      <c r="H598" s="2" t="n">
        <v>4</v>
      </c>
      <c r="I598" s="3" t="n">
        <v>968.4</v>
      </c>
      <c r="J598" s="3" t="n">
        <v>1505.67</v>
      </c>
      <c r="K598" s="3" t="n">
        <v>2626.91</v>
      </c>
      <c r="L598" s="3" t="n">
        <v>1035.96</v>
      </c>
      <c r="M598" s="2" t="n">
        <v>5.6</v>
      </c>
      <c r="N598" s="2" t="s">
        <v>25</v>
      </c>
      <c r="O598" s="4" t="n">
        <f aca="false">VLOOKUP(F598,DIM_SERVICO!$A$2:$D$151,4,FALSE())</f>
        <v>1505.67</v>
      </c>
      <c r="P598" s="4" t="n">
        <f aca="false">VLOOKUP(E598,DIM_PECA!$A$2:$F$501,6,FALSE())</f>
        <v>353.28</v>
      </c>
      <c r="Q598" s="4" t="n">
        <f aca="false">VLOOKUP(E598,DIM_PECA!$A$2:$F$501,5,FALSE())</f>
        <v>242.1</v>
      </c>
      <c r="R598" s="4" t="n">
        <f aca="false">H598*P598</f>
        <v>1413.12</v>
      </c>
      <c r="S598" s="4" t="n">
        <f aca="false">O598*M598</f>
        <v>8431.752</v>
      </c>
      <c r="T598" s="4" t="n">
        <f aca="false">R598+S598</f>
        <v>9844.872</v>
      </c>
      <c r="U598" s="4" t="n">
        <f aca="false">T598-K598</f>
        <v>7217.962</v>
      </c>
      <c r="V598" s="4" t="n">
        <f aca="false">R598+S598-U598</f>
        <v>2626.91</v>
      </c>
      <c r="W598" s="5" t="str">
        <f aca="false">IF(ROUND(V598-K598,2)=0,"OK","ERRO")</f>
        <v>OK</v>
      </c>
      <c r="X598" s="5" t="str">
        <f aca="false">VLOOKUP(F598,DIM_SERVICO!$A$2:$D$151,3,FALSE())</f>
        <v>Motor</v>
      </c>
    </row>
    <row r="599" customFormat="false" ht="15" hidden="false" customHeight="false" outlineLevel="0" collapsed="false">
      <c r="A599" s="6" t="n">
        <v>598</v>
      </c>
      <c r="B599" s="6" t="n">
        <v>632</v>
      </c>
      <c r="C599" s="6" t="n">
        <v>1388</v>
      </c>
      <c r="D599" s="6" t="n">
        <v>292</v>
      </c>
      <c r="E599" s="6" t="n">
        <v>362</v>
      </c>
      <c r="F599" s="6" t="n">
        <v>80</v>
      </c>
      <c r="G599" s="6" t="n">
        <v>266</v>
      </c>
      <c r="H599" s="6" t="n">
        <v>3</v>
      </c>
      <c r="I599" s="7" t="n">
        <v>555.45</v>
      </c>
      <c r="J599" s="7" t="n">
        <v>2134.39</v>
      </c>
      <c r="K599" s="7" t="n">
        <v>3001.27</v>
      </c>
      <c r="L599" s="7" t="n">
        <v>1518.84</v>
      </c>
      <c r="M599" s="6" t="n">
        <v>2</v>
      </c>
      <c r="N599" s="6" t="s">
        <v>25</v>
      </c>
      <c r="O599" s="8" t="n">
        <f aca="false">VLOOKUP(F599,DIM_SERVICO!$A$2:$D$151,4,FALSE())</f>
        <v>2134.39</v>
      </c>
      <c r="P599" s="8" t="n">
        <f aca="false">VLOOKUP(E599,DIM_PECA!$A$2:$F$501,6,FALSE())</f>
        <v>400.12</v>
      </c>
      <c r="Q599" s="8" t="n">
        <f aca="false">VLOOKUP(E599,DIM_PECA!$A$2:$F$501,5,FALSE())</f>
        <v>185.15</v>
      </c>
      <c r="R599" s="8" t="n">
        <f aca="false">H599*P599</f>
        <v>1200.36</v>
      </c>
      <c r="S599" s="8" t="n">
        <f aca="false">O599*M599</f>
        <v>4268.78</v>
      </c>
      <c r="T599" s="8" t="n">
        <f aca="false">R599+S599</f>
        <v>5469.14</v>
      </c>
      <c r="U599" s="8" t="n">
        <f aca="false">T599-K599</f>
        <v>2467.87</v>
      </c>
      <c r="V599" s="8" t="n">
        <f aca="false">R599+S599-U599</f>
        <v>3001.27</v>
      </c>
      <c r="W599" s="9" t="str">
        <f aca="false">IF(ROUND(V599-K599,2)=0,"OK","ERRO")</f>
        <v>OK</v>
      </c>
      <c r="X599" s="9" t="str">
        <f aca="false">VLOOKUP(F599,DIM_SERVICO!$A$2:$D$151,3,FALSE())</f>
        <v>Suspensão</v>
      </c>
    </row>
    <row r="600" customFormat="false" ht="15" hidden="false" customHeight="false" outlineLevel="0" collapsed="false">
      <c r="A600" s="2" t="n">
        <v>599</v>
      </c>
      <c r="B600" s="2" t="n">
        <v>43</v>
      </c>
      <c r="C600" s="2" t="n">
        <v>1181</v>
      </c>
      <c r="D600" s="2" t="n">
        <v>405</v>
      </c>
      <c r="E600" s="2" t="n">
        <v>286</v>
      </c>
      <c r="F600" s="2" t="n">
        <v>85</v>
      </c>
      <c r="G600" s="2" t="n">
        <v>514</v>
      </c>
      <c r="H600" s="2" t="n">
        <v>1</v>
      </c>
      <c r="I600" s="3" t="n">
        <v>420.88</v>
      </c>
      <c r="J600" s="3" t="n">
        <v>328.76</v>
      </c>
      <c r="K600" s="3" t="n">
        <v>1041.7</v>
      </c>
      <c r="L600" s="3" t="n">
        <v>462.42</v>
      </c>
      <c r="M600" s="2" t="n">
        <v>3.9</v>
      </c>
      <c r="N600" s="2" t="s">
        <v>27</v>
      </c>
      <c r="O600" s="4" t="n">
        <f aca="false">VLOOKUP(F600,DIM_SERVICO!$A$2:$D$151,4,FALSE())</f>
        <v>328.76</v>
      </c>
      <c r="P600" s="4" t="n">
        <f aca="false">VLOOKUP(E600,DIM_PECA!$A$2:$F$501,6,FALSE())</f>
        <v>803.52</v>
      </c>
      <c r="Q600" s="4" t="n">
        <f aca="false">VLOOKUP(E600,DIM_PECA!$A$2:$F$501,5,FALSE())</f>
        <v>420.88</v>
      </c>
      <c r="R600" s="4" t="n">
        <f aca="false">H600*P600</f>
        <v>803.52</v>
      </c>
      <c r="S600" s="4" t="n">
        <f aca="false">O600*M600</f>
        <v>1282.164</v>
      </c>
      <c r="T600" s="4" t="n">
        <f aca="false">R600+S600</f>
        <v>2085.684</v>
      </c>
      <c r="U600" s="4" t="n">
        <f aca="false">T600-K600</f>
        <v>1043.984</v>
      </c>
      <c r="V600" s="4" t="n">
        <f aca="false">R600+S600-U600</f>
        <v>1041.7</v>
      </c>
      <c r="W600" s="5" t="str">
        <f aca="false">IF(ROUND(V600-K600,2)=0,"OK","ERRO")</f>
        <v>OK</v>
      </c>
      <c r="X600" s="5" t="str">
        <f aca="false">VLOOKUP(F600,DIM_SERVICO!$A$2:$D$151,3,FALSE())</f>
        <v>Motor</v>
      </c>
    </row>
    <row r="601" customFormat="false" ht="15" hidden="false" customHeight="false" outlineLevel="0" collapsed="false">
      <c r="A601" s="6" t="n">
        <v>600</v>
      </c>
      <c r="B601" s="6" t="n">
        <v>149</v>
      </c>
      <c r="C601" s="6" t="n">
        <v>690</v>
      </c>
      <c r="D601" s="6" t="n">
        <v>41</v>
      </c>
      <c r="E601" s="6" t="n">
        <v>353</v>
      </c>
      <c r="F601" s="6" t="n">
        <v>60</v>
      </c>
      <c r="G601" s="6" t="n">
        <v>1805</v>
      </c>
      <c r="H601" s="6" t="n">
        <v>4</v>
      </c>
      <c r="I601" s="7" t="n">
        <v>2666.48</v>
      </c>
      <c r="J601" s="7" t="n">
        <v>1091.63</v>
      </c>
      <c r="K601" s="7" t="n">
        <v>6454.67</v>
      </c>
      <c r="L601" s="7" t="n">
        <v>3291.06</v>
      </c>
      <c r="M601" s="6" t="n">
        <v>9.1</v>
      </c>
      <c r="N601" s="6" t="s">
        <v>24</v>
      </c>
      <c r="O601" s="8" t="n">
        <f aca="false">VLOOKUP(F601,DIM_SERVICO!$A$2:$D$151,4,FALSE())</f>
        <v>1091.63</v>
      </c>
      <c r="P601" s="8" t="n">
        <f aca="false">VLOOKUP(E601,DIM_PECA!$A$2:$F$501,6,FALSE())</f>
        <v>1340.76</v>
      </c>
      <c r="Q601" s="8" t="n">
        <f aca="false">VLOOKUP(E601,DIM_PECA!$A$2:$F$501,5,FALSE())</f>
        <v>666.62</v>
      </c>
      <c r="R601" s="8" t="n">
        <f aca="false">H601*P601</f>
        <v>5363.04</v>
      </c>
      <c r="S601" s="8" t="n">
        <f aca="false">O601*M601</f>
        <v>9933.833</v>
      </c>
      <c r="T601" s="8" t="n">
        <f aca="false">R601+S601</f>
        <v>15296.873</v>
      </c>
      <c r="U601" s="8" t="n">
        <f aca="false">T601-K601</f>
        <v>8842.203</v>
      </c>
      <c r="V601" s="8" t="n">
        <f aca="false">R601+S601-U601</f>
        <v>6454.67</v>
      </c>
      <c r="W601" s="9" t="str">
        <f aca="false">IF(ROUND(V601-K601,2)=0,"OK","ERRO")</f>
        <v>OK</v>
      </c>
      <c r="X601" s="9" t="str">
        <f aca="false">VLOOKUP(F601,DIM_SERVICO!$A$2:$D$151,3,FALSE())</f>
        <v>Diagnóstico</v>
      </c>
    </row>
    <row r="602" customFormat="false" ht="15" hidden="false" customHeight="false" outlineLevel="0" collapsed="false">
      <c r="A602" s="2" t="n">
        <v>601</v>
      </c>
      <c r="B602" s="2" t="n">
        <v>812</v>
      </c>
      <c r="C602" s="2" t="n">
        <v>773</v>
      </c>
      <c r="D602" s="2" t="n">
        <v>719</v>
      </c>
      <c r="E602" s="2" t="n">
        <v>309</v>
      </c>
      <c r="F602" s="2" t="n">
        <v>6</v>
      </c>
      <c r="G602" s="2" t="n">
        <v>1072</v>
      </c>
      <c r="H602" s="2" t="n">
        <v>1</v>
      </c>
      <c r="I602" s="3" t="n">
        <v>26.69</v>
      </c>
      <c r="J602" s="3" t="n">
        <v>1505.67</v>
      </c>
      <c r="K602" s="3" t="n">
        <v>1551.89</v>
      </c>
      <c r="L602" s="3" t="n">
        <v>909.62</v>
      </c>
      <c r="M602" s="2" t="n">
        <v>5</v>
      </c>
      <c r="N602" s="2" t="s">
        <v>25</v>
      </c>
      <c r="O602" s="4" t="n">
        <f aca="false">VLOOKUP(F602,DIM_SERVICO!$A$2:$D$151,4,FALSE())</f>
        <v>1505.67</v>
      </c>
      <c r="P602" s="4" t="n">
        <f aca="false">VLOOKUP(E602,DIM_PECA!$A$2:$F$501,6,FALSE())</f>
        <v>46.22</v>
      </c>
      <c r="Q602" s="4" t="n">
        <f aca="false">VLOOKUP(E602,DIM_PECA!$A$2:$F$501,5,FALSE())</f>
        <v>26.69</v>
      </c>
      <c r="R602" s="4" t="n">
        <f aca="false">H602*P602</f>
        <v>46.22</v>
      </c>
      <c r="S602" s="4" t="n">
        <f aca="false">O602*M602</f>
        <v>7528.35</v>
      </c>
      <c r="T602" s="4" t="n">
        <f aca="false">R602+S602</f>
        <v>7574.57</v>
      </c>
      <c r="U602" s="4" t="n">
        <f aca="false">T602-K602</f>
        <v>6022.68</v>
      </c>
      <c r="V602" s="4" t="n">
        <f aca="false">R602+S602-U602</f>
        <v>1551.89</v>
      </c>
      <c r="W602" s="5" t="str">
        <f aca="false">IF(ROUND(V602-K602,2)=0,"OK","ERRO")</f>
        <v>OK</v>
      </c>
      <c r="X602" s="5" t="str">
        <f aca="false">VLOOKUP(F602,DIM_SERVICO!$A$2:$D$151,3,FALSE())</f>
        <v>Motor</v>
      </c>
    </row>
    <row r="603" customFormat="false" ht="15" hidden="false" customHeight="false" outlineLevel="0" collapsed="false">
      <c r="A603" s="6" t="n">
        <v>602</v>
      </c>
      <c r="B603" s="6" t="n">
        <v>1064</v>
      </c>
      <c r="C603" s="6" t="n">
        <v>90</v>
      </c>
      <c r="D603" s="6" t="n">
        <v>241</v>
      </c>
      <c r="E603" s="6" t="n">
        <v>310</v>
      </c>
      <c r="F603" s="6" t="n">
        <v>104</v>
      </c>
      <c r="G603" s="6" t="n">
        <v>1626</v>
      </c>
      <c r="H603" s="6" t="n">
        <v>3</v>
      </c>
      <c r="I603" s="7" t="n">
        <v>2653.41</v>
      </c>
      <c r="J603" s="7" t="n">
        <v>409.99</v>
      </c>
      <c r="K603" s="7" t="n">
        <v>4286.98</v>
      </c>
      <c r="L603" s="7" t="n">
        <v>1475.04</v>
      </c>
      <c r="M603" s="6" t="n">
        <v>8.7</v>
      </c>
      <c r="N603" s="6" t="s">
        <v>25</v>
      </c>
      <c r="O603" s="8" t="n">
        <f aca="false">VLOOKUP(F603,DIM_SERVICO!$A$2:$D$151,4,FALSE())</f>
        <v>409.99</v>
      </c>
      <c r="P603" s="8" t="n">
        <f aca="false">VLOOKUP(E603,DIM_PECA!$A$2:$F$501,6,FALSE())</f>
        <v>1292.33</v>
      </c>
      <c r="Q603" s="8" t="n">
        <f aca="false">VLOOKUP(E603,DIM_PECA!$A$2:$F$501,5,FALSE())</f>
        <v>884.47</v>
      </c>
      <c r="R603" s="8" t="n">
        <f aca="false">H603*P603</f>
        <v>3876.99</v>
      </c>
      <c r="S603" s="8" t="n">
        <f aca="false">O603*M603</f>
        <v>3566.913</v>
      </c>
      <c r="T603" s="8" t="n">
        <f aca="false">R603+S603</f>
        <v>7443.903</v>
      </c>
      <c r="U603" s="8" t="n">
        <f aca="false">T603-K603</f>
        <v>3156.923</v>
      </c>
      <c r="V603" s="8" t="n">
        <f aca="false">R603+S603-U603</f>
        <v>4286.98</v>
      </c>
      <c r="W603" s="9" t="str">
        <f aca="false">IF(ROUND(V603-K603,2)=0,"OK","ERRO")</f>
        <v>OK</v>
      </c>
      <c r="X603" s="9" t="str">
        <f aca="false">VLOOKUP(F603,DIM_SERVICO!$A$2:$D$151,3,FALSE())</f>
        <v>Diagnóstico</v>
      </c>
    </row>
    <row r="604" customFormat="false" ht="15" hidden="false" customHeight="false" outlineLevel="0" collapsed="false">
      <c r="A604" s="2" t="n">
        <v>603</v>
      </c>
      <c r="B604" s="2" t="n">
        <v>121</v>
      </c>
      <c r="C604" s="2" t="n">
        <v>457</v>
      </c>
      <c r="D604" s="2" t="n">
        <v>138</v>
      </c>
      <c r="E604" s="2" t="n">
        <v>177</v>
      </c>
      <c r="F604" s="2" t="n">
        <v>52</v>
      </c>
      <c r="G604" s="2" t="n">
        <v>46</v>
      </c>
      <c r="H604" s="2" t="n">
        <v>4</v>
      </c>
      <c r="I604" s="3" t="n">
        <v>644.44</v>
      </c>
      <c r="J604" s="3" t="n">
        <v>188.62</v>
      </c>
      <c r="K604" s="3" t="n">
        <v>1180.94</v>
      </c>
      <c r="L604" s="3" t="n">
        <v>452.89</v>
      </c>
      <c r="M604" s="2" t="n">
        <v>9.7</v>
      </c>
      <c r="N604" s="2" t="s">
        <v>25</v>
      </c>
      <c r="O604" s="4" t="n">
        <f aca="false">VLOOKUP(F604,DIM_SERVICO!$A$2:$D$151,4,FALSE())</f>
        <v>188.62</v>
      </c>
      <c r="P604" s="4" t="n">
        <f aca="false">VLOOKUP(E604,DIM_PECA!$A$2:$F$501,6,FALSE())</f>
        <v>248.08</v>
      </c>
      <c r="Q604" s="4" t="n">
        <f aca="false">VLOOKUP(E604,DIM_PECA!$A$2:$F$501,5,FALSE())</f>
        <v>161.11</v>
      </c>
      <c r="R604" s="4" t="n">
        <f aca="false">H604*P604</f>
        <v>992.32</v>
      </c>
      <c r="S604" s="4" t="n">
        <f aca="false">O604*M604</f>
        <v>1829.614</v>
      </c>
      <c r="T604" s="4" t="n">
        <f aca="false">R604+S604</f>
        <v>2821.934</v>
      </c>
      <c r="U604" s="4" t="n">
        <f aca="false">T604-K604</f>
        <v>1640.994</v>
      </c>
      <c r="V604" s="4" t="n">
        <f aca="false">R604+S604-U604</f>
        <v>1180.94</v>
      </c>
      <c r="W604" s="5" t="str">
        <f aca="false">IF(ROUND(V604-K604,2)=0,"OK","ERRO")</f>
        <v>OK</v>
      </c>
      <c r="X604" s="5" t="str">
        <f aca="false">VLOOKUP(F604,DIM_SERVICO!$A$2:$D$151,3,FALSE())</f>
        <v>Funilaria</v>
      </c>
    </row>
    <row r="605" customFormat="false" ht="15" hidden="false" customHeight="false" outlineLevel="0" collapsed="false">
      <c r="A605" s="6" t="n">
        <v>604</v>
      </c>
      <c r="B605" s="6" t="n">
        <v>815</v>
      </c>
      <c r="C605" s="6" t="n">
        <v>214</v>
      </c>
      <c r="D605" s="6" t="n">
        <v>1104</v>
      </c>
      <c r="E605" s="6" t="n">
        <v>22</v>
      </c>
      <c r="F605" s="6" t="n">
        <v>75</v>
      </c>
      <c r="G605" s="6" t="n">
        <v>1445</v>
      </c>
      <c r="H605" s="6" t="n">
        <v>4</v>
      </c>
      <c r="I605" s="7" t="n">
        <v>4262.76</v>
      </c>
      <c r="J605" s="7" t="n">
        <v>1549.88</v>
      </c>
      <c r="K605" s="7" t="n">
        <v>9270.33</v>
      </c>
      <c r="L605" s="7" t="n">
        <v>4333.42</v>
      </c>
      <c r="M605" s="6" t="n">
        <v>1.4</v>
      </c>
      <c r="N605" s="6" t="s">
        <v>24</v>
      </c>
      <c r="O605" s="8" t="n">
        <f aca="false">VLOOKUP(F605,DIM_SERVICO!$A$2:$D$151,4,FALSE())</f>
        <v>1549.88</v>
      </c>
      <c r="P605" s="8" t="n">
        <f aca="false">VLOOKUP(E605,DIM_PECA!$A$2:$F$501,6,FALSE())</f>
        <v>2052.09</v>
      </c>
      <c r="Q605" s="8" t="n">
        <f aca="false">VLOOKUP(E605,DIM_PECA!$A$2:$F$501,5,FALSE())</f>
        <v>1065.69</v>
      </c>
      <c r="R605" s="8" t="n">
        <f aca="false">H605*P605</f>
        <v>8208.36</v>
      </c>
      <c r="S605" s="8" t="n">
        <f aca="false">O605*M605</f>
        <v>2169.832</v>
      </c>
      <c r="T605" s="8" t="n">
        <f aca="false">R605+S605</f>
        <v>10378.192</v>
      </c>
      <c r="U605" s="8" t="n">
        <f aca="false">T605-K605</f>
        <v>1107.862</v>
      </c>
      <c r="V605" s="8" t="n">
        <f aca="false">R605+S605-U605</f>
        <v>9270.33</v>
      </c>
      <c r="W605" s="9" t="str">
        <f aca="false">IF(ROUND(V605-K605,2)=0,"OK","ERRO")</f>
        <v>OK</v>
      </c>
      <c r="X605" s="9" t="str">
        <f aca="false">VLOOKUP(F605,DIM_SERVICO!$A$2:$D$151,3,FALSE())</f>
        <v>Freios</v>
      </c>
    </row>
    <row r="606" customFormat="false" ht="15" hidden="false" customHeight="false" outlineLevel="0" collapsed="false">
      <c r="A606" s="2" t="n">
        <v>605</v>
      </c>
      <c r="B606" s="2" t="n">
        <v>1164</v>
      </c>
      <c r="C606" s="2" t="n">
        <v>128</v>
      </c>
      <c r="D606" s="2" t="n">
        <v>925</v>
      </c>
      <c r="E606" s="2" t="n">
        <v>364</v>
      </c>
      <c r="F606" s="2" t="n">
        <v>58</v>
      </c>
      <c r="G606" s="2" t="n">
        <v>489</v>
      </c>
      <c r="H606" s="2" t="n">
        <v>3</v>
      </c>
      <c r="I606" s="3" t="n">
        <v>1858.77</v>
      </c>
      <c r="J606" s="3" t="n">
        <v>1803.6</v>
      </c>
      <c r="K606" s="3" t="n">
        <v>4828.68</v>
      </c>
      <c r="L606" s="3" t="n">
        <v>2223.68</v>
      </c>
      <c r="M606" s="2" t="n">
        <v>7.5</v>
      </c>
      <c r="N606" s="2" t="s">
        <v>24</v>
      </c>
      <c r="O606" s="4" t="n">
        <f aca="false">VLOOKUP(F606,DIM_SERVICO!$A$2:$D$151,4,FALSE())</f>
        <v>1803.6</v>
      </c>
      <c r="P606" s="4" t="n">
        <f aca="false">VLOOKUP(E606,DIM_PECA!$A$2:$F$501,6,FALSE())</f>
        <v>1187.2</v>
      </c>
      <c r="Q606" s="4" t="n">
        <f aca="false">VLOOKUP(E606,DIM_PECA!$A$2:$F$501,5,FALSE())</f>
        <v>619.59</v>
      </c>
      <c r="R606" s="4" t="n">
        <f aca="false">H606*P606</f>
        <v>3561.6</v>
      </c>
      <c r="S606" s="4" t="n">
        <f aca="false">O606*M606</f>
        <v>13527</v>
      </c>
      <c r="T606" s="4" t="n">
        <f aca="false">R606+S606</f>
        <v>17088.6</v>
      </c>
      <c r="U606" s="4" t="n">
        <f aca="false">T606-K606</f>
        <v>12259.92</v>
      </c>
      <c r="V606" s="4" t="n">
        <f aca="false">R606+S606-U606</f>
        <v>4828.68</v>
      </c>
      <c r="W606" s="5" t="str">
        <f aca="false">IF(ROUND(V606-K606,2)=0,"OK","ERRO")</f>
        <v>OK</v>
      </c>
      <c r="X606" s="5" t="str">
        <f aca="false">VLOOKUP(F606,DIM_SERVICO!$A$2:$D$151,3,FALSE())</f>
        <v>Freios</v>
      </c>
    </row>
    <row r="607" customFormat="false" ht="15" hidden="false" customHeight="false" outlineLevel="0" collapsed="false">
      <c r="A607" s="6" t="n">
        <v>606</v>
      </c>
      <c r="B607" s="6" t="n">
        <v>1104</v>
      </c>
      <c r="C607" s="6" t="n">
        <v>306</v>
      </c>
      <c r="D607" s="6" t="n">
        <v>1083</v>
      </c>
      <c r="E607" s="6" t="n">
        <v>331</v>
      </c>
      <c r="F607" s="6" t="n">
        <v>65</v>
      </c>
      <c r="G607" s="6" t="n">
        <v>711</v>
      </c>
      <c r="H607" s="6" t="n">
        <v>3</v>
      </c>
      <c r="I607" s="7" t="n">
        <v>2426.46</v>
      </c>
      <c r="J607" s="7" t="n">
        <v>1214.63</v>
      </c>
      <c r="K607" s="7" t="n">
        <v>4080.56</v>
      </c>
      <c r="L607" s="7" t="n">
        <v>1207.85</v>
      </c>
      <c r="M607" s="6" t="n">
        <v>2.8</v>
      </c>
      <c r="N607" s="6" t="s">
        <v>24</v>
      </c>
      <c r="O607" s="8" t="n">
        <f aca="false">VLOOKUP(F607,DIM_SERVICO!$A$2:$D$151,4,FALSE())</f>
        <v>1214.63</v>
      </c>
      <c r="P607" s="8" t="n">
        <f aca="false">VLOOKUP(E607,DIM_PECA!$A$2:$F$501,6,FALSE())</f>
        <v>1106.44</v>
      </c>
      <c r="Q607" s="8" t="n">
        <f aca="false">VLOOKUP(E607,DIM_PECA!$A$2:$F$501,5,FALSE())</f>
        <v>808.82</v>
      </c>
      <c r="R607" s="8" t="n">
        <f aca="false">H607*P607</f>
        <v>3319.32</v>
      </c>
      <c r="S607" s="8" t="n">
        <f aca="false">O607*M607</f>
        <v>3400.964</v>
      </c>
      <c r="T607" s="8" t="n">
        <f aca="false">R607+S607</f>
        <v>6720.284</v>
      </c>
      <c r="U607" s="8" t="n">
        <f aca="false">T607-K607</f>
        <v>2639.724</v>
      </c>
      <c r="V607" s="8" t="n">
        <f aca="false">R607+S607-U607</f>
        <v>4080.56</v>
      </c>
      <c r="W607" s="9" t="str">
        <f aca="false">IF(ROUND(V607-K607,2)=0,"OK","ERRO")</f>
        <v>OK</v>
      </c>
      <c r="X607" s="9" t="str">
        <f aca="false">VLOOKUP(F607,DIM_SERVICO!$A$2:$D$151,3,FALSE())</f>
        <v>Elétrica</v>
      </c>
    </row>
    <row r="608" customFormat="false" ht="15" hidden="false" customHeight="false" outlineLevel="0" collapsed="false">
      <c r="A608" s="2" t="n">
        <v>607</v>
      </c>
      <c r="B608" s="2" t="n">
        <v>811</v>
      </c>
      <c r="C608" s="2" t="n">
        <v>1017</v>
      </c>
      <c r="D608" s="2" t="n">
        <v>1001</v>
      </c>
      <c r="E608" s="2" t="n">
        <v>267</v>
      </c>
      <c r="F608" s="2" t="n">
        <v>28</v>
      </c>
      <c r="G608" s="2" t="n">
        <v>624</v>
      </c>
      <c r="H608" s="2" t="n">
        <v>4</v>
      </c>
      <c r="I608" s="3" t="n">
        <v>3606.32</v>
      </c>
      <c r="J608" s="3" t="n">
        <v>2152.12</v>
      </c>
      <c r="K608" s="3" t="n">
        <v>7214.15</v>
      </c>
      <c r="L608" s="3" t="n">
        <v>2464.55</v>
      </c>
      <c r="M608" s="2" t="n">
        <v>2.2</v>
      </c>
      <c r="N608" s="2" t="s">
        <v>24</v>
      </c>
      <c r="O608" s="4" t="n">
        <f aca="false">VLOOKUP(F608,DIM_SERVICO!$A$2:$D$151,4,FALSE())</f>
        <v>2152.12</v>
      </c>
      <c r="P608" s="4" t="n">
        <f aca="false">VLOOKUP(E608,DIM_PECA!$A$2:$F$501,6,FALSE())</f>
        <v>1465.9</v>
      </c>
      <c r="Q608" s="4" t="n">
        <f aca="false">VLOOKUP(E608,DIM_PECA!$A$2:$F$501,5,FALSE())</f>
        <v>901.58</v>
      </c>
      <c r="R608" s="4" t="n">
        <f aca="false">H608*P608</f>
        <v>5863.6</v>
      </c>
      <c r="S608" s="4" t="n">
        <f aca="false">O608*M608</f>
        <v>4734.664</v>
      </c>
      <c r="T608" s="4" t="n">
        <f aca="false">R608+S608</f>
        <v>10598.264</v>
      </c>
      <c r="U608" s="4" t="n">
        <f aca="false">T608-K608</f>
        <v>3384.114</v>
      </c>
      <c r="V608" s="4" t="n">
        <f aca="false">R608+S608-U608</f>
        <v>7214.15</v>
      </c>
      <c r="W608" s="5" t="str">
        <f aca="false">IF(ROUND(V608-K608,2)=0,"OK","ERRO")</f>
        <v>OK</v>
      </c>
      <c r="X608" s="5" t="str">
        <f aca="false">VLOOKUP(F608,DIM_SERVICO!$A$2:$D$151,3,FALSE())</f>
        <v>Freios</v>
      </c>
    </row>
    <row r="609" customFormat="false" ht="15" hidden="false" customHeight="false" outlineLevel="0" collapsed="false">
      <c r="A609" s="6" t="n">
        <v>608</v>
      </c>
      <c r="B609" s="6" t="n">
        <v>323</v>
      </c>
      <c r="C609" s="6" t="n">
        <v>717</v>
      </c>
      <c r="D609" s="6" t="n">
        <v>48</v>
      </c>
      <c r="E609" s="6" t="n">
        <v>235</v>
      </c>
      <c r="F609" s="6" t="n">
        <v>79</v>
      </c>
      <c r="G609" s="6" t="n">
        <v>456</v>
      </c>
      <c r="H609" s="6" t="n">
        <v>2</v>
      </c>
      <c r="I609" s="7" t="n">
        <v>62.12</v>
      </c>
      <c r="J609" s="7" t="n">
        <v>748.05</v>
      </c>
      <c r="K609" s="7" t="n">
        <v>878.87</v>
      </c>
      <c r="L609" s="7" t="n">
        <v>432.14</v>
      </c>
      <c r="M609" s="6" t="n">
        <v>4.6</v>
      </c>
      <c r="N609" s="6" t="s">
        <v>25</v>
      </c>
      <c r="O609" s="8" t="n">
        <f aca="false">VLOOKUP(F609,DIM_SERVICO!$A$2:$D$151,4,FALSE())</f>
        <v>748.05</v>
      </c>
      <c r="P609" s="8" t="n">
        <f aca="false">VLOOKUP(E609,DIM_PECA!$A$2:$F$501,6,FALSE())</f>
        <v>65.41</v>
      </c>
      <c r="Q609" s="8" t="n">
        <f aca="false">VLOOKUP(E609,DIM_PECA!$A$2:$F$501,5,FALSE())</f>
        <v>31.06</v>
      </c>
      <c r="R609" s="8" t="n">
        <f aca="false">H609*P609</f>
        <v>130.82</v>
      </c>
      <c r="S609" s="8" t="n">
        <f aca="false">O609*M609</f>
        <v>3441.03</v>
      </c>
      <c r="T609" s="8" t="n">
        <f aca="false">R609+S609</f>
        <v>3571.85</v>
      </c>
      <c r="U609" s="8" t="n">
        <f aca="false">T609-K609</f>
        <v>2692.98</v>
      </c>
      <c r="V609" s="8" t="n">
        <f aca="false">R609+S609-U609</f>
        <v>878.87</v>
      </c>
      <c r="W609" s="9" t="str">
        <f aca="false">IF(ROUND(V609-K609,2)=0,"OK","ERRO")</f>
        <v>OK</v>
      </c>
      <c r="X609" s="9" t="str">
        <f aca="false">VLOOKUP(F609,DIM_SERVICO!$A$2:$D$151,3,FALSE())</f>
        <v>Freios</v>
      </c>
    </row>
    <row r="610" customFormat="false" ht="15" hidden="false" customHeight="false" outlineLevel="0" collapsed="false">
      <c r="A610" s="2" t="n">
        <v>609</v>
      </c>
      <c r="B610" s="2" t="n">
        <v>39</v>
      </c>
      <c r="C610" s="2" t="n">
        <v>1379</v>
      </c>
      <c r="D610" s="2" t="n">
        <v>110</v>
      </c>
      <c r="E610" s="2" t="n">
        <v>333</v>
      </c>
      <c r="F610" s="2" t="n">
        <v>15</v>
      </c>
      <c r="G610" s="2" t="n">
        <v>908</v>
      </c>
      <c r="H610" s="2" t="n">
        <v>4</v>
      </c>
      <c r="I610" s="3" t="n">
        <v>3553.2</v>
      </c>
      <c r="J610" s="3" t="n">
        <v>1426.42</v>
      </c>
      <c r="K610" s="3" t="n">
        <v>6153.17</v>
      </c>
      <c r="L610" s="3" t="n">
        <v>1973.36</v>
      </c>
      <c r="M610" s="2" t="n">
        <v>4.3</v>
      </c>
      <c r="N610" s="2" t="s">
        <v>24</v>
      </c>
      <c r="O610" s="4" t="n">
        <f aca="false">VLOOKUP(F610,DIM_SERVICO!$A$2:$D$151,4,FALSE())</f>
        <v>1426.42</v>
      </c>
      <c r="P610" s="4" t="n">
        <f aca="false">VLOOKUP(E610,DIM_PECA!$A$2:$F$501,6,FALSE())</f>
        <v>1213.08</v>
      </c>
      <c r="Q610" s="4" t="n">
        <f aca="false">VLOOKUP(E610,DIM_PECA!$A$2:$F$501,5,FALSE())</f>
        <v>888.3</v>
      </c>
      <c r="R610" s="4" t="n">
        <f aca="false">H610*P610</f>
        <v>4852.32</v>
      </c>
      <c r="S610" s="4" t="n">
        <f aca="false">O610*M610</f>
        <v>6133.606</v>
      </c>
      <c r="T610" s="4" t="n">
        <f aca="false">R610+S610</f>
        <v>10985.926</v>
      </c>
      <c r="U610" s="4" t="n">
        <f aca="false">T610-K610</f>
        <v>4832.756</v>
      </c>
      <c r="V610" s="4" t="n">
        <f aca="false">R610+S610-U610</f>
        <v>6153.17</v>
      </c>
      <c r="W610" s="5" t="str">
        <f aca="false">IF(ROUND(V610-K610,2)=0,"OK","ERRO")</f>
        <v>OK</v>
      </c>
      <c r="X610" s="5" t="str">
        <f aca="false">VLOOKUP(F610,DIM_SERVICO!$A$2:$D$151,3,FALSE())</f>
        <v>Pintura</v>
      </c>
    </row>
    <row r="611" customFormat="false" ht="15" hidden="false" customHeight="false" outlineLevel="0" collapsed="false">
      <c r="A611" s="6" t="n">
        <v>610</v>
      </c>
      <c r="B611" s="6" t="n">
        <v>304</v>
      </c>
      <c r="C611" s="6" t="n">
        <v>71</v>
      </c>
      <c r="D611" s="6" t="n">
        <v>582</v>
      </c>
      <c r="E611" s="6" t="n">
        <v>98</v>
      </c>
      <c r="F611" s="6" t="n">
        <v>82</v>
      </c>
      <c r="G611" s="6" t="n">
        <v>992</v>
      </c>
      <c r="H611" s="6" t="n">
        <v>4</v>
      </c>
      <c r="I611" s="7" t="n">
        <v>2598.4</v>
      </c>
      <c r="J611" s="7" t="n">
        <v>673.49</v>
      </c>
      <c r="K611" s="7" t="n">
        <v>5018.46</v>
      </c>
      <c r="L611" s="7" t="n">
        <v>2176.3</v>
      </c>
      <c r="M611" s="6" t="n">
        <v>5</v>
      </c>
      <c r="N611" s="6" t="s">
        <v>24</v>
      </c>
      <c r="O611" s="8" t="n">
        <f aca="false">VLOOKUP(F611,DIM_SERVICO!$A$2:$D$151,4,FALSE())</f>
        <v>673.49</v>
      </c>
      <c r="P611" s="8" t="n">
        <f aca="false">VLOOKUP(E611,DIM_PECA!$A$2:$F$501,6,FALSE())</f>
        <v>1195.34</v>
      </c>
      <c r="Q611" s="8" t="n">
        <f aca="false">VLOOKUP(E611,DIM_PECA!$A$2:$F$501,5,FALSE())</f>
        <v>649.6</v>
      </c>
      <c r="R611" s="8" t="n">
        <f aca="false">H611*P611</f>
        <v>4781.36</v>
      </c>
      <c r="S611" s="8" t="n">
        <f aca="false">O611*M611</f>
        <v>3367.45</v>
      </c>
      <c r="T611" s="8" t="n">
        <f aca="false">R611+S611</f>
        <v>8148.81</v>
      </c>
      <c r="U611" s="8" t="n">
        <f aca="false">T611-K611</f>
        <v>3130.35</v>
      </c>
      <c r="V611" s="8" t="n">
        <f aca="false">R611+S611-U611</f>
        <v>5018.46</v>
      </c>
      <c r="W611" s="9" t="str">
        <f aca="false">IF(ROUND(V611-K611,2)=0,"OK","ERRO")</f>
        <v>OK</v>
      </c>
      <c r="X611" s="9" t="str">
        <f aca="false">VLOOKUP(F611,DIM_SERVICO!$A$2:$D$151,3,FALSE())</f>
        <v>Diagnóstico</v>
      </c>
    </row>
    <row r="612" customFormat="false" ht="15" hidden="false" customHeight="false" outlineLevel="0" collapsed="false">
      <c r="A612" s="2" t="n">
        <v>611</v>
      </c>
      <c r="B612" s="2" t="n">
        <v>354</v>
      </c>
      <c r="C612" s="2" t="n">
        <v>927</v>
      </c>
      <c r="D612" s="2" t="n">
        <v>389</v>
      </c>
      <c r="E612" s="2" t="n">
        <v>112</v>
      </c>
      <c r="F612" s="2" t="n">
        <v>100</v>
      </c>
      <c r="G612" s="2" t="n">
        <v>140</v>
      </c>
      <c r="H612" s="2" t="n">
        <v>3</v>
      </c>
      <c r="I612" s="3" t="n">
        <v>1887.69</v>
      </c>
      <c r="J612" s="3" t="n">
        <v>2148.55</v>
      </c>
      <c r="K612" s="3" t="n">
        <v>5693.95</v>
      </c>
      <c r="L612" s="3" t="n">
        <v>2636.55</v>
      </c>
      <c r="M612" s="2" t="n">
        <v>3.7</v>
      </c>
      <c r="N612" s="2" t="s">
        <v>24</v>
      </c>
      <c r="O612" s="4" t="n">
        <f aca="false">VLOOKUP(F612,DIM_SERVICO!$A$2:$D$151,4,FALSE())</f>
        <v>2148.55</v>
      </c>
      <c r="P612" s="4" t="n">
        <f aca="false">VLOOKUP(E612,DIM_PECA!$A$2:$F$501,6,FALSE())</f>
        <v>1181.8</v>
      </c>
      <c r="Q612" s="4" t="n">
        <f aca="false">VLOOKUP(E612,DIM_PECA!$A$2:$F$501,5,FALSE())</f>
        <v>629.23</v>
      </c>
      <c r="R612" s="4" t="n">
        <f aca="false">H612*P612</f>
        <v>3545.4</v>
      </c>
      <c r="S612" s="4" t="n">
        <f aca="false">O612*M612</f>
        <v>7949.635</v>
      </c>
      <c r="T612" s="4" t="n">
        <f aca="false">R612+S612</f>
        <v>11495.035</v>
      </c>
      <c r="U612" s="4" t="n">
        <f aca="false">T612-K612</f>
        <v>5801.085</v>
      </c>
      <c r="V612" s="4" t="n">
        <f aca="false">R612+S612-U612</f>
        <v>5693.95</v>
      </c>
      <c r="W612" s="5" t="str">
        <f aca="false">IF(ROUND(V612-K612,2)=0,"OK","ERRO")</f>
        <v>OK</v>
      </c>
      <c r="X612" s="5" t="str">
        <f aca="false">VLOOKUP(F612,DIM_SERVICO!$A$2:$D$151,3,FALSE())</f>
        <v>Motor</v>
      </c>
    </row>
    <row r="613" customFormat="false" ht="15" hidden="false" customHeight="false" outlineLevel="0" collapsed="false">
      <c r="A613" s="6" t="n">
        <v>612</v>
      </c>
      <c r="B613" s="6" t="n">
        <v>713</v>
      </c>
      <c r="C613" s="6" t="n">
        <v>730</v>
      </c>
      <c r="D613" s="6" t="n">
        <v>168</v>
      </c>
      <c r="E613" s="6" t="n">
        <v>426</v>
      </c>
      <c r="F613" s="6" t="n">
        <v>112</v>
      </c>
      <c r="G613" s="6" t="n">
        <v>1505</v>
      </c>
      <c r="H613" s="6" t="n">
        <v>2</v>
      </c>
      <c r="I613" s="7" t="n">
        <v>373.54</v>
      </c>
      <c r="J613" s="7" t="n">
        <v>899.56</v>
      </c>
      <c r="K613" s="7" t="n">
        <v>1532.24</v>
      </c>
      <c r="L613" s="7" t="n">
        <v>733.06</v>
      </c>
      <c r="M613" s="6" t="n">
        <v>5.3</v>
      </c>
      <c r="N613" s="6" t="s">
        <v>24</v>
      </c>
      <c r="O613" s="8" t="n">
        <f aca="false">VLOOKUP(F613,DIM_SERVICO!$A$2:$D$151,4,FALSE())</f>
        <v>899.56</v>
      </c>
      <c r="P613" s="8" t="n">
        <f aca="false">VLOOKUP(E613,DIM_PECA!$A$2:$F$501,6,FALSE())</f>
        <v>316.34</v>
      </c>
      <c r="Q613" s="8" t="n">
        <f aca="false">VLOOKUP(E613,DIM_PECA!$A$2:$F$501,5,FALSE())</f>
        <v>186.77</v>
      </c>
      <c r="R613" s="8" t="n">
        <f aca="false">H613*P613</f>
        <v>632.68</v>
      </c>
      <c r="S613" s="8" t="n">
        <f aca="false">O613*M613</f>
        <v>4767.668</v>
      </c>
      <c r="T613" s="8" t="n">
        <f aca="false">R613+S613</f>
        <v>5400.348</v>
      </c>
      <c r="U613" s="8" t="n">
        <f aca="false">T613-K613</f>
        <v>3868.108</v>
      </c>
      <c r="V613" s="8" t="n">
        <f aca="false">R613+S613-U613</f>
        <v>1532.24</v>
      </c>
      <c r="W613" s="9" t="str">
        <f aca="false">IF(ROUND(V613-K613,2)=0,"OK","ERRO")</f>
        <v>OK</v>
      </c>
      <c r="X613" s="9" t="str">
        <f aca="false">VLOOKUP(F613,DIM_SERVICO!$A$2:$D$151,3,FALSE())</f>
        <v>Elétrica</v>
      </c>
    </row>
    <row r="614" customFormat="false" ht="15" hidden="false" customHeight="false" outlineLevel="0" collapsed="false">
      <c r="A614" s="2" t="n">
        <v>613</v>
      </c>
      <c r="B614" s="2" t="n">
        <v>290</v>
      </c>
      <c r="C614" s="2" t="n">
        <v>132</v>
      </c>
      <c r="D614" s="2" t="n">
        <v>1149</v>
      </c>
      <c r="E614" s="2" t="n">
        <v>141</v>
      </c>
      <c r="F614" s="2" t="n">
        <v>131</v>
      </c>
      <c r="G614" s="2" t="n">
        <v>1805</v>
      </c>
      <c r="H614" s="2" t="n">
        <v>2</v>
      </c>
      <c r="I614" s="3" t="n">
        <v>1071.12</v>
      </c>
      <c r="J614" s="3" t="n">
        <v>419.61</v>
      </c>
      <c r="K614" s="3" t="n">
        <v>1916.11</v>
      </c>
      <c r="L614" s="3" t="n">
        <v>675.94</v>
      </c>
      <c r="M614" s="2" t="n">
        <v>5.3</v>
      </c>
      <c r="N614" s="2" t="s">
        <v>24</v>
      </c>
      <c r="O614" s="4" t="n">
        <f aca="false">VLOOKUP(F614,DIM_SERVICO!$A$2:$D$151,4,FALSE())</f>
        <v>419.61</v>
      </c>
      <c r="P614" s="4" t="n">
        <f aca="false">VLOOKUP(E614,DIM_PECA!$A$2:$F$501,6,FALSE())</f>
        <v>831.56</v>
      </c>
      <c r="Q614" s="4" t="n">
        <f aca="false">VLOOKUP(E614,DIM_PECA!$A$2:$F$501,5,FALSE())</f>
        <v>535.56</v>
      </c>
      <c r="R614" s="4" t="n">
        <f aca="false">H614*P614</f>
        <v>1663.12</v>
      </c>
      <c r="S614" s="4" t="n">
        <f aca="false">O614*M614</f>
        <v>2223.933</v>
      </c>
      <c r="T614" s="4" t="n">
        <f aca="false">R614+S614</f>
        <v>3887.053</v>
      </c>
      <c r="U614" s="4" t="n">
        <f aca="false">T614-K614</f>
        <v>1970.943</v>
      </c>
      <c r="V614" s="4" t="n">
        <f aca="false">R614+S614-U614</f>
        <v>1916.11</v>
      </c>
      <c r="W614" s="5" t="str">
        <f aca="false">IF(ROUND(V614-K614,2)=0,"OK","ERRO")</f>
        <v>OK</v>
      </c>
      <c r="X614" s="5" t="str">
        <f aca="false">VLOOKUP(F614,DIM_SERVICO!$A$2:$D$151,3,FALSE())</f>
        <v>Freios</v>
      </c>
    </row>
    <row r="615" customFormat="false" ht="15" hidden="false" customHeight="false" outlineLevel="0" collapsed="false">
      <c r="A615" s="6" t="n">
        <v>614</v>
      </c>
      <c r="B615" s="6" t="n">
        <v>1410</v>
      </c>
      <c r="C615" s="6" t="n">
        <v>1118</v>
      </c>
      <c r="D615" s="6" t="n">
        <v>622</v>
      </c>
      <c r="E615" s="6" t="n">
        <v>39</v>
      </c>
      <c r="F615" s="6" t="n">
        <v>114</v>
      </c>
      <c r="G615" s="6" t="n">
        <v>1081</v>
      </c>
      <c r="H615" s="6" t="n">
        <v>2</v>
      </c>
      <c r="I615" s="7" t="n">
        <v>2270.2</v>
      </c>
      <c r="J615" s="7" t="n">
        <v>767.72</v>
      </c>
      <c r="K615" s="7" t="n">
        <v>3792.31</v>
      </c>
      <c r="L615" s="7" t="n">
        <v>1184.37</v>
      </c>
      <c r="M615" s="6" t="n">
        <v>9.1</v>
      </c>
      <c r="N615" s="6" t="s">
        <v>24</v>
      </c>
      <c r="O615" s="8" t="n">
        <f aca="false">VLOOKUP(F615,DIM_SERVICO!$A$2:$D$151,4,FALSE())</f>
        <v>767.72</v>
      </c>
      <c r="P615" s="8" t="n">
        <f aca="false">VLOOKUP(E615,DIM_PECA!$A$2:$F$501,6,FALSE())</f>
        <v>1677.18</v>
      </c>
      <c r="Q615" s="8" t="n">
        <f aca="false">VLOOKUP(E615,DIM_PECA!$A$2:$F$501,5,FALSE())</f>
        <v>1135.1</v>
      </c>
      <c r="R615" s="8" t="n">
        <f aca="false">H615*P615</f>
        <v>3354.36</v>
      </c>
      <c r="S615" s="8" t="n">
        <f aca="false">O615*M615</f>
        <v>6986.252</v>
      </c>
      <c r="T615" s="8" t="n">
        <f aca="false">R615+S615</f>
        <v>10340.612</v>
      </c>
      <c r="U615" s="8" t="n">
        <f aca="false">T615-K615</f>
        <v>6548.302</v>
      </c>
      <c r="V615" s="8" t="n">
        <f aca="false">R615+S615-U615</f>
        <v>3792.31</v>
      </c>
      <c r="W615" s="9" t="str">
        <f aca="false">IF(ROUND(V615-K615,2)=0,"OK","ERRO")</f>
        <v>OK</v>
      </c>
      <c r="X615" s="9" t="str">
        <f aca="false">VLOOKUP(F615,DIM_SERVICO!$A$2:$D$151,3,FALSE())</f>
        <v>Elétrica</v>
      </c>
    </row>
    <row r="616" customFormat="false" ht="15" hidden="false" customHeight="false" outlineLevel="0" collapsed="false">
      <c r="A616" s="2" t="n">
        <v>615</v>
      </c>
      <c r="B616" s="2" t="n">
        <v>803</v>
      </c>
      <c r="C616" s="2" t="n">
        <v>971</v>
      </c>
      <c r="D616" s="2" t="n">
        <v>376</v>
      </c>
      <c r="E616" s="2" t="n">
        <v>31</v>
      </c>
      <c r="F616" s="2" t="n">
        <v>100</v>
      </c>
      <c r="G616" s="2" t="n">
        <v>140</v>
      </c>
      <c r="H616" s="2" t="n">
        <v>3</v>
      </c>
      <c r="I616" s="3" t="n">
        <v>1169.94</v>
      </c>
      <c r="J616" s="3" t="n">
        <v>2148.55</v>
      </c>
      <c r="K616" s="3" t="n">
        <v>4179.69</v>
      </c>
      <c r="L616" s="3" t="n">
        <v>1865.68</v>
      </c>
      <c r="M616" s="2" t="n">
        <v>1.4</v>
      </c>
      <c r="N616" s="2" t="s">
        <v>24</v>
      </c>
      <c r="O616" s="4" t="n">
        <f aca="false">VLOOKUP(F616,DIM_SERVICO!$A$2:$D$151,4,FALSE())</f>
        <v>2148.55</v>
      </c>
      <c r="P616" s="4" t="n">
        <f aca="false">VLOOKUP(E616,DIM_PECA!$A$2:$F$501,6,FALSE())</f>
        <v>831.85</v>
      </c>
      <c r="Q616" s="4" t="n">
        <f aca="false">VLOOKUP(E616,DIM_PECA!$A$2:$F$501,5,FALSE())</f>
        <v>389.98</v>
      </c>
      <c r="R616" s="4" t="n">
        <f aca="false">H616*P616</f>
        <v>2495.55</v>
      </c>
      <c r="S616" s="4" t="n">
        <f aca="false">O616*M616</f>
        <v>3007.97</v>
      </c>
      <c r="T616" s="4" t="n">
        <f aca="false">R616+S616</f>
        <v>5503.52</v>
      </c>
      <c r="U616" s="4" t="n">
        <f aca="false">T616-K616</f>
        <v>1323.83</v>
      </c>
      <c r="V616" s="4" t="n">
        <f aca="false">R616+S616-U616</f>
        <v>4179.69</v>
      </c>
      <c r="W616" s="5" t="str">
        <f aca="false">IF(ROUND(V616-K616,2)=0,"OK","ERRO")</f>
        <v>OK</v>
      </c>
      <c r="X616" s="5" t="str">
        <f aca="false">VLOOKUP(F616,DIM_SERVICO!$A$2:$D$151,3,FALSE())</f>
        <v>Motor</v>
      </c>
    </row>
    <row r="617" customFormat="false" ht="15" hidden="false" customHeight="false" outlineLevel="0" collapsed="false">
      <c r="A617" s="6" t="n">
        <v>616</v>
      </c>
      <c r="B617" s="6" t="n">
        <v>1073</v>
      </c>
      <c r="C617" s="6" t="n">
        <v>1372</v>
      </c>
      <c r="D617" s="6" t="n">
        <v>459</v>
      </c>
      <c r="E617" s="6" t="n">
        <v>393</v>
      </c>
      <c r="F617" s="6" t="n">
        <v>23</v>
      </c>
      <c r="G617" s="6" t="n">
        <v>1220</v>
      </c>
      <c r="H617" s="6" t="n">
        <v>4</v>
      </c>
      <c r="I617" s="7" t="n">
        <v>4535</v>
      </c>
      <c r="J617" s="7" t="n">
        <v>1828.61</v>
      </c>
      <c r="K617" s="7" t="n">
        <v>10131.41</v>
      </c>
      <c r="L617" s="7" t="n">
        <v>4947.02</v>
      </c>
      <c r="M617" s="6" t="n">
        <v>1.2</v>
      </c>
      <c r="N617" s="6" t="s">
        <v>27</v>
      </c>
      <c r="O617" s="8" t="n">
        <f aca="false">VLOOKUP(F617,DIM_SERVICO!$A$2:$D$151,4,FALSE())</f>
        <v>1828.61</v>
      </c>
      <c r="P617" s="8" t="n">
        <f aca="false">VLOOKUP(E617,DIM_PECA!$A$2:$F$501,6,FALSE())</f>
        <v>2075.7</v>
      </c>
      <c r="Q617" s="8" t="n">
        <f aca="false">VLOOKUP(E617,DIM_PECA!$A$2:$F$501,5,FALSE())</f>
        <v>1133.75</v>
      </c>
      <c r="R617" s="8" t="n">
        <f aca="false">H617*P617</f>
        <v>8302.8</v>
      </c>
      <c r="S617" s="8" t="n">
        <f aca="false">O617*M617</f>
        <v>2194.332</v>
      </c>
      <c r="T617" s="8" t="n">
        <f aca="false">R617+S617</f>
        <v>10497.132</v>
      </c>
      <c r="U617" s="8" t="n">
        <f aca="false">T617-K617</f>
        <v>365.722</v>
      </c>
      <c r="V617" s="8" t="n">
        <f aca="false">R617+S617-U617</f>
        <v>10131.41</v>
      </c>
      <c r="W617" s="9" t="str">
        <f aca="false">IF(ROUND(V617-K617,2)=0,"OK","ERRO")</f>
        <v>OK</v>
      </c>
      <c r="X617" s="9" t="str">
        <f aca="false">VLOOKUP(F617,DIM_SERVICO!$A$2:$D$151,3,FALSE())</f>
        <v>Freios</v>
      </c>
    </row>
    <row r="618" customFormat="false" ht="15" hidden="false" customHeight="false" outlineLevel="0" collapsed="false">
      <c r="A618" s="2" t="n">
        <v>617</v>
      </c>
      <c r="B618" s="2" t="n">
        <v>816</v>
      </c>
      <c r="C618" s="2" t="n">
        <v>1492</v>
      </c>
      <c r="D618" s="2" t="n">
        <v>1062</v>
      </c>
      <c r="E618" s="2" t="n">
        <v>80</v>
      </c>
      <c r="F618" s="2" t="n">
        <v>84</v>
      </c>
      <c r="G618" s="2" t="n">
        <v>845</v>
      </c>
      <c r="H618" s="2" t="n">
        <v>2</v>
      </c>
      <c r="I618" s="3" t="n">
        <v>967.94</v>
      </c>
      <c r="J618" s="3" t="n">
        <v>1250.08</v>
      </c>
      <c r="K618" s="3" t="n">
        <v>2624.33</v>
      </c>
      <c r="L618" s="3" t="n">
        <v>1049.64</v>
      </c>
      <c r="M618" s="2" t="n">
        <v>8</v>
      </c>
      <c r="N618" s="2" t="s">
        <v>25</v>
      </c>
      <c r="O618" s="4" t="n">
        <f aca="false">VLOOKUP(F618,DIM_SERVICO!$A$2:$D$151,4,FALSE())</f>
        <v>1250.08</v>
      </c>
      <c r="P618" s="4" t="n">
        <f aca="false">VLOOKUP(E618,DIM_PECA!$A$2:$F$501,6,FALSE())</f>
        <v>832.92</v>
      </c>
      <c r="Q618" s="4" t="n">
        <f aca="false">VLOOKUP(E618,DIM_PECA!$A$2:$F$501,5,FALSE())</f>
        <v>483.97</v>
      </c>
      <c r="R618" s="4" t="n">
        <f aca="false">H618*P618</f>
        <v>1665.84</v>
      </c>
      <c r="S618" s="4" t="n">
        <f aca="false">O618*M618</f>
        <v>10000.64</v>
      </c>
      <c r="T618" s="4" t="n">
        <f aca="false">R618+S618</f>
        <v>11666.48</v>
      </c>
      <c r="U618" s="4" t="n">
        <f aca="false">T618-K618</f>
        <v>9042.15</v>
      </c>
      <c r="V618" s="4" t="n">
        <f aca="false">R618+S618-U618</f>
        <v>2624.33</v>
      </c>
      <c r="W618" s="5" t="str">
        <f aca="false">IF(ROUND(V618-K618,2)=0,"OK","ERRO")</f>
        <v>OK</v>
      </c>
      <c r="X618" s="5" t="str">
        <f aca="false">VLOOKUP(F618,DIM_SERVICO!$A$2:$D$151,3,FALSE())</f>
        <v>Freios</v>
      </c>
    </row>
    <row r="619" customFormat="false" ht="15" hidden="false" customHeight="false" outlineLevel="0" collapsed="false">
      <c r="A619" s="6" t="n">
        <v>618</v>
      </c>
      <c r="B619" s="6" t="n">
        <v>591</v>
      </c>
      <c r="C619" s="6" t="n">
        <v>874</v>
      </c>
      <c r="D619" s="6" t="n">
        <v>219</v>
      </c>
      <c r="E619" s="6" t="n">
        <v>229</v>
      </c>
      <c r="F619" s="6" t="n">
        <v>134</v>
      </c>
      <c r="G619" s="6" t="n">
        <v>511</v>
      </c>
      <c r="H619" s="6" t="n">
        <v>4</v>
      </c>
      <c r="I619" s="7" t="n">
        <v>227.96</v>
      </c>
      <c r="J619" s="7" t="n">
        <v>1364.67</v>
      </c>
      <c r="K619" s="7" t="n">
        <v>1825.26</v>
      </c>
      <c r="L619" s="7" t="n">
        <v>989.06</v>
      </c>
      <c r="M619" s="6" t="n">
        <v>3.5</v>
      </c>
      <c r="N619" s="6" t="s">
        <v>24</v>
      </c>
      <c r="O619" s="8" t="n">
        <f aca="false">VLOOKUP(F619,DIM_SERVICO!$A$2:$D$151,4,FALSE())</f>
        <v>1364.67</v>
      </c>
      <c r="P619" s="8" t="n">
        <f aca="false">VLOOKUP(E619,DIM_PECA!$A$2:$F$501,6,FALSE())</f>
        <v>124.46</v>
      </c>
      <c r="Q619" s="8" t="n">
        <f aca="false">VLOOKUP(E619,DIM_PECA!$A$2:$F$501,5,FALSE())</f>
        <v>56.99</v>
      </c>
      <c r="R619" s="8" t="n">
        <f aca="false">H619*P619</f>
        <v>497.84</v>
      </c>
      <c r="S619" s="8" t="n">
        <f aca="false">O619*M619</f>
        <v>4776.345</v>
      </c>
      <c r="T619" s="8" t="n">
        <f aca="false">R619+S619</f>
        <v>5274.185</v>
      </c>
      <c r="U619" s="8" t="n">
        <f aca="false">T619-K619</f>
        <v>3448.925</v>
      </c>
      <c r="V619" s="8" t="n">
        <f aca="false">R619+S619-U619</f>
        <v>1825.26</v>
      </c>
      <c r="W619" s="9" t="str">
        <f aca="false">IF(ROUND(V619-K619,2)=0,"OK","ERRO")</f>
        <v>OK</v>
      </c>
      <c r="X619" s="9" t="str">
        <f aca="false">VLOOKUP(F619,DIM_SERVICO!$A$2:$D$151,3,FALSE())</f>
        <v>Elétrica</v>
      </c>
    </row>
    <row r="620" customFormat="false" ht="15" hidden="false" customHeight="false" outlineLevel="0" collapsed="false">
      <c r="A620" s="2" t="n">
        <v>619</v>
      </c>
      <c r="B620" s="2" t="n">
        <v>766</v>
      </c>
      <c r="C620" s="2" t="n">
        <v>275</v>
      </c>
      <c r="D620" s="2" t="n">
        <v>411</v>
      </c>
      <c r="E620" s="2" t="n">
        <v>153</v>
      </c>
      <c r="F620" s="2" t="n">
        <v>121</v>
      </c>
      <c r="G620" s="2" t="n">
        <v>1561</v>
      </c>
      <c r="H620" s="2" t="n">
        <v>1</v>
      </c>
      <c r="I620" s="3" t="n">
        <v>945.08</v>
      </c>
      <c r="J620" s="3" t="n">
        <v>599.74</v>
      </c>
      <c r="K620" s="3" t="n">
        <v>1932.99</v>
      </c>
      <c r="L620" s="3" t="n">
        <v>736.67</v>
      </c>
      <c r="M620" s="2" t="n">
        <v>5.7</v>
      </c>
      <c r="N620" s="2" t="s">
        <v>24</v>
      </c>
      <c r="O620" s="4" t="n">
        <f aca="false">VLOOKUP(F620,DIM_SERVICO!$A$2:$D$151,4,FALSE())</f>
        <v>599.74</v>
      </c>
      <c r="P620" s="4" t="n">
        <f aca="false">VLOOKUP(E620,DIM_PECA!$A$2:$F$501,6,FALSE())</f>
        <v>1333.25</v>
      </c>
      <c r="Q620" s="4" t="n">
        <f aca="false">VLOOKUP(E620,DIM_PECA!$A$2:$F$501,5,FALSE())</f>
        <v>945.08</v>
      </c>
      <c r="R620" s="4" t="n">
        <f aca="false">H620*P620</f>
        <v>1333.25</v>
      </c>
      <c r="S620" s="4" t="n">
        <f aca="false">O620*M620</f>
        <v>3418.518</v>
      </c>
      <c r="T620" s="4" t="n">
        <f aca="false">R620+S620</f>
        <v>4751.768</v>
      </c>
      <c r="U620" s="4" t="n">
        <f aca="false">T620-K620</f>
        <v>2818.778</v>
      </c>
      <c r="V620" s="4" t="n">
        <f aca="false">R620+S620-U620</f>
        <v>1932.99</v>
      </c>
      <c r="W620" s="5" t="str">
        <f aca="false">IF(ROUND(V620-K620,2)=0,"OK","ERRO")</f>
        <v>OK</v>
      </c>
      <c r="X620" s="5" t="str">
        <f aca="false">VLOOKUP(F620,DIM_SERVICO!$A$2:$D$151,3,FALSE())</f>
        <v>Revisão</v>
      </c>
    </row>
    <row r="621" customFormat="false" ht="15" hidden="false" customHeight="false" outlineLevel="0" collapsed="false">
      <c r="A621" s="6" t="n">
        <v>620</v>
      </c>
      <c r="B621" s="6" t="n">
        <v>569</v>
      </c>
      <c r="C621" s="6" t="n">
        <v>1350</v>
      </c>
      <c r="D621" s="6" t="n">
        <v>11</v>
      </c>
      <c r="E621" s="6" t="n">
        <v>400</v>
      </c>
      <c r="F621" s="6" t="n">
        <v>33</v>
      </c>
      <c r="G621" s="6" t="n">
        <v>1089</v>
      </c>
      <c r="H621" s="6" t="n">
        <v>2</v>
      </c>
      <c r="I621" s="7" t="n">
        <v>621.44</v>
      </c>
      <c r="J621" s="7" t="n">
        <v>538.49</v>
      </c>
      <c r="K621" s="7" t="n">
        <v>1630.71</v>
      </c>
      <c r="L621" s="7" t="n">
        <v>732.65</v>
      </c>
      <c r="M621" s="6" t="n">
        <v>9.9</v>
      </c>
      <c r="N621" s="6" t="s">
        <v>26</v>
      </c>
      <c r="O621" s="8" t="n">
        <f aca="false">VLOOKUP(F621,DIM_SERVICO!$A$2:$D$151,4,FALSE())</f>
        <v>538.49</v>
      </c>
      <c r="P621" s="8" t="n">
        <f aca="false">VLOOKUP(E621,DIM_PECA!$A$2:$F$501,6,FALSE())</f>
        <v>562.75</v>
      </c>
      <c r="Q621" s="8" t="n">
        <f aca="false">VLOOKUP(E621,DIM_PECA!$A$2:$F$501,5,FALSE())</f>
        <v>310.72</v>
      </c>
      <c r="R621" s="8" t="n">
        <f aca="false">H621*P621</f>
        <v>1125.5</v>
      </c>
      <c r="S621" s="8" t="n">
        <f aca="false">O621*M621</f>
        <v>5331.051</v>
      </c>
      <c r="T621" s="8" t="n">
        <f aca="false">R621+S621</f>
        <v>6456.551</v>
      </c>
      <c r="U621" s="8" t="n">
        <f aca="false">T621-K621</f>
        <v>4825.841</v>
      </c>
      <c r="V621" s="8" t="n">
        <f aca="false">R621+S621-U621</f>
        <v>1630.71</v>
      </c>
      <c r="W621" s="9" t="str">
        <f aca="false">IF(ROUND(V621-K621,2)=0,"OK","ERRO")</f>
        <v>OK</v>
      </c>
      <c r="X621" s="9" t="str">
        <f aca="false">VLOOKUP(F621,DIM_SERVICO!$A$2:$D$151,3,FALSE())</f>
        <v>Suspensão</v>
      </c>
    </row>
    <row r="622" customFormat="false" ht="15" hidden="false" customHeight="false" outlineLevel="0" collapsed="false">
      <c r="A622" s="2" t="n">
        <v>621</v>
      </c>
      <c r="B622" s="2" t="n">
        <v>103</v>
      </c>
      <c r="C622" s="2" t="n">
        <v>884</v>
      </c>
      <c r="D622" s="2" t="n">
        <v>622</v>
      </c>
      <c r="E622" s="2" t="n">
        <v>93</v>
      </c>
      <c r="F622" s="2" t="n">
        <v>146</v>
      </c>
      <c r="G622" s="2" t="n">
        <v>457</v>
      </c>
      <c r="H622" s="2" t="n">
        <v>4</v>
      </c>
      <c r="I622" s="3" t="n">
        <v>3335.48</v>
      </c>
      <c r="J622" s="3" t="n">
        <v>482.6</v>
      </c>
      <c r="K622" s="3" t="n">
        <v>5478.12</v>
      </c>
      <c r="L622" s="3" t="n">
        <v>1938.8</v>
      </c>
      <c r="M622" s="2" t="n">
        <v>5.7</v>
      </c>
      <c r="N622" s="2" t="s">
        <v>24</v>
      </c>
      <c r="O622" s="4" t="n">
        <f aca="false">VLOOKUP(F622,DIM_SERVICO!$A$2:$D$151,4,FALSE())</f>
        <v>482.6</v>
      </c>
      <c r="P622" s="4" t="n">
        <f aca="false">VLOOKUP(E622,DIM_PECA!$A$2:$F$501,6,FALSE())</f>
        <v>1276.83</v>
      </c>
      <c r="Q622" s="4" t="n">
        <f aca="false">VLOOKUP(E622,DIM_PECA!$A$2:$F$501,5,FALSE())</f>
        <v>833.87</v>
      </c>
      <c r="R622" s="4" t="n">
        <f aca="false">H622*P622</f>
        <v>5107.32</v>
      </c>
      <c r="S622" s="4" t="n">
        <f aca="false">O622*M622</f>
        <v>2750.82</v>
      </c>
      <c r="T622" s="4" t="n">
        <f aca="false">R622+S622</f>
        <v>7858.14</v>
      </c>
      <c r="U622" s="4" t="n">
        <f aca="false">T622-K622</f>
        <v>2380.02</v>
      </c>
      <c r="V622" s="4" t="n">
        <f aca="false">R622+S622-U622</f>
        <v>5478.12</v>
      </c>
      <c r="W622" s="5" t="str">
        <f aca="false">IF(ROUND(V622-K622,2)=0,"OK","ERRO")</f>
        <v>OK</v>
      </c>
      <c r="X622" s="5" t="str">
        <f aca="false">VLOOKUP(F622,DIM_SERVICO!$A$2:$D$151,3,FALSE())</f>
        <v>Funilaria</v>
      </c>
    </row>
    <row r="623" customFormat="false" ht="15" hidden="false" customHeight="false" outlineLevel="0" collapsed="false">
      <c r="A623" s="6" t="n">
        <v>622</v>
      </c>
      <c r="B623" s="6" t="n">
        <v>310</v>
      </c>
      <c r="C623" s="6" t="n">
        <v>516</v>
      </c>
      <c r="D623" s="6" t="n">
        <v>615</v>
      </c>
      <c r="E623" s="6" t="n">
        <v>346</v>
      </c>
      <c r="F623" s="6" t="n">
        <v>67</v>
      </c>
      <c r="G623" s="6" t="n">
        <v>29</v>
      </c>
      <c r="H623" s="6" t="n">
        <v>2</v>
      </c>
      <c r="I623" s="7" t="n">
        <v>1458.48</v>
      </c>
      <c r="J623" s="7" t="n">
        <v>1283.08</v>
      </c>
      <c r="K623" s="7" t="n">
        <v>3356.14</v>
      </c>
      <c r="L623" s="7" t="n">
        <v>1370.33</v>
      </c>
      <c r="M623" s="6" t="n">
        <v>11.6</v>
      </c>
      <c r="N623" s="6" t="s">
        <v>27</v>
      </c>
      <c r="O623" s="8" t="n">
        <f aca="false">VLOOKUP(F623,DIM_SERVICO!$A$2:$D$151,4,FALSE())</f>
        <v>1283.08</v>
      </c>
      <c r="P623" s="8" t="n">
        <f aca="false">VLOOKUP(E623,DIM_PECA!$A$2:$F$501,6,FALSE())</f>
        <v>1222.98</v>
      </c>
      <c r="Q623" s="8" t="n">
        <f aca="false">VLOOKUP(E623,DIM_PECA!$A$2:$F$501,5,FALSE())</f>
        <v>729.24</v>
      </c>
      <c r="R623" s="8" t="n">
        <f aca="false">H623*P623</f>
        <v>2445.96</v>
      </c>
      <c r="S623" s="8" t="n">
        <f aca="false">O623*M623</f>
        <v>14883.728</v>
      </c>
      <c r="T623" s="8" t="n">
        <f aca="false">R623+S623</f>
        <v>17329.688</v>
      </c>
      <c r="U623" s="8" t="n">
        <f aca="false">T623-K623</f>
        <v>13973.548</v>
      </c>
      <c r="V623" s="8" t="n">
        <f aca="false">R623+S623-U623</f>
        <v>3356.14</v>
      </c>
      <c r="W623" s="9" t="str">
        <f aca="false">IF(ROUND(V623-K623,2)=0,"OK","ERRO")</f>
        <v>OK</v>
      </c>
      <c r="X623" s="9" t="str">
        <f aca="false">VLOOKUP(F623,DIM_SERVICO!$A$2:$D$151,3,FALSE())</f>
        <v>Elétrica</v>
      </c>
    </row>
    <row r="624" customFormat="false" ht="15" hidden="false" customHeight="false" outlineLevel="0" collapsed="false">
      <c r="A624" s="2" t="n">
        <v>623</v>
      </c>
      <c r="B624" s="2" t="n">
        <v>764</v>
      </c>
      <c r="C624" s="2" t="n">
        <v>1173</v>
      </c>
      <c r="D624" s="2" t="n">
        <v>447</v>
      </c>
      <c r="E624" s="2" t="n">
        <v>310</v>
      </c>
      <c r="F624" s="2" t="n">
        <v>115</v>
      </c>
      <c r="G624" s="2" t="n">
        <v>740</v>
      </c>
      <c r="H624" s="2" t="n">
        <v>3</v>
      </c>
      <c r="I624" s="3" t="n">
        <v>2653.41</v>
      </c>
      <c r="J624" s="3" t="n">
        <v>1374.43</v>
      </c>
      <c r="K624" s="3" t="n">
        <v>5251.42</v>
      </c>
      <c r="L624" s="3" t="n">
        <v>2051.85</v>
      </c>
      <c r="M624" s="2" t="n">
        <v>3.9</v>
      </c>
      <c r="N624" s="2" t="s">
        <v>27</v>
      </c>
      <c r="O624" s="4" t="n">
        <f aca="false">VLOOKUP(F624,DIM_SERVICO!$A$2:$D$151,4,FALSE())</f>
        <v>1374.43</v>
      </c>
      <c r="P624" s="4" t="n">
        <f aca="false">VLOOKUP(E624,DIM_PECA!$A$2:$F$501,6,FALSE())</f>
        <v>1292.33</v>
      </c>
      <c r="Q624" s="4" t="n">
        <f aca="false">VLOOKUP(E624,DIM_PECA!$A$2:$F$501,5,FALSE())</f>
        <v>884.47</v>
      </c>
      <c r="R624" s="4" t="n">
        <f aca="false">H624*P624</f>
        <v>3876.99</v>
      </c>
      <c r="S624" s="4" t="n">
        <f aca="false">O624*M624</f>
        <v>5360.277</v>
      </c>
      <c r="T624" s="4" t="n">
        <f aca="false">R624+S624</f>
        <v>9237.267</v>
      </c>
      <c r="U624" s="4" t="n">
        <f aca="false">T624-K624</f>
        <v>3985.847</v>
      </c>
      <c r="V624" s="4" t="n">
        <f aca="false">R624+S624-U624</f>
        <v>5251.42</v>
      </c>
      <c r="W624" s="5" t="str">
        <f aca="false">IF(ROUND(V624-K624,2)=0,"OK","ERRO")</f>
        <v>OK</v>
      </c>
      <c r="X624" s="5" t="str">
        <f aca="false">VLOOKUP(F624,DIM_SERVICO!$A$2:$D$151,3,FALSE())</f>
        <v>Suspensão</v>
      </c>
    </row>
    <row r="625" customFormat="false" ht="15" hidden="false" customHeight="false" outlineLevel="0" collapsed="false">
      <c r="A625" s="6" t="n">
        <v>624</v>
      </c>
      <c r="B625" s="6" t="n">
        <v>1289</v>
      </c>
      <c r="C625" s="6" t="n">
        <v>348</v>
      </c>
      <c r="D625" s="6" t="n">
        <v>333</v>
      </c>
      <c r="E625" s="6" t="n">
        <v>352</v>
      </c>
      <c r="F625" s="6" t="n">
        <v>13</v>
      </c>
      <c r="G625" s="6" t="n">
        <v>1754</v>
      </c>
      <c r="H625" s="6" t="n">
        <v>3</v>
      </c>
      <c r="I625" s="7" t="n">
        <v>1730.22</v>
      </c>
      <c r="J625" s="7" t="n">
        <v>1546.25</v>
      </c>
      <c r="K625" s="7" t="n">
        <v>4495.28</v>
      </c>
      <c r="L625" s="7" t="n">
        <v>2213.47</v>
      </c>
      <c r="M625" s="6" t="n">
        <v>10.7</v>
      </c>
      <c r="N625" s="6" t="s">
        <v>24</v>
      </c>
      <c r="O625" s="8" t="n">
        <f aca="false">VLOOKUP(F625,DIM_SERVICO!$A$2:$D$151,4,FALSE())</f>
        <v>1546.25</v>
      </c>
      <c r="P625" s="8" t="n">
        <f aca="false">VLOOKUP(E625,DIM_PECA!$A$2:$F$501,6,FALSE())</f>
        <v>1013.59</v>
      </c>
      <c r="Q625" s="8" t="n">
        <f aca="false">VLOOKUP(E625,DIM_PECA!$A$2:$F$501,5,FALSE())</f>
        <v>576.74</v>
      </c>
      <c r="R625" s="8" t="n">
        <f aca="false">H625*P625</f>
        <v>3040.77</v>
      </c>
      <c r="S625" s="8" t="n">
        <f aca="false">O625*M625</f>
        <v>16544.875</v>
      </c>
      <c r="T625" s="8" t="n">
        <f aca="false">R625+S625</f>
        <v>19585.645</v>
      </c>
      <c r="U625" s="8" t="n">
        <f aca="false">T625-K625</f>
        <v>15090.365</v>
      </c>
      <c r="V625" s="8" t="n">
        <f aca="false">R625+S625-U625</f>
        <v>4495.28</v>
      </c>
      <c r="W625" s="9" t="str">
        <f aca="false">IF(ROUND(V625-K625,2)=0,"OK","ERRO")</f>
        <v>OK</v>
      </c>
      <c r="X625" s="9" t="str">
        <f aca="false">VLOOKUP(F625,DIM_SERVICO!$A$2:$D$151,3,FALSE())</f>
        <v>Diagnóstico</v>
      </c>
    </row>
    <row r="626" customFormat="false" ht="15" hidden="false" customHeight="false" outlineLevel="0" collapsed="false">
      <c r="A626" s="2" t="n">
        <v>625</v>
      </c>
      <c r="B626" s="2" t="n">
        <v>500</v>
      </c>
      <c r="C626" s="2" t="n">
        <v>1014</v>
      </c>
      <c r="D626" s="2" t="n">
        <v>732</v>
      </c>
      <c r="E626" s="2" t="n">
        <v>184</v>
      </c>
      <c r="F626" s="2" t="n">
        <v>130</v>
      </c>
      <c r="G626" s="2" t="n">
        <v>1795</v>
      </c>
      <c r="H626" s="2" t="n">
        <v>2</v>
      </c>
      <c r="I626" s="3" t="n">
        <v>1611.12</v>
      </c>
      <c r="J626" s="3" t="n">
        <v>170.79</v>
      </c>
      <c r="K626" s="3" t="n">
        <v>3242.04</v>
      </c>
      <c r="L626" s="3" t="n">
        <v>1548.55</v>
      </c>
      <c r="M626" s="2" t="n">
        <v>8.6</v>
      </c>
      <c r="N626" s="2" t="s">
        <v>26</v>
      </c>
      <c r="O626" s="4" t="n">
        <f aca="false">VLOOKUP(F626,DIM_SERVICO!$A$2:$D$151,4,FALSE())</f>
        <v>170.79</v>
      </c>
      <c r="P626" s="4" t="n">
        <f aca="false">VLOOKUP(E626,DIM_PECA!$A$2:$F$501,6,FALSE())</f>
        <v>1620.94</v>
      </c>
      <c r="Q626" s="4" t="n">
        <f aca="false">VLOOKUP(E626,DIM_PECA!$A$2:$F$501,5,FALSE())</f>
        <v>805.56</v>
      </c>
      <c r="R626" s="4" t="n">
        <f aca="false">H626*P626</f>
        <v>3241.88</v>
      </c>
      <c r="S626" s="4" t="n">
        <f aca="false">O626*M626</f>
        <v>1468.794</v>
      </c>
      <c r="T626" s="4" t="n">
        <f aca="false">R626+S626</f>
        <v>4710.674</v>
      </c>
      <c r="U626" s="4" t="n">
        <f aca="false">T626-K626</f>
        <v>1468.634</v>
      </c>
      <c r="V626" s="4" t="n">
        <f aca="false">R626+S626-U626</f>
        <v>3242.04</v>
      </c>
      <c r="W626" s="5" t="str">
        <f aca="false">IF(ROUND(V626-K626,2)=0,"OK","ERRO")</f>
        <v>OK</v>
      </c>
      <c r="X626" s="5" t="str">
        <f aca="false">VLOOKUP(F626,DIM_SERVICO!$A$2:$D$151,3,FALSE())</f>
        <v>Pintura</v>
      </c>
    </row>
    <row r="627" customFormat="false" ht="15" hidden="false" customHeight="false" outlineLevel="0" collapsed="false">
      <c r="A627" s="6" t="n">
        <v>626</v>
      </c>
      <c r="B627" s="6" t="n">
        <v>1022</v>
      </c>
      <c r="C627" s="6" t="n">
        <v>23</v>
      </c>
      <c r="D627" s="6" t="n">
        <v>124</v>
      </c>
      <c r="E627" s="6" t="n">
        <v>484</v>
      </c>
      <c r="F627" s="6" t="n">
        <v>144</v>
      </c>
      <c r="G627" s="6" t="n">
        <v>1493</v>
      </c>
      <c r="H627" s="6" t="n">
        <v>4</v>
      </c>
      <c r="I627" s="7" t="n">
        <v>325.08</v>
      </c>
      <c r="J627" s="7" t="n">
        <v>2149.33</v>
      </c>
      <c r="K627" s="7" t="n">
        <v>2550.2</v>
      </c>
      <c r="L627" s="7" t="n">
        <v>1140.78</v>
      </c>
      <c r="M627" s="6" t="n">
        <v>7.5</v>
      </c>
      <c r="N627" s="6" t="s">
        <v>26</v>
      </c>
      <c r="O627" s="8" t="n">
        <f aca="false">VLOOKUP(F627,DIM_SERVICO!$A$2:$D$151,4,FALSE())</f>
        <v>2149.33</v>
      </c>
      <c r="P627" s="8" t="n">
        <f aca="false">VLOOKUP(E627,DIM_PECA!$A$2:$F$501,6,FALSE())</f>
        <v>113.23</v>
      </c>
      <c r="Q627" s="8" t="n">
        <f aca="false">VLOOKUP(E627,DIM_PECA!$A$2:$F$501,5,FALSE())</f>
        <v>81.27</v>
      </c>
      <c r="R627" s="8" t="n">
        <f aca="false">H627*P627</f>
        <v>452.92</v>
      </c>
      <c r="S627" s="8" t="n">
        <f aca="false">O627*M627</f>
        <v>16119.975</v>
      </c>
      <c r="T627" s="8" t="n">
        <f aca="false">R627+S627</f>
        <v>16572.895</v>
      </c>
      <c r="U627" s="8" t="n">
        <f aca="false">T627-K627</f>
        <v>14022.695</v>
      </c>
      <c r="V627" s="8" t="n">
        <f aca="false">R627+S627-U627</f>
        <v>2550.2</v>
      </c>
      <c r="W627" s="9" t="str">
        <f aca="false">IF(ROUND(V627-K627,2)=0,"OK","ERRO")</f>
        <v>OK</v>
      </c>
      <c r="X627" s="9" t="str">
        <f aca="false">VLOOKUP(F627,DIM_SERVICO!$A$2:$D$151,3,FALSE())</f>
        <v>Pintura</v>
      </c>
    </row>
    <row r="628" customFormat="false" ht="15" hidden="false" customHeight="false" outlineLevel="0" collapsed="false">
      <c r="A628" s="2" t="n">
        <v>627</v>
      </c>
      <c r="B628" s="2" t="n">
        <v>31</v>
      </c>
      <c r="C628" s="2" t="n">
        <v>914</v>
      </c>
      <c r="D628" s="2" t="n">
        <v>115</v>
      </c>
      <c r="E628" s="2" t="n">
        <v>140</v>
      </c>
      <c r="F628" s="2" t="n">
        <v>62</v>
      </c>
      <c r="G628" s="2" t="n">
        <v>1048</v>
      </c>
      <c r="H628" s="2" t="n">
        <v>3</v>
      </c>
      <c r="I628" s="3" t="n">
        <v>582.03</v>
      </c>
      <c r="J628" s="3" t="n">
        <v>709.8</v>
      </c>
      <c r="K628" s="3" t="n">
        <v>1653.18</v>
      </c>
      <c r="L628" s="3" t="n">
        <v>801.89</v>
      </c>
      <c r="M628" s="2" t="n">
        <v>6.5</v>
      </c>
      <c r="N628" s="2" t="s">
        <v>26</v>
      </c>
      <c r="O628" s="4" t="n">
        <f aca="false">VLOOKUP(F628,DIM_SERVICO!$A$2:$D$151,4,FALSE())</f>
        <v>709.8</v>
      </c>
      <c r="P628" s="4" t="n">
        <f aca="false">VLOOKUP(E628,DIM_PECA!$A$2:$F$501,6,FALSE())</f>
        <v>362.38</v>
      </c>
      <c r="Q628" s="4" t="n">
        <f aca="false">VLOOKUP(E628,DIM_PECA!$A$2:$F$501,5,FALSE())</f>
        <v>194.01</v>
      </c>
      <c r="R628" s="4" t="n">
        <f aca="false">H628*P628</f>
        <v>1087.14</v>
      </c>
      <c r="S628" s="4" t="n">
        <f aca="false">O628*M628</f>
        <v>4613.7</v>
      </c>
      <c r="T628" s="4" t="n">
        <f aca="false">R628+S628</f>
        <v>5700.84</v>
      </c>
      <c r="U628" s="4" t="n">
        <f aca="false">T628-K628</f>
        <v>4047.66</v>
      </c>
      <c r="V628" s="4" t="n">
        <f aca="false">R628+S628-U628</f>
        <v>1653.18</v>
      </c>
      <c r="W628" s="5" t="str">
        <f aca="false">IF(ROUND(V628-K628,2)=0,"OK","ERRO")</f>
        <v>OK</v>
      </c>
      <c r="X628" s="5" t="str">
        <f aca="false">VLOOKUP(F628,DIM_SERVICO!$A$2:$D$151,3,FALSE())</f>
        <v>Pintura</v>
      </c>
    </row>
    <row r="629" customFormat="false" ht="15" hidden="false" customHeight="false" outlineLevel="0" collapsed="false">
      <c r="A629" s="6" t="n">
        <v>628</v>
      </c>
      <c r="B629" s="6" t="n">
        <v>767</v>
      </c>
      <c r="C629" s="6" t="n">
        <v>129</v>
      </c>
      <c r="D629" s="6" t="n">
        <v>651</v>
      </c>
      <c r="E629" s="6" t="n">
        <v>394</v>
      </c>
      <c r="F629" s="6" t="n">
        <v>133</v>
      </c>
      <c r="G629" s="6" t="n">
        <v>478</v>
      </c>
      <c r="H629" s="6" t="n">
        <v>3</v>
      </c>
      <c r="I629" s="7" t="n">
        <v>317.85</v>
      </c>
      <c r="J629" s="7" t="n">
        <v>1635.43</v>
      </c>
      <c r="K629" s="7" t="n">
        <v>2097.94</v>
      </c>
      <c r="L629" s="7" t="n">
        <v>889.63</v>
      </c>
      <c r="M629" s="6" t="n">
        <v>3.6</v>
      </c>
      <c r="N629" s="6" t="s">
        <v>26</v>
      </c>
      <c r="O629" s="8" t="n">
        <f aca="false">VLOOKUP(F629,DIM_SERVICO!$A$2:$D$151,4,FALSE())</f>
        <v>1635.43</v>
      </c>
      <c r="P629" s="8" t="n">
        <f aca="false">VLOOKUP(E629,DIM_PECA!$A$2:$F$501,6,FALSE())</f>
        <v>214.98</v>
      </c>
      <c r="Q629" s="8" t="n">
        <f aca="false">VLOOKUP(E629,DIM_PECA!$A$2:$F$501,5,FALSE())</f>
        <v>105.95</v>
      </c>
      <c r="R629" s="8" t="n">
        <f aca="false">H629*P629</f>
        <v>644.94</v>
      </c>
      <c r="S629" s="8" t="n">
        <f aca="false">O629*M629</f>
        <v>5887.548</v>
      </c>
      <c r="T629" s="8" t="n">
        <f aca="false">R629+S629</f>
        <v>6532.488</v>
      </c>
      <c r="U629" s="8" t="n">
        <f aca="false">T629-K629</f>
        <v>4434.548</v>
      </c>
      <c r="V629" s="8" t="n">
        <f aca="false">R629+S629-U629</f>
        <v>2097.94</v>
      </c>
      <c r="W629" s="9" t="str">
        <f aca="false">IF(ROUND(V629-K629,2)=0,"OK","ERRO")</f>
        <v>OK</v>
      </c>
      <c r="X629" s="9" t="str">
        <f aca="false">VLOOKUP(F629,DIM_SERVICO!$A$2:$D$151,3,FALSE())</f>
        <v>Suspensão</v>
      </c>
    </row>
    <row r="630" customFormat="false" ht="15" hidden="false" customHeight="false" outlineLevel="0" collapsed="false">
      <c r="A630" s="2" t="n">
        <v>629</v>
      </c>
      <c r="B630" s="2" t="n">
        <v>1009</v>
      </c>
      <c r="C630" s="2" t="n">
        <v>51</v>
      </c>
      <c r="D630" s="2" t="n">
        <v>232</v>
      </c>
      <c r="E630" s="2" t="n">
        <v>422</v>
      </c>
      <c r="F630" s="2" t="n">
        <v>150</v>
      </c>
      <c r="G630" s="2" t="n">
        <v>1270</v>
      </c>
      <c r="H630" s="2" t="n">
        <v>4</v>
      </c>
      <c r="I630" s="3" t="n">
        <v>2391.64</v>
      </c>
      <c r="J630" s="3" t="n">
        <v>1370.46</v>
      </c>
      <c r="K630" s="3" t="n">
        <v>5256.9</v>
      </c>
      <c r="L630" s="3" t="n">
        <v>2319.8</v>
      </c>
      <c r="M630" s="2" t="n">
        <v>4.1</v>
      </c>
      <c r="N630" s="2" t="s">
        <v>24</v>
      </c>
      <c r="O630" s="4" t="n">
        <f aca="false">VLOOKUP(F630,DIM_SERVICO!$A$2:$D$151,4,FALSE())</f>
        <v>1370.46</v>
      </c>
      <c r="P630" s="4" t="n">
        <f aca="false">VLOOKUP(E630,DIM_PECA!$A$2:$F$501,6,FALSE())</f>
        <v>1085.89</v>
      </c>
      <c r="Q630" s="4" t="n">
        <f aca="false">VLOOKUP(E630,DIM_PECA!$A$2:$F$501,5,FALSE())</f>
        <v>597.91</v>
      </c>
      <c r="R630" s="4" t="n">
        <f aca="false">H630*P630</f>
        <v>4343.56</v>
      </c>
      <c r="S630" s="4" t="n">
        <f aca="false">O630*M630</f>
        <v>5618.886</v>
      </c>
      <c r="T630" s="4" t="n">
        <f aca="false">R630+S630</f>
        <v>9962.446</v>
      </c>
      <c r="U630" s="4" t="n">
        <f aca="false">T630-K630</f>
        <v>4705.546</v>
      </c>
      <c r="V630" s="4" t="n">
        <f aca="false">R630+S630-U630</f>
        <v>5256.9</v>
      </c>
      <c r="W630" s="5" t="str">
        <f aca="false">IF(ROUND(V630-K630,2)=0,"OK","ERRO")</f>
        <v>OK</v>
      </c>
      <c r="X630" s="5" t="str">
        <f aca="false">VLOOKUP(F630,DIM_SERVICO!$A$2:$D$151,3,FALSE())</f>
        <v>Revisão</v>
      </c>
    </row>
    <row r="631" customFormat="false" ht="15" hidden="false" customHeight="false" outlineLevel="0" collapsed="false">
      <c r="A631" s="6" t="n">
        <v>630</v>
      </c>
      <c r="B631" s="6" t="n">
        <v>1305</v>
      </c>
      <c r="C631" s="6" t="n">
        <v>362</v>
      </c>
      <c r="D631" s="6" t="n">
        <v>512</v>
      </c>
      <c r="E631" s="6" t="n">
        <v>32</v>
      </c>
      <c r="F631" s="6" t="n">
        <v>40</v>
      </c>
      <c r="G631" s="6" t="n">
        <v>1261</v>
      </c>
      <c r="H631" s="6" t="n">
        <v>3</v>
      </c>
      <c r="I631" s="7" t="n">
        <v>1233.96</v>
      </c>
      <c r="J631" s="7" t="n">
        <v>1973.77</v>
      </c>
      <c r="K631" s="7" t="n">
        <v>3379.63</v>
      </c>
      <c r="L631" s="7" t="n">
        <v>1104.46</v>
      </c>
      <c r="M631" s="6" t="n">
        <v>0.6</v>
      </c>
      <c r="N631" s="6" t="s">
        <v>26</v>
      </c>
      <c r="O631" s="8" t="n">
        <f aca="false">VLOOKUP(F631,DIM_SERVICO!$A$2:$D$151,4,FALSE())</f>
        <v>1973.77</v>
      </c>
      <c r="P631" s="8" t="n">
        <f aca="false">VLOOKUP(E631,DIM_PECA!$A$2:$F$501,6,FALSE())</f>
        <v>593.79</v>
      </c>
      <c r="Q631" s="8" t="n">
        <f aca="false">VLOOKUP(E631,DIM_PECA!$A$2:$F$501,5,FALSE())</f>
        <v>411.32</v>
      </c>
      <c r="R631" s="8" t="n">
        <f aca="false">H631*P631</f>
        <v>1781.37</v>
      </c>
      <c r="S631" s="8" t="n">
        <f aca="false">O631*M631</f>
        <v>1184.262</v>
      </c>
      <c r="T631" s="8" t="n">
        <f aca="false">R631+S631</f>
        <v>2965.632</v>
      </c>
      <c r="U631" s="8" t="n">
        <f aca="false">T631-K631</f>
        <v>-413.998000000001</v>
      </c>
      <c r="V631" s="8" t="n">
        <f aca="false">R631+S631-U631</f>
        <v>3379.63</v>
      </c>
      <c r="W631" s="9" t="str">
        <f aca="false">IF(ROUND(V631-K631,2)=0,"OK","ERRO")</f>
        <v>OK</v>
      </c>
      <c r="X631" s="9" t="str">
        <f aca="false">VLOOKUP(F631,DIM_SERVICO!$A$2:$D$151,3,FALSE())</f>
        <v>Elétrica</v>
      </c>
    </row>
    <row r="632" customFormat="false" ht="15" hidden="false" customHeight="false" outlineLevel="0" collapsed="false">
      <c r="A632" s="2" t="n">
        <v>631</v>
      </c>
      <c r="B632" s="2" t="n">
        <v>1284</v>
      </c>
      <c r="C632" s="2" t="n">
        <v>1432</v>
      </c>
      <c r="D632" s="2" t="n">
        <v>780</v>
      </c>
      <c r="E632" s="2" t="n">
        <v>264</v>
      </c>
      <c r="F632" s="2" t="n">
        <v>135</v>
      </c>
      <c r="G632" s="2" t="n">
        <v>789</v>
      </c>
      <c r="H632" s="2" t="n">
        <v>1</v>
      </c>
      <c r="I632" s="3" t="n">
        <v>541.06</v>
      </c>
      <c r="J632" s="3" t="n">
        <v>2099.01</v>
      </c>
      <c r="K632" s="3" t="n">
        <v>2743.46</v>
      </c>
      <c r="L632" s="3" t="n">
        <v>1168.77</v>
      </c>
      <c r="M632" s="2" t="n">
        <v>2.8</v>
      </c>
      <c r="N632" s="2" t="s">
        <v>24</v>
      </c>
      <c r="O632" s="4" t="n">
        <f aca="false">VLOOKUP(F632,DIM_SERVICO!$A$2:$D$151,4,FALSE())</f>
        <v>2099.01</v>
      </c>
      <c r="P632" s="4" t="n">
        <f aca="false">VLOOKUP(E632,DIM_PECA!$A$2:$F$501,6,FALSE())</f>
        <v>788.84</v>
      </c>
      <c r="Q632" s="4" t="n">
        <f aca="false">VLOOKUP(E632,DIM_PECA!$A$2:$F$501,5,FALSE())</f>
        <v>541.06</v>
      </c>
      <c r="R632" s="4" t="n">
        <f aca="false">H632*P632</f>
        <v>788.84</v>
      </c>
      <c r="S632" s="4" t="n">
        <f aca="false">O632*M632</f>
        <v>5877.228</v>
      </c>
      <c r="T632" s="4" t="n">
        <f aca="false">R632+S632</f>
        <v>6666.068</v>
      </c>
      <c r="U632" s="4" t="n">
        <f aca="false">T632-K632</f>
        <v>3922.608</v>
      </c>
      <c r="V632" s="4" t="n">
        <f aca="false">R632+S632-U632</f>
        <v>2743.46</v>
      </c>
      <c r="W632" s="5" t="str">
        <f aca="false">IF(ROUND(V632-K632,2)=0,"OK","ERRO")</f>
        <v>OK</v>
      </c>
      <c r="X632" s="5" t="str">
        <f aca="false">VLOOKUP(F632,DIM_SERVICO!$A$2:$D$151,3,FALSE())</f>
        <v>Motor</v>
      </c>
    </row>
    <row r="633" customFormat="false" ht="15" hidden="false" customHeight="false" outlineLevel="0" collapsed="false">
      <c r="A633" s="6" t="n">
        <v>632</v>
      </c>
      <c r="B633" s="6" t="n">
        <v>379</v>
      </c>
      <c r="C633" s="6" t="n">
        <v>523</v>
      </c>
      <c r="D633" s="6" t="n">
        <v>1173</v>
      </c>
      <c r="E633" s="6" t="n">
        <v>90</v>
      </c>
      <c r="F633" s="6" t="n">
        <v>125</v>
      </c>
      <c r="G633" s="6" t="n">
        <v>340</v>
      </c>
      <c r="H633" s="6" t="n">
        <v>3</v>
      </c>
      <c r="I633" s="7" t="n">
        <v>3410.04</v>
      </c>
      <c r="J633" s="7" t="n">
        <v>988.93</v>
      </c>
      <c r="K633" s="7" t="n">
        <v>7616.9</v>
      </c>
      <c r="L633" s="7" t="n">
        <v>3701.47</v>
      </c>
      <c r="M633" s="6" t="n">
        <v>1.8</v>
      </c>
      <c r="N633" s="6" t="s">
        <v>24</v>
      </c>
      <c r="O633" s="8" t="n">
        <f aca="false">VLOOKUP(F633,DIM_SERVICO!$A$2:$D$151,4,FALSE())</f>
        <v>988.93</v>
      </c>
      <c r="P633" s="8" t="n">
        <f aca="false">VLOOKUP(E633,DIM_PECA!$A$2:$F$501,6,FALSE())</f>
        <v>2261.14</v>
      </c>
      <c r="Q633" s="8" t="n">
        <f aca="false">VLOOKUP(E633,DIM_PECA!$A$2:$F$501,5,FALSE())</f>
        <v>1136.68</v>
      </c>
      <c r="R633" s="8" t="n">
        <f aca="false">H633*P633</f>
        <v>6783.42</v>
      </c>
      <c r="S633" s="8" t="n">
        <f aca="false">O633*M633</f>
        <v>1780.074</v>
      </c>
      <c r="T633" s="8" t="n">
        <f aca="false">R633+S633</f>
        <v>8563.494</v>
      </c>
      <c r="U633" s="8" t="n">
        <f aca="false">T633-K633</f>
        <v>946.594000000001</v>
      </c>
      <c r="V633" s="8" t="n">
        <f aca="false">R633+S633-U633</f>
        <v>7616.9</v>
      </c>
      <c r="W633" s="9" t="str">
        <f aca="false">IF(ROUND(V633-K633,2)=0,"OK","ERRO")</f>
        <v>OK</v>
      </c>
      <c r="X633" s="9" t="str">
        <f aca="false">VLOOKUP(F633,DIM_SERVICO!$A$2:$D$151,3,FALSE())</f>
        <v>Suspensão</v>
      </c>
    </row>
    <row r="634" customFormat="false" ht="15" hidden="false" customHeight="false" outlineLevel="0" collapsed="false">
      <c r="A634" s="2" t="n">
        <v>633</v>
      </c>
      <c r="B634" s="2" t="n">
        <v>116</v>
      </c>
      <c r="C634" s="2" t="n">
        <v>913</v>
      </c>
      <c r="D634" s="2" t="n">
        <v>987</v>
      </c>
      <c r="E634" s="2" t="n">
        <v>234</v>
      </c>
      <c r="F634" s="2" t="n">
        <v>50</v>
      </c>
      <c r="G634" s="2" t="n">
        <v>984</v>
      </c>
      <c r="H634" s="2" t="n">
        <v>1</v>
      </c>
      <c r="I634" s="3" t="n">
        <v>440.83</v>
      </c>
      <c r="J634" s="3" t="n">
        <v>1357.79</v>
      </c>
      <c r="K634" s="3" t="n">
        <v>2147.44</v>
      </c>
      <c r="L634" s="3" t="n">
        <v>989.9</v>
      </c>
      <c r="M634" s="2" t="n">
        <v>10.1</v>
      </c>
      <c r="N634" s="2" t="s">
        <v>24</v>
      </c>
      <c r="O634" s="4" t="n">
        <f aca="false">VLOOKUP(F634,DIM_SERVICO!$A$2:$D$151,4,FALSE())</f>
        <v>1357.79</v>
      </c>
      <c r="P634" s="4" t="n">
        <f aca="false">VLOOKUP(E634,DIM_PECA!$A$2:$F$501,6,FALSE())</f>
        <v>789.65</v>
      </c>
      <c r="Q634" s="4" t="n">
        <f aca="false">VLOOKUP(E634,DIM_PECA!$A$2:$F$501,5,FALSE())</f>
        <v>440.83</v>
      </c>
      <c r="R634" s="4" t="n">
        <f aca="false">H634*P634</f>
        <v>789.65</v>
      </c>
      <c r="S634" s="4" t="n">
        <f aca="false">O634*M634</f>
        <v>13713.679</v>
      </c>
      <c r="T634" s="4" t="n">
        <f aca="false">R634+S634</f>
        <v>14503.329</v>
      </c>
      <c r="U634" s="4" t="n">
        <f aca="false">T634-K634</f>
        <v>12355.889</v>
      </c>
      <c r="V634" s="4" t="n">
        <f aca="false">R634+S634-U634</f>
        <v>2147.44</v>
      </c>
      <c r="W634" s="5" t="str">
        <f aca="false">IF(ROUND(V634-K634,2)=0,"OK","ERRO")</f>
        <v>OK</v>
      </c>
      <c r="X634" s="5" t="str">
        <f aca="false">VLOOKUP(F634,DIM_SERVICO!$A$2:$D$151,3,FALSE())</f>
        <v>Pintura</v>
      </c>
    </row>
    <row r="635" customFormat="false" ht="15" hidden="false" customHeight="false" outlineLevel="0" collapsed="false">
      <c r="A635" s="6" t="n">
        <v>634</v>
      </c>
      <c r="B635" s="6" t="n">
        <v>1176</v>
      </c>
      <c r="C635" s="6" t="n">
        <v>827</v>
      </c>
      <c r="D635" s="6" t="n">
        <v>289</v>
      </c>
      <c r="E635" s="6" t="n">
        <v>34</v>
      </c>
      <c r="F635" s="6" t="n">
        <v>126</v>
      </c>
      <c r="G635" s="6" t="n">
        <v>434</v>
      </c>
      <c r="H635" s="6" t="n">
        <v>4</v>
      </c>
      <c r="I635" s="7" t="n">
        <v>4306.96</v>
      </c>
      <c r="J635" s="7" t="n">
        <v>722.81</v>
      </c>
      <c r="K635" s="7" t="n">
        <v>6448.14</v>
      </c>
      <c r="L635" s="7" t="n">
        <v>1766.08</v>
      </c>
      <c r="M635" s="6" t="n">
        <v>9</v>
      </c>
      <c r="N635" s="6" t="s">
        <v>24</v>
      </c>
      <c r="O635" s="8" t="n">
        <f aca="false">VLOOKUP(F635,DIM_SERVICO!$A$2:$D$151,4,FALSE())</f>
        <v>722.81</v>
      </c>
      <c r="P635" s="8" t="n">
        <f aca="false">VLOOKUP(E635,DIM_PECA!$A$2:$F$501,6,FALSE())</f>
        <v>1464.23</v>
      </c>
      <c r="Q635" s="8" t="n">
        <f aca="false">VLOOKUP(E635,DIM_PECA!$A$2:$F$501,5,FALSE())</f>
        <v>1076.74</v>
      </c>
      <c r="R635" s="8" t="n">
        <f aca="false">H635*P635</f>
        <v>5856.92</v>
      </c>
      <c r="S635" s="8" t="n">
        <f aca="false">O635*M635</f>
        <v>6505.29</v>
      </c>
      <c r="T635" s="8" t="n">
        <f aca="false">R635+S635</f>
        <v>12362.21</v>
      </c>
      <c r="U635" s="8" t="n">
        <f aca="false">T635-K635</f>
        <v>5914.07</v>
      </c>
      <c r="V635" s="8" t="n">
        <f aca="false">R635+S635-U635</f>
        <v>6448.14</v>
      </c>
      <c r="W635" s="9" t="str">
        <f aca="false">IF(ROUND(V635-K635,2)=0,"OK","ERRO")</f>
        <v>OK</v>
      </c>
      <c r="X635" s="9" t="str">
        <f aca="false">VLOOKUP(F635,DIM_SERVICO!$A$2:$D$151,3,FALSE())</f>
        <v>Freios</v>
      </c>
    </row>
    <row r="636" customFormat="false" ht="15" hidden="false" customHeight="false" outlineLevel="0" collapsed="false">
      <c r="A636" s="2" t="n">
        <v>635</v>
      </c>
      <c r="B636" s="2" t="n">
        <v>1426</v>
      </c>
      <c r="C636" s="2" t="n">
        <v>1480</v>
      </c>
      <c r="D636" s="2" t="n">
        <v>890</v>
      </c>
      <c r="E636" s="2" t="n">
        <v>102</v>
      </c>
      <c r="F636" s="2" t="n">
        <v>17</v>
      </c>
      <c r="G636" s="2" t="n">
        <v>598</v>
      </c>
      <c r="H636" s="2" t="n">
        <v>1</v>
      </c>
      <c r="I636" s="3" t="n">
        <v>1032.52</v>
      </c>
      <c r="J636" s="3" t="n">
        <v>131.97</v>
      </c>
      <c r="K636" s="3" t="n">
        <v>1628.52</v>
      </c>
      <c r="L636" s="3" t="n">
        <v>532.92</v>
      </c>
      <c r="M636" s="2" t="n">
        <v>10.9</v>
      </c>
      <c r="N636" s="2" t="s">
        <v>24</v>
      </c>
      <c r="O636" s="4" t="n">
        <f aca="false">VLOOKUP(F636,DIM_SERVICO!$A$2:$D$151,4,FALSE())</f>
        <v>131.97</v>
      </c>
      <c r="P636" s="4" t="n">
        <f aca="false">VLOOKUP(E636,DIM_PECA!$A$2:$F$501,6,FALSE())</f>
        <v>1638.16</v>
      </c>
      <c r="Q636" s="4" t="n">
        <f aca="false">VLOOKUP(E636,DIM_PECA!$A$2:$F$501,5,FALSE())</f>
        <v>1032.52</v>
      </c>
      <c r="R636" s="4" t="n">
        <f aca="false">H636*P636</f>
        <v>1638.16</v>
      </c>
      <c r="S636" s="4" t="n">
        <f aca="false">O636*M636</f>
        <v>1438.473</v>
      </c>
      <c r="T636" s="4" t="n">
        <f aca="false">R636+S636</f>
        <v>3076.633</v>
      </c>
      <c r="U636" s="4" t="n">
        <f aca="false">T636-K636</f>
        <v>1448.113</v>
      </c>
      <c r="V636" s="4" t="n">
        <f aca="false">R636+S636-U636</f>
        <v>1628.52</v>
      </c>
      <c r="W636" s="5" t="str">
        <f aca="false">IF(ROUND(V636-K636,2)=0,"OK","ERRO")</f>
        <v>OK</v>
      </c>
      <c r="X636" s="5" t="str">
        <f aca="false">VLOOKUP(F636,DIM_SERVICO!$A$2:$D$151,3,FALSE())</f>
        <v>Pintura</v>
      </c>
    </row>
    <row r="637" customFormat="false" ht="15" hidden="false" customHeight="false" outlineLevel="0" collapsed="false">
      <c r="A637" s="6" t="n">
        <v>636</v>
      </c>
      <c r="B637" s="6" t="n">
        <v>378</v>
      </c>
      <c r="C637" s="6" t="n">
        <v>1166</v>
      </c>
      <c r="D637" s="6" t="n">
        <v>209</v>
      </c>
      <c r="E637" s="6" t="n">
        <v>204</v>
      </c>
      <c r="F637" s="6" t="n">
        <v>109</v>
      </c>
      <c r="G637" s="6" t="n">
        <v>851</v>
      </c>
      <c r="H637" s="6" t="n">
        <v>1</v>
      </c>
      <c r="I637" s="7" t="n">
        <v>75.25</v>
      </c>
      <c r="J637" s="7" t="n">
        <v>1418.47</v>
      </c>
      <c r="K637" s="7" t="n">
        <v>1490.57</v>
      </c>
      <c r="L637" s="7" t="n">
        <v>870.74</v>
      </c>
      <c r="M637" s="6" t="n">
        <v>8.3</v>
      </c>
      <c r="N637" s="6" t="s">
        <v>27</v>
      </c>
      <c r="O637" s="8" t="n">
        <f aca="false">VLOOKUP(F637,DIM_SERVICO!$A$2:$D$151,4,FALSE())</f>
        <v>1418.47</v>
      </c>
      <c r="P637" s="8" t="n">
        <f aca="false">VLOOKUP(E637,DIM_PECA!$A$2:$F$501,6,FALSE())</f>
        <v>102.52</v>
      </c>
      <c r="Q637" s="8" t="n">
        <f aca="false">VLOOKUP(E637,DIM_PECA!$A$2:$F$501,5,FALSE())</f>
        <v>75.25</v>
      </c>
      <c r="R637" s="8" t="n">
        <f aca="false">H637*P637</f>
        <v>102.52</v>
      </c>
      <c r="S637" s="8" t="n">
        <f aca="false">O637*M637</f>
        <v>11773.301</v>
      </c>
      <c r="T637" s="8" t="n">
        <f aca="false">R637+S637</f>
        <v>11875.821</v>
      </c>
      <c r="U637" s="8" t="n">
        <f aca="false">T637-K637</f>
        <v>10385.251</v>
      </c>
      <c r="V637" s="8" t="n">
        <f aca="false">R637+S637-U637</f>
        <v>1490.57</v>
      </c>
      <c r="W637" s="9" t="str">
        <f aca="false">IF(ROUND(V637-K637,2)=0,"OK","ERRO")</f>
        <v>OK</v>
      </c>
      <c r="X637" s="9" t="str">
        <f aca="false">VLOOKUP(F637,DIM_SERVICO!$A$2:$D$151,3,FALSE())</f>
        <v>Pintura</v>
      </c>
    </row>
    <row r="638" customFormat="false" ht="15" hidden="false" customHeight="false" outlineLevel="0" collapsed="false">
      <c r="A638" s="2" t="n">
        <v>637</v>
      </c>
      <c r="B638" s="2" t="n">
        <v>780</v>
      </c>
      <c r="C638" s="2" t="n">
        <v>814</v>
      </c>
      <c r="D638" s="2" t="n">
        <v>1104</v>
      </c>
      <c r="E638" s="2" t="n">
        <v>371</v>
      </c>
      <c r="F638" s="2" t="n">
        <v>140</v>
      </c>
      <c r="G638" s="2" t="n">
        <v>1071</v>
      </c>
      <c r="H638" s="2" t="n">
        <v>4</v>
      </c>
      <c r="I638" s="3" t="n">
        <v>925.72</v>
      </c>
      <c r="J638" s="3" t="n">
        <v>1109.33</v>
      </c>
      <c r="K638" s="3" t="n">
        <v>2889.72</v>
      </c>
      <c r="L638" s="3" t="n">
        <v>1380.52</v>
      </c>
      <c r="M638" s="2" t="n">
        <v>2.5</v>
      </c>
      <c r="N638" s="2" t="s">
        <v>24</v>
      </c>
      <c r="O638" s="4" t="n">
        <f aca="false">VLOOKUP(F638,DIM_SERVICO!$A$2:$D$151,4,FALSE())</f>
        <v>1109.33</v>
      </c>
      <c r="P638" s="4" t="n">
        <f aca="false">VLOOKUP(E638,DIM_PECA!$A$2:$F$501,6,FALSE())</f>
        <v>459.84</v>
      </c>
      <c r="Q638" s="4" t="n">
        <f aca="false">VLOOKUP(E638,DIM_PECA!$A$2:$F$501,5,FALSE())</f>
        <v>231.43</v>
      </c>
      <c r="R638" s="4" t="n">
        <f aca="false">H638*P638</f>
        <v>1839.36</v>
      </c>
      <c r="S638" s="4" t="n">
        <f aca="false">O638*M638</f>
        <v>2773.325</v>
      </c>
      <c r="T638" s="4" t="n">
        <f aca="false">R638+S638</f>
        <v>4612.685</v>
      </c>
      <c r="U638" s="4" t="n">
        <f aca="false">T638-K638</f>
        <v>1722.965</v>
      </c>
      <c r="V638" s="4" t="n">
        <f aca="false">R638+S638-U638</f>
        <v>2889.72</v>
      </c>
      <c r="W638" s="5" t="str">
        <f aca="false">IF(ROUND(V638-K638,2)=0,"OK","ERRO")</f>
        <v>OK</v>
      </c>
      <c r="X638" s="5" t="str">
        <f aca="false">VLOOKUP(F638,DIM_SERVICO!$A$2:$D$151,3,FALSE())</f>
        <v>Revisão</v>
      </c>
    </row>
    <row r="639" customFormat="false" ht="15" hidden="false" customHeight="false" outlineLevel="0" collapsed="false">
      <c r="A639" s="6" t="n">
        <v>638</v>
      </c>
      <c r="B639" s="6" t="n">
        <v>837</v>
      </c>
      <c r="C639" s="6" t="n">
        <v>156</v>
      </c>
      <c r="D639" s="6" t="n">
        <v>901</v>
      </c>
      <c r="E639" s="6" t="n">
        <v>71</v>
      </c>
      <c r="F639" s="6" t="n">
        <v>47</v>
      </c>
      <c r="G639" s="6" t="n">
        <v>640</v>
      </c>
      <c r="H639" s="6" t="n">
        <v>4</v>
      </c>
      <c r="I639" s="7" t="n">
        <v>117.92</v>
      </c>
      <c r="J639" s="7" t="n">
        <v>399.81</v>
      </c>
      <c r="K639" s="7" t="n">
        <v>537.1</v>
      </c>
      <c r="L639" s="7" t="n">
        <v>201.39</v>
      </c>
      <c r="M639" s="6" t="n">
        <v>2.6</v>
      </c>
      <c r="N639" s="6" t="s">
        <v>27</v>
      </c>
      <c r="O639" s="8" t="n">
        <f aca="false">VLOOKUP(F639,DIM_SERVICO!$A$2:$D$151,4,FALSE())</f>
        <v>399.81</v>
      </c>
      <c r="P639" s="8" t="n">
        <f aca="false">VLOOKUP(E639,DIM_PECA!$A$2:$F$501,6,FALSE())</f>
        <v>41.39</v>
      </c>
      <c r="Q639" s="8" t="n">
        <f aca="false">VLOOKUP(E639,DIM_PECA!$A$2:$F$501,5,FALSE())</f>
        <v>29.48</v>
      </c>
      <c r="R639" s="8" t="n">
        <f aca="false">H639*P639</f>
        <v>165.56</v>
      </c>
      <c r="S639" s="8" t="n">
        <f aca="false">O639*M639</f>
        <v>1039.506</v>
      </c>
      <c r="T639" s="8" t="n">
        <f aca="false">R639+S639</f>
        <v>1205.066</v>
      </c>
      <c r="U639" s="8" t="n">
        <f aca="false">T639-K639</f>
        <v>667.966</v>
      </c>
      <c r="V639" s="8" t="n">
        <f aca="false">R639+S639-U639</f>
        <v>537.1</v>
      </c>
      <c r="W639" s="9" t="str">
        <f aca="false">IF(ROUND(V639-K639,2)=0,"OK","ERRO")</f>
        <v>OK</v>
      </c>
      <c r="X639" s="9" t="str">
        <f aca="false">VLOOKUP(F639,DIM_SERVICO!$A$2:$D$151,3,FALSE())</f>
        <v>Funilaria</v>
      </c>
    </row>
    <row r="640" customFormat="false" ht="15" hidden="false" customHeight="false" outlineLevel="0" collapsed="false">
      <c r="A640" s="2" t="n">
        <v>639</v>
      </c>
      <c r="B640" s="2" t="n">
        <v>995</v>
      </c>
      <c r="C640" s="2" t="n">
        <v>528</v>
      </c>
      <c r="D640" s="2" t="n">
        <v>886</v>
      </c>
      <c r="E640" s="2" t="n">
        <v>208</v>
      </c>
      <c r="F640" s="2" t="n">
        <v>142</v>
      </c>
      <c r="G640" s="2" t="n">
        <v>868</v>
      </c>
      <c r="H640" s="2" t="n">
        <v>4</v>
      </c>
      <c r="I640" s="3" t="n">
        <v>2326.6</v>
      </c>
      <c r="J640" s="3" t="n">
        <v>1867.45</v>
      </c>
      <c r="K640" s="3" t="n">
        <v>5299.93</v>
      </c>
      <c r="L640" s="3" t="n">
        <v>1951.12</v>
      </c>
      <c r="M640" s="2" t="n">
        <v>1.7</v>
      </c>
      <c r="N640" s="2" t="s">
        <v>24</v>
      </c>
      <c r="O640" s="4" t="n">
        <f aca="false">VLOOKUP(F640,DIM_SERVICO!$A$2:$D$151,4,FALSE())</f>
        <v>1867.45</v>
      </c>
      <c r="P640" s="4" t="n">
        <f aca="false">VLOOKUP(E640,DIM_PECA!$A$2:$F$501,6,FALSE())</f>
        <v>858.12</v>
      </c>
      <c r="Q640" s="4" t="n">
        <f aca="false">VLOOKUP(E640,DIM_PECA!$A$2:$F$501,5,FALSE())</f>
        <v>581.65</v>
      </c>
      <c r="R640" s="4" t="n">
        <f aca="false">H640*P640</f>
        <v>3432.48</v>
      </c>
      <c r="S640" s="4" t="n">
        <f aca="false">O640*M640</f>
        <v>3174.665</v>
      </c>
      <c r="T640" s="4" t="n">
        <f aca="false">R640+S640</f>
        <v>6607.145</v>
      </c>
      <c r="U640" s="4" t="n">
        <f aca="false">T640-K640</f>
        <v>1307.215</v>
      </c>
      <c r="V640" s="4" t="n">
        <f aca="false">R640+S640-U640</f>
        <v>5299.93</v>
      </c>
      <c r="W640" s="5" t="str">
        <f aca="false">IF(ROUND(V640-K640,2)=0,"OK","ERRO")</f>
        <v>OK</v>
      </c>
      <c r="X640" s="5" t="str">
        <f aca="false">VLOOKUP(F640,DIM_SERVICO!$A$2:$D$151,3,FALSE())</f>
        <v>Elétrica</v>
      </c>
    </row>
    <row r="641" customFormat="false" ht="15" hidden="false" customHeight="false" outlineLevel="0" collapsed="false">
      <c r="A641" s="6" t="n">
        <v>640</v>
      </c>
      <c r="B641" s="6" t="n">
        <v>344</v>
      </c>
      <c r="C641" s="6" t="n">
        <v>908</v>
      </c>
      <c r="D641" s="6" t="n">
        <v>166</v>
      </c>
      <c r="E641" s="6" t="n">
        <v>327</v>
      </c>
      <c r="F641" s="6" t="n">
        <v>69</v>
      </c>
      <c r="G641" s="6" t="n">
        <v>1063</v>
      </c>
      <c r="H641" s="6" t="n">
        <v>3</v>
      </c>
      <c r="I641" s="7" t="n">
        <v>2899.02</v>
      </c>
      <c r="J641" s="7" t="n">
        <v>905.47</v>
      </c>
      <c r="K641" s="7" t="n">
        <v>5551.32</v>
      </c>
      <c r="L641" s="7" t="n">
        <v>2224.98</v>
      </c>
      <c r="M641" s="6" t="n">
        <v>5.7</v>
      </c>
      <c r="N641" s="6" t="s">
        <v>24</v>
      </c>
      <c r="O641" s="8" t="n">
        <f aca="false">VLOOKUP(F641,DIM_SERVICO!$A$2:$D$151,4,FALSE())</f>
        <v>905.47</v>
      </c>
      <c r="P641" s="8" t="n">
        <f aca="false">VLOOKUP(E641,DIM_PECA!$A$2:$F$501,6,FALSE())</f>
        <v>1586.38</v>
      </c>
      <c r="Q641" s="8" t="n">
        <f aca="false">VLOOKUP(E641,DIM_PECA!$A$2:$F$501,5,FALSE())</f>
        <v>966.34</v>
      </c>
      <c r="R641" s="8" t="n">
        <f aca="false">H641*P641</f>
        <v>4759.14</v>
      </c>
      <c r="S641" s="8" t="n">
        <f aca="false">O641*M641</f>
        <v>5161.179</v>
      </c>
      <c r="T641" s="8" t="n">
        <f aca="false">R641+S641</f>
        <v>9920.319</v>
      </c>
      <c r="U641" s="8" t="n">
        <f aca="false">T641-K641</f>
        <v>4368.999</v>
      </c>
      <c r="V641" s="8" t="n">
        <f aca="false">R641+S641-U641</f>
        <v>5551.32</v>
      </c>
      <c r="W641" s="9" t="str">
        <f aca="false">IF(ROUND(V641-K641,2)=0,"OK","ERRO")</f>
        <v>OK</v>
      </c>
      <c r="X641" s="9" t="str">
        <f aca="false">VLOOKUP(F641,DIM_SERVICO!$A$2:$D$151,3,FALSE())</f>
        <v>Motor</v>
      </c>
    </row>
    <row r="642" customFormat="false" ht="15" hidden="false" customHeight="false" outlineLevel="0" collapsed="false">
      <c r="A642" s="2" t="n">
        <v>641</v>
      </c>
      <c r="B642" s="2" t="n">
        <v>630</v>
      </c>
      <c r="C642" s="2" t="n">
        <v>759</v>
      </c>
      <c r="D642" s="2" t="n">
        <v>313</v>
      </c>
      <c r="E642" s="2" t="n">
        <v>99</v>
      </c>
      <c r="F642" s="2" t="n">
        <v>81</v>
      </c>
      <c r="G642" s="2" t="n">
        <v>310</v>
      </c>
      <c r="H642" s="2" t="n">
        <v>1</v>
      </c>
      <c r="I642" s="3" t="n">
        <v>395.66</v>
      </c>
      <c r="J642" s="3" t="n">
        <v>2146.9</v>
      </c>
      <c r="K642" s="3" t="n">
        <v>2932.5</v>
      </c>
      <c r="L642" s="3" t="n">
        <v>1448.3</v>
      </c>
      <c r="M642" s="2" t="n">
        <v>3.9</v>
      </c>
      <c r="N642" s="2" t="s">
        <v>24</v>
      </c>
      <c r="O642" s="4" t="n">
        <f aca="false">VLOOKUP(F642,DIM_SERVICO!$A$2:$D$151,4,FALSE())</f>
        <v>2146.9</v>
      </c>
      <c r="P642" s="4" t="n">
        <f aca="false">VLOOKUP(E642,DIM_PECA!$A$2:$F$501,6,FALSE())</f>
        <v>785.6</v>
      </c>
      <c r="Q642" s="4" t="n">
        <f aca="false">VLOOKUP(E642,DIM_PECA!$A$2:$F$501,5,FALSE())</f>
        <v>395.66</v>
      </c>
      <c r="R642" s="4" t="n">
        <f aca="false">H642*P642</f>
        <v>785.6</v>
      </c>
      <c r="S642" s="4" t="n">
        <f aca="false">O642*M642</f>
        <v>8372.91</v>
      </c>
      <c r="T642" s="4" t="n">
        <f aca="false">R642+S642</f>
        <v>9158.51</v>
      </c>
      <c r="U642" s="4" t="n">
        <f aca="false">T642-K642</f>
        <v>6226.01</v>
      </c>
      <c r="V642" s="4" t="n">
        <f aca="false">R642+S642-U642</f>
        <v>2932.5</v>
      </c>
      <c r="W642" s="5" t="str">
        <f aca="false">IF(ROUND(V642-K642,2)=0,"OK","ERRO")</f>
        <v>OK</v>
      </c>
      <c r="X642" s="5" t="str">
        <f aca="false">VLOOKUP(F642,DIM_SERVICO!$A$2:$D$151,3,FALSE())</f>
        <v>Revisão</v>
      </c>
    </row>
    <row r="643" customFormat="false" ht="15" hidden="false" customHeight="false" outlineLevel="0" collapsed="false">
      <c r="A643" s="6" t="n">
        <v>642</v>
      </c>
      <c r="B643" s="6" t="n">
        <v>1020</v>
      </c>
      <c r="C643" s="6" t="n">
        <v>144</v>
      </c>
      <c r="D643" s="6" t="n">
        <v>410</v>
      </c>
      <c r="E643" s="6" t="n">
        <v>398</v>
      </c>
      <c r="F643" s="6" t="n">
        <v>114</v>
      </c>
      <c r="G643" s="6" t="n">
        <v>490</v>
      </c>
      <c r="H643" s="6" t="n">
        <v>3</v>
      </c>
      <c r="I643" s="7" t="n">
        <v>3054.21</v>
      </c>
      <c r="J643" s="7" t="n">
        <v>767.72</v>
      </c>
      <c r="K643" s="7" t="n">
        <v>6431.84</v>
      </c>
      <c r="L643" s="7" t="n">
        <v>3067.57</v>
      </c>
      <c r="M643" s="6" t="n">
        <v>6</v>
      </c>
      <c r="N643" s="6" t="s">
        <v>24</v>
      </c>
      <c r="O643" s="8" t="n">
        <f aca="false">VLOOKUP(F643,DIM_SERVICO!$A$2:$D$151,4,FALSE())</f>
        <v>767.72</v>
      </c>
      <c r="P643" s="8" t="n">
        <f aca="false">VLOOKUP(E643,DIM_PECA!$A$2:$F$501,6,FALSE())</f>
        <v>1888.04</v>
      </c>
      <c r="Q643" s="8" t="n">
        <f aca="false">VLOOKUP(E643,DIM_PECA!$A$2:$F$501,5,FALSE())</f>
        <v>1018.07</v>
      </c>
      <c r="R643" s="8" t="n">
        <f aca="false">H643*P643</f>
        <v>5664.12</v>
      </c>
      <c r="S643" s="8" t="n">
        <f aca="false">O643*M643</f>
        <v>4606.32</v>
      </c>
      <c r="T643" s="8" t="n">
        <f aca="false">R643+S643</f>
        <v>10270.44</v>
      </c>
      <c r="U643" s="8" t="n">
        <f aca="false">T643-K643</f>
        <v>3838.6</v>
      </c>
      <c r="V643" s="8" t="n">
        <f aca="false">R643+S643-U643</f>
        <v>6431.84</v>
      </c>
      <c r="W643" s="9" t="str">
        <f aca="false">IF(ROUND(V643-K643,2)=0,"OK","ERRO")</f>
        <v>OK</v>
      </c>
      <c r="X643" s="9" t="str">
        <f aca="false">VLOOKUP(F643,DIM_SERVICO!$A$2:$D$151,3,FALSE())</f>
        <v>Elétrica</v>
      </c>
    </row>
    <row r="644" customFormat="false" ht="15" hidden="false" customHeight="false" outlineLevel="0" collapsed="false">
      <c r="A644" s="2" t="n">
        <v>643</v>
      </c>
      <c r="B644" s="2" t="n">
        <v>664</v>
      </c>
      <c r="C644" s="2" t="n">
        <v>197</v>
      </c>
      <c r="D644" s="2" t="n">
        <v>119</v>
      </c>
      <c r="E644" s="2" t="n">
        <v>178</v>
      </c>
      <c r="F644" s="2" t="n">
        <v>81</v>
      </c>
      <c r="G644" s="2" t="n">
        <v>1061</v>
      </c>
      <c r="H644" s="2" t="n">
        <v>2</v>
      </c>
      <c r="I644" s="3" t="n">
        <v>175.04</v>
      </c>
      <c r="J644" s="3" t="n">
        <v>2146.9</v>
      </c>
      <c r="K644" s="3" t="n">
        <v>2178.4</v>
      </c>
      <c r="L644" s="3" t="n">
        <v>1174.34</v>
      </c>
      <c r="M644" s="2" t="n">
        <v>6.9</v>
      </c>
      <c r="N644" s="2" t="s">
        <v>24</v>
      </c>
      <c r="O644" s="4" t="n">
        <f aca="false">VLOOKUP(F644,DIM_SERVICO!$A$2:$D$151,4,FALSE())</f>
        <v>2146.9</v>
      </c>
      <c r="P644" s="4" t="n">
        <f aca="false">VLOOKUP(E644,DIM_PECA!$A$2:$F$501,6,FALSE())</f>
        <v>136.77</v>
      </c>
      <c r="Q644" s="4" t="n">
        <f aca="false">VLOOKUP(E644,DIM_PECA!$A$2:$F$501,5,FALSE())</f>
        <v>87.52</v>
      </c>
      <c r="R644" s="4" t="n">
        <f aca="false">H644*P644</f>
        <v>273.54</v>
      </c>
      <c r="S644" s="4" t="n">
        <f aca="false">O644*M644</f>
        <v>14813.61</v>
      </c>
      <c r="T644" s="4" t="n">
        <f aca="false">R644+S644</f>
        <v>15087.15</v>
      </c>
      <c r="U644" s="4" t="n">
        <f aca="false">T644-K644</f>
        <v>12908.75</v>
      </c>
      <c r="V644" s="4" t="n">
        <f aca="false">R644+S644-U644</f>
        <v>2178.4</v>
      </c>
      <c r="W644" s="5" t="str">
        <f aca="false">IF(ROUND(V644-K644,2)=0,"OK","ERRO")</f>
        <v>OK</v>
      </c>
      <c r="X644" s="5" t="str">
        <f aca="false">VLOOKUP(F644,DIM_SERVICO!$A$2:$D$151,3,FALSE())</f>
        <v>Revisão</v>
      </c>
    </row>
    <row r="645" customFormat="false" ht="15" hidden="false" customHeight="false" outlineLevel="0" collapsed="false">
      <c r="A645" s="6" t="n">
        <v>644</v>
      </c>
      <c r="B645" s="6" t="n">
        <v>976</v>
      </c>
      <c r="C645" s="6" t="n">
        <v>1159</v>
      </c>
      <c r="D645" s="6" t="n">
        <v>601</v>
      </c>
      <c r="E645" s="6" t="n">
        <v>44</v>
      </c>
      <c r="F645" s="6" t="n">
        <v>114</v>
      </c>
      <c r="G645" s="6" t="n">
        <v>189</v>
      </c>
      <c r="H645" s="6" t="n">
        <v>1</v>
      </c>
      <c r="I645" s="7" t="n">
        <v>540.9</v>
      </c>
      <c r="J645" s="7" t="n">
        <v>767.72</v>
      </c>
      <c r="K645" s="7" t="n">
        <v>1504.54</v>
      </c>
      <c r="L645" s="7" t="n">
        <v>568.6</v>
      </c>
      <c r="M645" s="6" t="n">
        <v>5.7</v>
      </c>
      <c r="N645" s="6" t="s">
        <v>24</v>
      </c>
      <c r="O645" s="8" t="n">
        <f aca="false">VLOOKUP(F645,DIM_SERVICO!$A$2:$D$151,4,FALSE())</f>
        <v>767.72</v>
      </c>
      <c r="P645" s="8" t="n">
        <f aca="false">VLOOKUP(E645,DIM_PECA!$A$2:$F$501,6,FALSE())</f>
        <v>767.53</v>
      </c>
      <c r="Q645" s="8" t="n">
        <f aca="false">VLOOKUP(E645,DIM_PECA!$A$2:$F$501,5,FALSE())</f>
        <v>540.9</v>
      </c>
      <c r="R645" s="8" t="n">
        <f aca="false">H645*P645</f>
        <v>767.53</v>
      </c>
      <c r="S645" s="8" t="n">
        <f aca="false">O645*M645</f>
        <v>4376.004</v>
      </c>
      <c r="T645" s="8" t="n">
        <f aca="false">R645+S645</f>
        <v>5143.534</v>
      </c>
      <c r="U645" s="8" t="n">
        <f aca="false">T645-K645</f>
        <v>3638.994</v>
      </c>
      <c r="V645" s="8" t="n">
        <f aca="false">R645+S645-U645</f>
        <v>1504.54</v>
      </c>
      <c r="W645" s="9" t="str">
        <f aca="false">IF(ROUND(V645-K645,2)=0,"OK","ERRO")</f>
        <v>OK</v>
      </c>
      <c r="X645" s="9" t="str">
        <f aca="false">VLOOKUP(F645,DIM_SERVICO!$A$2:$D$151,3,FALSE())</f>
        <v>Elétrica</v>
      </c>
    </row>
    <row r="646" customFormat="false" ht="15" hidden="false" customHeight="false" outlineLevel="0" collapsed="false">
      <c r="A646" s="2" t="n">
        <v>645</v>
      </c>
      <c r="B646" s="2" t="n">
        <v>433</v>
      </c>
      <c r="C646" s="2" t="n">
        <v>1338</v>
      </c>
      <c r="D646" s="2" t="n">
        <v>784</v>
      </c>
      <c r="E646" s="2" t="n">
        <v>500</v>
      </c>
      <c r="F646" s="2" t="n">
        <v>51</v>
      </c>
      <c r="G646" s="2" t="n">
        <v>1694</v>
      </c>
      <c r="H646" s="2" t="n">
        <v>1</v>
      </c>
      <c r="I646" s="3" t="n">
        <v>1133.7</v>
      </c>
      <c r="J646" s="3" t="n">
        <v>876</v>
      </c>
      <c r="K646" s="3" t="n">
        <v>2452.52</v>
      </c>
      <c r="L646" s="3" t="n">
        <v>995.19</v>
      </c>
      <c r="M646" s="2" t="n">
        <v>5</v>
      </c>
      <c r="N646" s="2" t="s">
        <v>26</v>
      </c>
      <c r="O646" s="4" t="n">
        <f aca="false">VLOOKUP(F646,DIM_SERVICO!$A$2:$D$151,4,FALSE())</f>
        <v>876</v>
      </c>
      <c r="P646" s="4" t="n">
        <f aca="false">VLOOKUP(E646,DIM_PECA!$A$2:$F$501,6,FALSE())</f>
        <v>1576.52</v>
      </c>
      <c r="Q646" s="4" t="n">
        <f aca="false">VLOOKUP(E646,DIM_PECA!$A$2:$F$501,5,FALSE())</f>
        <v>1133.7</v>
      </c>
      <c r="R646" s="4" t="n">
        <f aca="false">H646*P646</f>
        <v>1576.52</v>
      </c>
      <c r="S646" s="4" t="n">
        <f aca="false">O646*M646</f>
        <v>4380</v>
      </c>
      <c r="T646" s="4" t="n">
        <f aca="false">R646+S646</f>
        <v>5956.52</v>
      </c>
      <c r="U646" s="4" t="n">
        <f aca="false">T646-K646</f>
        <v>3504</v>
      </c>
      <c r="V646" s="4" t="n">
        <f aca="false">R646+S646-U646</f>
        <v>2452.52</v>
      </c>
      <c r="W646" s="5" t="str">
        <f aca="false">IF(ROUND(V646-K646,2)=0,"OK","ERRO")</f>
        <v>OK</v>
      </c>
      <c r="X646" s="5" t="str">
        <f aca="false">VLOOKUP(F646,DIM_SERVICO!$A$2:$D$151,3,FALSE())</f>
        <v>Revisão</v>
      </c>
    </row>
    <row r="647" customFormat="false" ht="15" hidden="false" customHeight="false" outlineLevel="0" collapsed="false">
      <c r="A647" s="6" t="n">
        <v>646</v>
      </c>
      <c r="B647" s="6" t="n">
        <v>187</v>
      </c>
      <c r="C647" s="6" t="n">
        <v>610</v>
      </c>
      <c r="D647" s="6" t="n">
        <v>564</v>
      </c>
      <c r="E647" s="6" t="n">
        <v>125</v>
      </c>
      <c r="F647" s="6" t="n">
        <v>142</v>
      </c>
      <c r="G647" s="6" t="n">
        <v>403</v>
      </c>
      <c r="H647" s="6" t="n">
        <v>2</v>
      </c>
      <c r="I647" s="7" t="n">
        <v>1239.94</v>
      </c>
      <c r="J647" s="7" t="n">
        <v>1867.45</v>
      </c>
      <c r="K647" s="7" t="n">
        <v>4020.79</v>
      </c>
      <c r="L647" s="7" t="n">
        <v>1794.95</v>
      </c>
      <c r="M647" s="6" t="n">
        <v>4.5</v>
      </c>
      <c r="N647" s="6" t="s">
        <v>24</v>
      </c>
      <c r="O647" s="8" t="n">
        <f aca="false">VLOOKUP(F647,DIM_SERVICO!$A$2:$D$151,4,FALSE())</f>
        <v>1867.45</v>
      </c>
      <c r="P647" s="8" t="n">
        <f aca="false">VLOOKUP(E647,DIM_PECA!$A$2:$F$501,6,FALSE())</f>
        <v>1117.7</v>
      </c>
      <c r="Q647" s="8" t="n">
        <f aca="false">VLOOKUP(E647,DIM_PECA!$A$2:$F$501,5,FALSE())</f>
        <v>619.97</v>
      </c>
      <c r="R647" s="8" t="n">
        <f aca="false">H647*P647</f>
        <v>2235.4</v>
      </c>
      <c r="S647" s="8" t="n">
        <f aca="false">O647*M647</f>
        <v>8403.525</v>
      </c>
      <c r="T647" s="8" t="n">
        <f aca="false">R647+S647</f>
        <v>10638.925</v>
      </c>
      <c r="U647" s="8" t="n">
        <f aca="false">T647-K647</f>
        <v>6618.135</v>
      </c>
      <c r="V647" s="8" t="n">
        <f aca="false">R647+S647-U647</f>
        <v>4020.79</v>
      </c>
      <c r="W647" s="9" t="str">
        <f aca="false">IF(ROUND(V647-K647,2)=0,"OK","ERRO")</f>
        <v>OK</v>
      </c>
      <c r="X647" s="9" t="str">
        <f aca="false">VLOOKUP(F647,DIM_SERVICO!$A$2:$D$151,3,FALSE())</f>
        <v>Elétrica</v>
      </c>
    </row>
    <row r="648" customFormat="false" ht="15" hidden="false" customHeight="false" outlineLevel="0" collapsed="false">
      <c r="A648" s="2" t="n">
        <v>647</v>
      </c>
      <c r="B648" s="2" t="n">
        <v>1073</v>
      </c>
      <c r="C648" s="2" t="n">
        <v>17</v>
      </c>
      <c r="D648" s="2" t="n">
        <v>410</v>
      </c>
      <c r="E648" s="2" t="n">
        <v>493</v>
      </c>
      <c r="F648" s="2" t="n">
        <v>93</v>
      </c>
      <c r="G648" s="2" t="n">
        <v>502</v>
      </c>
      <c r="H648" s="2" t="n">
        <v>2</v>
      </c>
      <c r="I648" s="3" t="n">
        <v>2042.42</v>
      </c>
      <c r="J648" s="3" t="n">
        <v>2049.66</v>
      </c>
      <c r="K648" s="3" t="n">
        <v>4813.64</v>
      </c>
      <c r="L648" s="3" t="n">
        <v>1677.42</v>
      </c>
      <c r="M648" s="2" t="n">
        <v>8.8</v>
      </c>
      <c r="N648" s="2" t="s">
        <v>27</v>
      </c>
      <c r="O648" s="4" t="n">
        <f aca="false">VLOOKUP(F648,DIM_SERVICO!$A$2:$D$151,4,FALSE())</f>
        <v>2049.66</v>
      </c>
      <c r="P648" s="4" t="n">
        <f aca="false">VLOOKUP(E648,DIM_PECA!$A$2:$F$501,6,FALSE())</f>
        <v>1591.28</v>
      </c>
      <c r="Q648" s="4" t="n">
        <f aca="false">VLOOKUP(E648,DIM_PECA!$A$2:$F$501,5,FALSE())</f>
        <v>1021.21</v>
      </c>
      <c r="R648" s="4" t="n">
        <f aca="false">H648*P648</f>
        <v>3182.56</v>
      </c>
      <c r="S648" s="4" t="n">
        <f aca="false">O648*M648</f>
        <v>18037.008</v>
      </c>
      <c r="T648" s="4" t="n">
        <f aca="false">R648+S648</f>
        <v>21219.568</v>
      </c>
      <c r="U648" s="4" t="n">
        <f aca="false">T648-K648</f>
        <v>16405.928</v>
      </c>
      <c r="V648" s="4" t="n">
        <f aca="false">R648+S648-U648</f>
        <v>4813.64</v>
      </c>
      <c r="W648" s="5" t="str">
        <f aca="false">IF(ROUND(V648-K648,2)=0,"OK","ERRO")</f>
        <v>OK</v>
      </c>
      <c r="X648" s="5" t="str">
        <f aca="false">VLOOKUP(F648,DIM_SERVICO!$A$2:$D$151,3,FALSE())</f>
        <v>Revisão</v>
      </c>
    </row>
    <row r="649" customFormat="false" ht="15" hidden="false" customHeight="false" outlineLevel="0" collapsed="false">
      <c r="A649" s="6" t="n">
        <v>648</v>
      </c>
      <c r="B649" s="6" t="n">
        <v>532</v>
      </c>
      <c r="C649" s="6" t="n">
        <v>359</v>
      </c>
      <c r="D649" s="6" t="n">
        <v>154</v>
      </c>
      <c r="E649" s="6" t="n">
        <v>17</v>
      </c>
      <c r="F649" s="6" t="n">
        <v>26</v>
      </c>
      <c r="G649" s="6" t="n">
        <v>329</v>
      </c>
      <c r="H649" s="6" t="n">
        <v>3</v>
      </c>
      <c r="I649" s="7" t="n">
        <v>321.6</v>
      </c>
      <c r="J649" s="7" t="n">
        <v>168.44</v>
      </c>
      <c r="K649" s="7" t="n">
        <v>664.67</v>
      </c>
      <c r="L649" s="7" t="n">
        <v>260.6</v>
      </c>
      <c r="M649" s="6" t="n">
        <v>4.3</v>
      </c>
      <c r="N649" s="6" t="s">
        <v>24</v>
      </c>
      <c r="O649" s="8" t="n">
        <f aca="false">VLOOKUP(F649,DIM_SERVICO!$A$2:$D$151,4,FALSE())</f>
        <v>168.44</v>
      </c>
      <c r="P649" s="8" t="n">
        <f aca="false">VLOOKUP(E649,DIM_PECA!$A$2:$F$501,6,FALSE())</f>
        <v>165.41</v>
      </c>
      <c r="Q649" s="8" t="n">
        <f aca="false">VLOOKUP(E649,DIM_PECA!$A$2:$F$501,5,FALSE())</f>
        <v>107.2</v>
      </c>
      <c r="R649" s="8" t="n">
        <f aca="false">H649*P649</f>
        <v>496.23</v>
      </c>
      <c r="S649" s="8" t="n">
        <f aca="false">O649*M649</f>
        <v>724.292</v>
      </c>
      <c r="T649" s="8" t="n">
        <f aca="false">R649+S649</f>
        <v>1220.522</v>
      </c>
      <c r="U649" s="8" t="n">
        <f aca="false">T649-K649</f>
        <v>555.852</v>
      </c>
      <c r="V649" s="8" t="n">
        <f aca="false">R649+S649-U649</f>
        <v>664.67</v>
      </c>
      <c r="W649" s="9" t="str">
        <f aca="false">IF(ROUND(V649-K649,2)=0,"OK","ERRO")</f>
        <v>OK</v>
      </c>
      <c r="X649" s="9" t="str">
        <f aca="false">VLOOKUP(F649,DIM_SERVICO!$A$2:$D$151,3,FALSE())</f>
        <v>Suspensão</v>
      </c>
    </row>
    <row r="650" customFormat="false" ht="15" hidden="false" customHeight="false" outlineLevel="0" collapsed="false">
      <c r="A650" s="2" t="n">
        <v>649</v>
      </c>
      <c r="B650" s="2" t="n">
        <v>138</v>
      </c>
      <c r="C650" s="2" t="n">
        <v>1221</v>
      </c>
      <c r="D650" s="2" t="n">
        <v>125</v>
      </c>
      <c r="E650" s="2" t="n">
        <v>150</v>
      </c>
      <c r="F650" s="2" t="n">
        <v>149</v>
      </c>
      <c r="G650" s="2" t="n">
        <v>1206</v>
      </c>
      <c r="H650" s="2" t="n">
        <v>3</v>
      </c>
      <c r="I650" s="3" t="n">
        <v>1095.09</v>
      </c>
      <c r="J650" s="3" t="n">
        <v>142.63</v>
      </c>
      <c r="K650" s="3" t="n">
        <v>2115.43</v>
      </c>
      <c r="L650" s="3" t="n">
        <v>954.14</v>
      </c>
      <c r="M650" s="2" t="n">
        <v>9.2</v>
      </c>
      <c r="N650" s="2" t="s">
        <v>26</v>
      </c>
      <c r="O650" s="4" t="n">
        <f aca="false">VLOOKUP(F650,DIM_SERVICO!$A$2:$D$151,4,FALSE())</f>
        <v>142.63</v>
      </c>
      <c r="P650" s="4" t="n">
        <f aca="false">VLOOKUP(E650,DIM_PECA!$A$2:$F$501,6,FALSE())</f>
        <v>735.95</v>
      </c>
      <c r="Q650" s="4" t="n">
        <f aca="false">VLOOKUP(E650,DIM_PECA!$A$2:$F$501,5,FALSE())</f>
        <v>365.03</v>
      </c>
      <c r="R650" s="4" t="n">
        <f aca="false">H650*P650</f>
        <v>2207.85</v>
      </c>
      <c r="S650" s="4" t="n">
        <f aca="false">O650*M650</f>
        <v>1312.196</v>
      </c>
      <c r="T650" s="4" t="n">
        <f aca="false">R650+S650</f>
        <v>3520.046</v>
      </c>
      <c r="U650" s="4" t="n">
        <f aca="false">T650-K650</f>
        <v>1404.616</v>
      </c>
      <c r="V650" s="4" t="n">
        <f aca="false">R650+S650-U650</f>
        <v>2115.43</v>
      </c>
      <c r="W650" s="5" t="str">
        <f aca="false">IF(ROUND(V650-K650,2)=0,"OK","ERRO")</f>
        <v>OK</v>
      </c>
      <c r="X650" s="5" t="str">
        <f aca="false">VLOOKUP(F650,DIM_SERVICO!$A$2:$D$151,3,FALSE())</f>
        <v>Motor</v>
      </c>
    </row>
    <row r="651" customFormat="false" ht="15" hidden="false" customHeight="false" outlineLevel="0" collapsed="false">
      <c r="A651" s="6" t="n">
        <v>650</v>
      </c>
      <c r="B651" s="6" t="n">
        <v>1190</v>
      </c>
      <c r="C651" s="6" t="n">
        <v>966</v>
      </c>
      <c r="D651" s="6" t="n">
        <v>77</v>
      </c>
      <c r="E651" s="6" t="n">
        <v>120</v>
      </c>
      <c r="F651" s="6" t="n">
        <v>25</v>
      </c>
      <c r="G651" s="6" t="n">
        <v>1440</v>
      </c>
      <c r="H651" s="6" t="n">
        <v>4</v>
      </c>
      <c r="I651" s="7" t="n">
        <v>3070.4</v>
      </c>
      <c r="J651" s="7" t="n">
        <v>1419.73</v>
      </c>
      <c r="K651" s="7" t="n">
        <v>6013.45</v>
      </c>
      <c r="L651" s="7" t="n">
        <v>2343.82</v>
      </c>
      <c r="M651" s="6" t="n">
        <v>8.1</v>
      </c>
      <c r="N651" s="6" t="s">
        <v>25</v>
      </c>
      <c r="O651" s="8" t="n">
        <f aca="false">VLOOKUP(F651,DIM_SERVICO!$A$2:$D$151,4,FALSE())</f>
        <v>1419.73</v>
      </c>
      <c r="P651" s="8" t="n">
        <f aca="false">VLOOKUP(E651,DIM_PECA!$A$2:$F$501,6,FALSE())</f>
        <v>1148.43</v>
      </c>
      <c r="Q651" s="8" t="n">
        <f aca="false">VLOOKUP(E651,DIM_PECA!$A$2:$F$501,5,FALSE())</f>
        <v>767.6</v>
      </c>
      <c r="R651" s="8" t="n">
        <f aca="false">H651*P651</f>
        <v>4593.72</v>
      </c>
      <c r="S651" s="8" t="n">
        <f aca="false">O651*M651</f>
        <v>11499.813</v>
      </c>
      <c r="T651" s="8" t="n">
        <f aca="false">R651+S651</f>
        <v>16093.533</v>
      </c>
      <c r="U651" s="8" t="n">
        <f aca="false">T651-K651</f>
        <v>10080.083</v>
      </c>
      <c r="V651" s="8" t="n">
        <f aca="false">R651+S651-U651</f>
        <v>6013.45</v>
      </c>
      <c r="W651" s="9" t="str">
        <f aca="false">IF(ROUND(V651-K651,2)=0,"OK","ERRO")</f>
        <v>OK</v>
      </c>
      <c r="X651" s="9" t="str">
        <f aca="false">VLOOKUP(F651,DIM_SERVICO!$A$2:$D$151,3,FALSE())</f>
        <v>Motor</v>
      </c>
    </row>
    <row r="652" customFormat="false" ht="15" hidden="false" customHeight="false" outlineLevel="0" collapsed="false">
      <c r="A652" s="2" t="n">
        <v>651</v>
      </c>
      <c r="B652" s="2" t="n">
        <v>187</v>
      </c>
      <c r="C652" s="2" t="n">
        <v>258</v>
      </c>
      <c r="D652" s="2" t="n">
        <v>682</v>
      </c>
      <c r="E652" s="2" t="n">
        <v>283</v>
      </c>
      <c r="F652" s="2" t="n">
        <v>51</v>
      </c>
      <c r="G652" s="2" t="n">
        <v>383</v>
      </c>
      <c r="H652" s="2" t="n">
        <v>1</v>
      </c>
      <c r="I652" s="3" t="n">
        <v>837.63</v>
      </c>
      <c r="J652" s="3" t="n">
        <v>876</v>
      </c>
      <c r="K652" s="3" t="n">
        <v>2291.79</v>
      </c>
      <c r="L652" s="3" t="n">
        <v>990.06</v>
      </c>
      <c r="M652" s="2" t="n">
        <v>11.1</v>
      </c>
      <c r="N652" s="2" t="s">
        <v>26</v>
      </c>
      <c r="O652" s="4" t="n">
        <f aca="false">VLOOKUP(F652,DIM_SERVICO!$A$2:$D$151,4,FALSE())</f>
        <v>876</v>
      </c>
      <c r="P652" s="4" t="n">
        <f aca="false">VLOOKUP(E652,DIM_PECA!$A$2:$F$501,6,FALSE())</f>
        <v>1415.79</v>
      </c>
      <c r="Q652" s="4" t="n">
        <f aca="false">VLOOKUP(E652,DIM_PECA!$A$2:$F$501,5,FALSE())</f>
        <v>837.63</v>
      </c>
      <c r="R652" s="4" t="n">
        <f aca="false">H652*P652</f>
        <v>1415.79</v>
      </c>
      <c r="S652" s="4" t="n">
        <f aca="false">O652*M652</f>
        <v>9723.6</v>
      </c>
      <c r="T652" s="4" t="n">
        <f aca="false">R652+S652</f>
        <v>11139.39</v>
      </c>
      <c r="U652" s="4" t="n">
        <f aca="false">T652-K652</f>
        <v>8847.6</v>
      </c>
      <c r="V652" s="4" t="n">
        <f aca="false">R652+S652-U652</f>
        <v>2291.79</v>
      </c>
      <c r="W652" s="5" t="str">
        <f aca="false">IF(ROUND(V652-K652,2)=0,"OK","ERRO")</f>
        <v>OK</v>
      </c>
      <c r="X652" s="5" t="str">
        <f aca="false">VLOOKUP(F652,DIM_SERVICO!$A$2:$D$151,3,FALSE())</f>
        <v>Revisão</v>
      </c>
    </row>
    <row r="653" customFormat="false" ht="15" hidden="false" customHeight="false" outlineLevel="0" collapsed="false">
      <c r="A653" s="6" t="n">
        <v>652</v>
      </c>
      <c r="B653" s="6" t="n">
        <v>791</v>
      </c>
      <c r="C653" s="6" t="n">
        <v>676</v>
      </c>
      <c r="D653" s="6" t="n">
        <v>550</v>
      </c>
      <c r="E653" s="6" t="n">
        <v>190</v>
      </c>
      <c r="F653" s="6" t="n">
        <v>100</v>
      </c>
      <c r="G653" s="6" t="n">
        <v>1648</v>
      </c>
      <c r="H653" s="6" t="n">
        <v>2</v>
      </c>
      <c r="I653" s="7" t="n">
        <v>869.24</v>
      </c>
      <c r="J653" s="7" t="n">
        <v>2148.55</v>
      </c>
      <c r="K653" s="7" t="n">
        <v>3298.69</v>
      </c>
      <c r="L653" s="7" t="n">
        <v>1507.27</v>
      </c>
      <c r="M653" s="6" t="n">
        <v>7.6</v>
      </c>
      <c r="N653" s="6" t="s">
        <v>24</v>
      </c>
      <c r="O653" s="8" t="n">
        <f aca="false">VLOOKUP(F653,DIM_SERVICO!$A$2:$D$151,4,FALSE())</f>
        <v>2148.55</v>
      </c>
      <c r="P653" s="8" t="n">
        <f aca="false">VLOOKUP(E653,DIM_PECA!$A$2:$F$501,6,FALSE())</f>
        <v>758.33</v>
      </c>
      <c r="Q653" s="8" t="n">
        <f aca="false">VLOOKUP(E653,DIM_PECA!$A$2:$F$501,5,FALSE())</f>
        <v>434.62</v>
      </c>
      <c r="R653" s="8" t="n">
        <f aca="false">H653*P653</f>
        <v>1516.66</v>
      </c>
      <c r="S653" s="8" t="n">
        <f aca="false">O653*M653</f>
        <v>16328.98</v>
      </c>
      <c r="T653" s="8" t="n">
        <f aca="false">R653+S653</f>
        <v>17845.64</v>
      </c>
      <c r="U653" s="8" t="n">
        <f aca="false">T653-K653</f>
        <v>14546.95</v>
      </c>
      <c r="V653" s="8" t="n">
        <f aca="false">R653+S653-U653</f>
        <v>3298.69</v>
      </c>
      <c r="W653" s="9" t="str">
        <f aca="false">IF(ROUND(V653-K653,2)=0,"OK","ERRO")</f>
        <v>OK</v>
      </c>
      <c r="X653" s="9" t="str">
        <f aca="false">VLOOKUP(F653,DIM_SERVICO!$A$2:$D$151,3,FALSE())</f>
        <v>Motor</v>
      </c>
    </row>
    <row r="654" customFormat="false" ht="15" hidden="false" customHeight="false" outlineLevel="0" collapsed="false">
      <c r="A654" s="2" t="n">
        <v>653</v>
      </c>
      <c r="B654" s="2" t="n">
        <v>958</v>
      </c>
      <c r="C654" s="2" t="n">
        <v>1056</v>
      </c>
      <c r="D654" s="2" t="n">
        <v>420</v>
      </c>
      <c r="E654" s="2" t="n">
        <v>224</v>
      </c>
      <c r="F654" s="2" t="n">
        <v>129</v>
      </c>
      <c r="G654" s="2" t="n">
        <v>888</v>
      </c>
      <c r="H654" s="2" t="n">
        <v>2</v>
      </c>
      <c r="I654" s="3" t="n">
        <v>231.26</v>
      </c>
      <c r="J654" s="3" t="n">
        <v>404</v>
      </c>
      <c r="K654" s="3" t="n">
        <v>874</v>
      </c>
      <c r="L654" s="3" t="n">
        <v>450.22</v>
      </c>
      <c r="M654" s="2" t="n">
        <v>4</v>
      </c>
      <c r="N654" s="2" t="s">
        <v>26</v>
      </c>
      <c r="O654" s="4" t="n">
        <f aca="false">VLOOKUP(F654,DIM_SERVICO!$A$2:$D$151,4,FALSE())</f>
        <v>404</v>
      </c>
      <c r="P654" s="4" t="n">
        <f aca="false">VLOOKUP(E654,DIM_PECA!$A$2:$F$501,6,FALSE())</f>
        <v>243.92</v>
      </c>
      <c r="Q654" s="4" t="n">
        <f aca="false">VLOOKUP(E654,DIM_PECA!$A$2:$F$501,5,FALSE())</f>
        <v>115.63</v>
      </c>
      <c r="R654" s="4" t="n">
        <f aca="false">H654*P654</f>
        <v>487.84</v>
      </c>
      <c r="S654" s="4" t="n">
        <f aca="false">O654*M654</f>
        <v>1616</v>
      </c>
      <c r="T654" s="4" t="n">
        <f aca="false">R654+S654</f>
        <v>2103.84</v>
      </c>
      <c r="U654" s="4" t="n">
        <f aca="false">T654-K654</f>
        <v>1229.84</v>
      </c>
      <c r="V654" s="4" t="n">
        <f aca="false">R654+S654-U654</f>
        <v>874</v>
      </c>
      <c r="W654" s="5" t="str">
        <f aca="false">IF(ROUND(V654-K654,2)=0,"OK","ERRO")</f>
        <v>OK</v>
      </c>
      <c r="X654" s="5" t="str">
        <f aca="false">VLOOKUP(F654,DIM_SERVICO!$A$2:$D$151,3,FALSE())</f>
        <v>Diagnóstico</v>
      </c>
    </row>
    <row r="655" customFormat="false" ht="15" hidden="false" customHeight="false" outlineLevel="0" collapsed="false">
      <c r="A655" s="6" t="n">
        <v>654</v>
      </c>
      <c r="B655" s="6" t="n">
        <v>1316</v>
      </c>
      <c r="C655" s="6" t="n">
        <v>1371</v>
      </c>
      <c r="D655" s="6" t="n">
        <v>558</v>
      </c>
      <c r="E655" s="6" t="n">
        <v>369</v>
      </c>
      <c r="F655" s="6" t="n">
        <v>80</v>
      </c>
      <c r="G655" s="6" t="n">
        <v>1187</v>
      </c>
      <c r="H655" s="6" t="n">
        <v>1</v>
      </c>
      <c r="I655" s="7" t="n">
        <v>540.09</v>
      </c>
      <c r="J655" s="7" t="n">
        <v>2134.39</v>
      </c>
      <c r="K655" s="7" t="n">
        <v>3187.14</v>
      </c>
      <c r="L655" s="7" t="n">
        <v>1617.55</v>
      </c>
      <c r="M655" s="6" t="n">
        <v>9.1</v>
      </c>
      <c r="N655" s="6" t="s">
        <v>24</v>
      </c>
      <c r="O655" s="8" t="n">
        <f aca="false">VLOOKUP(F655,DIM_SERVICO!$A$2:$D$151,4,FALSE())</f>
        <v>2134.39</v>
      </c>
      <c r="P655" s="8" t="n">
        <f aca="false">VLOOKUP(E655,DIM_PECA!$A$2:$F$501,6,FALSE())</f>
        <v>1052.75</v>
      </c>
      <c r="Q655" s="8" t="n">
        <f aca="false">VLOOKUP(E655,DIM_PECA!$A$2:$F$501,5,FALSE())</f>
        <v>540.09</v>
      </c>
      <c r="R655" s="8" t="n">
        <f aca="false">H655*P655</f>
        <v>1052.75</v>
      </c>
      <c r="S655" s="8" t="n">
        <f aca="false">O655*M655</f>
        <v>19422.949</v>
      </c>
      <c r="T655" s="8" t="n">
        <f aca="false">R655+S655</f>
        <v>20475.699</v>
      </c>
      <c r="U655" s="8" t="n">
        <f aca="false">T655-K655</f>
        <v>17288.559</v>
      </c>
      <c r="V655" s="8" t="n">
        <f aca="false">R655+S655-U655</f>
        <v>3187.14</v>
      </c>
      <c r="W655" s="9" t="str">
        <f aca="false">IF(ROUND(V655-K655,2)=0,"OK","ERRO")</f>
        <v>OK</v>
      </c>
      <c r="X655" s="9" t="str">
        <f aca="false">VLOOKUP(F655,DIM_SERVICO!$A$2:$D$151,3,FALSE())</f>
        <v>Suspensão</v>
      </c>
    </row>
    <row r="656" customFormat="false" ht="15" hidden="false" customHeight="false" outlineLevel="0" collapsed="false">
      <c r="A656" s="2" t="n">
        <v>655</v>
      </c>
      <c r="B656" s="2" t="n">
        <v>880</v>
      </c>
      <c r="C656" s="2" t="n">
        <v>845</v>
      </c>
      <c r="D656" s="2" t="n">
        <v>818</v>
      </c>
      <c r="E656" s="2" t="n">
        <v>390</v>
      </c>
      <c r="F656" s="2" t="n">
        <v>50</v>
      </c>
      <c r="G656" s="2" t="n">
        <v>1157</v>
      </c>
      <c r="H656" s="2" t="n">
        <v>2</v>
      </c>
      <c r="I656" s="3" t="n">
        <v>1103.96</v>
      </c>
      <c r="J656" s="3" t="n">
        <v>1357.79</v>
      </c>
      <c r="K656" s="3" t="n">
        <v>2824.06</v>
      </c>
      <c r="L656" s="3" t="n">
        <v>1237.51</v>
      </c>
      <c r="M656" s="2" t="n">
        <v>8.7</v>
      </c>
      <c r="N656" s="2" t="s">
        <v>26</v>
      </c>
      <c r="O656" s="4" t="n">
        <f aca="false">VLOOKUP(F656,DIM_SERVICO!$A$2:$D$151,4,FALSE())</f>
        <v>1357.79</v>
      </c>
      <c r="P656" s="4" t="n">
        <f aca="false">VLOOKUP(E656,DIM_PECA!$A$2:$F$501,6,FALSE())</f>
        <v>855.92</v>
      </c>
      <c r="Q656" s="4" t="n">
        <f aca="false">VLOOKUP(E656,DIM_PECA!$A$2:$F$501,5,FALSE())</f>
        <v>551.98</v>
      </c>
      <c r="R656" s="4" t="n">
        <f aca="false">H656*P656</f>
        <v>1711.84</v>
      </c>
      <c r="S656" s="4" t="n">
        <f aca="false">O656*M656</f>
        <v>11812.773</v>
      </c>
      <c r="T656" s="4" t="n">
        <f aca="false">R656+S656</f>
        <v>13524.613</v>
      </c>
      <c r="U656" s="4" t="n">
        <f aca="false">T656-K656</f>
        <v>10700.553</v>
      </c>
      <c r="V656" s="4" t="n">
        <f aca="false">R656+S656-U656</f>
        <v>2824.06</v>
      </c>
      <c r="W656" s="5" t="str">
        <f aca="false">IF(ROUND(V656-K656,2)=0,"OK","ERRO")</f>
        <v>OK</v>
      </c>
      <c r="X656" s="5" t="str">
        <f aca="false">VLOOKUP(F656,DIM_SERVICO!$A$2:$D$151,3,FALSE())</f>
        <v>Pintura</v>
      </c>
    </row>
    <row r="657" customFormat="false" ht="15" hidden="false" customHeight="false" outlineLevel="0" collapsed="false">
      <c r="A657" s="6" t="n">
        <v>656</v>
      </c>
      <c r="B657" s="6" t="n">
        <v>467</v>
      </c>
      <c r="C657" s="6" t="n">
        <v>48</v>
      </c>
      <c r="D657" s="6" t="n">
        <v>497</v>
      </c>
      <c r="E657" s="6" t="n">
        <v>72</v>
      </c>
      <c r="F657" s="6" t="n">
        <v>149</v>
      </c>
      <c r="G657" s="6" t="n">
        <v>604</v>
      </c>
      <c r="H657" s="6" t="n">
        <v>2</v>
      </c>
      <c r="I657" s="7" t="n">
        <v>1865.78</v>
      </c>
      <c r="J657" s="7" t="n">
        <v>142.63</v>
      </c>
      <c r="K657" s="7" t="n">
        <v>3507.6</v>
      </c>
      <c r="L657" s="7" t="n">
        <v>1574.5</v>
      </c>
      <c r="M657" s="6" t="n">
        <v>9.2</v>
      </c>
      <c r="N657" s="6" t="s">
        <v>24</v>
      </c>
      <c r="O657" s="8" t="n">
        <f aca="false">VLOOKUP(F657,DIM_SERVICO!$A$2:$D$151,4,FALSE())</f>
        <v>142.63</v>
      </c>
      <c r="P657" s="8" t="n">
        <f aca="false">VLOOKUP(E657,DIM_PECA!$A$2:$F$501,6,FALSE())</f>
        <v>1774.79</v>
      </c>
      <c r="Q657" s="8" t="n">
        <f aca="false">VLOOKUP(E657,DIM_PECA!$A$2:$F$501,5,FALSE())</f>
        <v>932.89</v>
      </c>
      <c r="R657" s="8" t="n">
        <f aca="false">H657*P657</f>
        <v>3549.58</v>
      </c>
      <c r="S657" s="8" t="n">
        <f aca="false">O657*M657</f>
        <v>1312.196</v>
      </c>
      <c r="T657" s="8" t="n">
        <f aca="false">R657+S657</f>
        <v>4861.776</v>
      </c>
      <c r="U657" s="8" t="n">
        <f aca="false">T657-K657</f>
        <v>1354.176</v>
      </c>
      <c r="V657" s="8" t="n">
        <f aca="false">R657+S657-U657</f>
        <v>3507.6</v>
      </c>
      <c r="W657" s="9" t="str">
        <f aca="false">IF(ROUND(V657-K657,2)=0,"OK","ERRO")</f>
        <v>OK</v>
      </c>
      <c r="X657" s="9" t="str">
        <f aca="false">VLOOKUP(F657,DIM_SERVICO!$A$2:$D$151,3,FALSE())</f>
        <v>Motor</v>
      </c>
    </row>
    <row r="658" customFormat="false" ht="15" hidden="false" customHeight="false" outlineLevel="0" collapsed="false">
      <c r="A658" s="2" t="n">
        <v>657</v>
      </c>
      <c r="B658" s="2" t="n">
        <v>804</v>
      </c>
      <c r="C658" s="2" t="n">
        <v>184</v>
      </c>
      <c r="D658" s="2" t="n">
        <v>1099</v>
      </c>
      <c r="E658" s="2" t="n">
        <v>425</v>
      </c>
      <c r="F658" s="2" t="n">
        <v>45</v>
      </c>
      <c r="G658" s="2" t="n">
        <v>546</v>
      </c>
      <c r="H658" s="2" t="n">
        <v>4</v>
      </c>
      <c r="I658" s="3" t="n">
        <v>711.28</v>
      </c>
      <c r="J658" s="3" t="n">
        <v>510.5</v>
      </c>
      <c r="K658" s="3" t="n">
        <v>2058.94</v>
      </c>
      <c r="L658" s="3" t="n">
        <v>1071.27</v>
      </c>
      <c r="M658" s="2" t="n">
        <v>9.3</v>
      </c>
      <c r="N658" s="2" t="s">
        <v>27</v>
      </c>
      <c r="O658" s="4" t="n">
        <f aca="false">VLOOKUP(F658,DIM_SERVICO!$A$2:$D$151,4,FALSE())</f>
        <v>510.5</v>
      </c>
      <c r="P658" s="4" t="n">
        <f aca="false">VLOOKUP(E658,DIM_PECA!$A$2:$F$501,6,FALSE())</f>
        <v>387.11</v>
      </c>
      <c r="Q658" s="4" t="n">
        <f aca="false">VLOOKUP(E658,DIM_PECA!$A$2:$F$501,5,FALSE())</f>
        <v>177.82</v>
      </c>
      <c r="R658" s="4" t="n">
        <f aca="false">H658*P658</f>
        <v>1548.44</v>
      </c>
      <c r="S658" s="4" t="n">
        <f aca="false">O658*M658</f>
        <v>4747.65</v>
      </c>
      <c r="T658" s="4" t="n">
        <f aca="false">R658+S658</f>
        <v>6296.09</v>
      </c>
      <c r="U658" s="4" t="n">
        <f aca="false">T658-K658</f>
        <v>4237.15</v>
      </c>
      <c r="V658" s="4" t="n">
        <f aca="false">R658+S658-U658</f>
        <v>2058.94</v>
      </c>
      <c r="W658" s="5" t="str">
        <f aca="false">IF(ROUND(V658-K658,2)=0,"OK","ERRO")</f>
        <v>OK</v>
      </c>
      <c r="X658" s="5" t="str">
        <f aca="false">VLOOKUP(F658,DIM_SERVICO!$A$2:$D$151,3,FALSE())</f>
        <v>Revisão</v>
      </c>
    </row>
    <row r="659" customFormat="false" ht="15" hidden="false" customHeight="false" outlineLevel="0" collapsed="false">
      <c r="A659" s="6" t="n">
        <v>658</v>
      </c>
      <c r="B659" s="6" t="n">
        <v>490</v>
      </c>
      <c r="C659" s="6" t="n">
        <v>1292</v>
      </c>
      <c r="D659" s="6" t="n">
        <v>615</v>
      </c>
      <c r="E659" s="6" t="n">
        <v>26</v>
      </c>
      <c r="F659" s="6" t="n">
        <v>111</v>
      </c>
      <c r="G659" s="6" t="n">
        <v>1234</v>
      </c>
      <c r="H659" s="6" t="n">
        <v>4</v>
      </c>
      <c r="I659" s="7" t="n">
        <v>1369.8</v>
      </c>
      <c r="J659" s="7" t="n">
        <v>1482.2</v>
      </c>
      <c r="K659" s="7" t="n">
        <v>4006.11</v>
      </c>
      <c r="L659" s="7" t="n">
        <v>1850.84</v>
      </c>
      <c r="M659" s="6" t="n">
        <v>7.1</v>
      </c>
      <c r="N659" s="6" t="s">
        <v>24</v>
      </c>
      <c r="O659" s="8" t="n">
        <f aca="false">VLOOKUP(F659,DIM_SERVICO!$A$2:$D$151,4,FALSE())</f>
        <v>1482.2</v>
      </c>
      <c r="P659" s="8" t="n">
        <f aca="false">VLOOKUP(E659,DIM_PECA!$A$2:$F$501,6,FALSE())</f>
        <v>683.69</v>
      </c>
      <c r="Q659" s="8" t="n">
        <f aca="false">VLOOKUP(E659,DIM_PECA!$A$2:$F$501,5,FALSE())</f>
        <v>342.45</v>
      </c>
      <c r="R659" s="8" t="n">
        <f aca="false">H659*P659</f>
        <v>2734.76</v>
      </c>
      <c r="S659" s="8" t="n">
        <f aca="false">O659*M659</f>
        <v>10523.62</v>
      </c>
      <c r="T659" s="8" t="n">
        <f aca="false">R659+S659</f>
        <v>13258.38</v>
      </c>
      <c r="U659" s="8" t="n">
        <f aca="false">T659-K659</f>
        <v>9252.27</v>
      </c>
      <c r="V659" s="8" t="n">
        <f aca="false">R659+S659-U659</f>
        <v>4006.11</v>
      </c>
      <c r="W659" s="9" t="str">
        <f aca="false">IF(ROUND(V659-K659,2)=0,"OK","ERRO")</f>
        <v>OK</v>
      </c>
      <c r="X659" s="9" t="str">
        <f aca="false">VLOOKUP(F659,DIM_SERVICO!$A$2:$D$151,3,FALSE())</f>
        <v>Pintura</v>
      </c>
    </row>
    <row r="660" customFormat="false" ht="15" hidden="false" customHeight="false" outlineLevel="0" collapsed="false">
      <c r="A660" s="2" t="n">
        <v>659</v>
      </c>
      <c r="B660" s="2" t="n">
        <v>1350</v>
      </c>
      <c r="C660" s="2" t="n">
        <v>425</v>
      </c>
      <c r="D660" s="2" t="n">
        <v>901</v>
      </c>
      <c r="E660" s="2" t="n">
        <v>246</v>
      </c>
      <c r="F660" s="2" t="n">
        <v>35</v>
      </c>
      <c r="G660" s="2" t="n">
        <v>1792</v>
      </c>
      <c r="H660" s="2" t="n">
        <v>1</v>
      </c>
      <c r="I660" s="3" t="n">
        <v>822.3</v>
      </c>
      <c r="J660" s="3" t="n">
        <v>1082.38</v>
      </c>
      <c r="K660" s="3" t="n">
        <v>2453.1</v>
      </c>
      <c r="L660" s="3" t="n">
        <v>1222.01</v>
      </c>
      <c r="M660" s="2" t="n">
        <v>3</v>
      </c>
      <c r="N660" s="2" t="s">
        <v>24</v>
      </c>
      <c r="O660" s="4" t="n">
        <f aca="false">VLOOKUP(F660,DIM_SERVICO!$A$2:$D$151,4,FALSE())</f>
        <v>1082.38</v>
      </c>
      <c r="P660" s="4" t="n">
        <f aca="false">VLOOKUP(E660,DIM_PECA!$A$2:$F$501,6,FALSE())</f>
        <v>1370.72</v>
      </c>
      <c r="Q660" s="4" t="n">
        <f aca="false">VLOOKUP(E660,DIM_PECA!$A$2:$F$501,5,FALSE())</f>
        <v>822.3</v>
      </c>
      <c r="R660" s="4" t="n">
        <f aca="false">H660*P660</f>
        <v>1370.72</v>
      </c>
      <c r="S660" s="4" t="n">
        <f aca="false">O660*M660</f>
        <v>3247.14</v>
      </c>
      <c r="T660" s="4" t="n">
        <f aca="false">R660+S660</f>
        <v>4617.86</v>
      </c>
      <c r="U660" s="4" t="n">
        <f aca="false">T660-K660</f>
        <v>2164.76</v>
      </c>
      <c r="V660" s="4" t="n">
        <f aca="false">R660+S660-U660</f>
        <v>2453.1</v>
      </c>
      <c r="W660" s="5" t="str">
        <f aca="false">IF(ROUND(V660-K660,2)=0,"OK","ERRO")</f>
        <v>OK</v>
      </c>
      <c r="X660" s="5" t="str">
        <f aca="false">VLOOKUP(F660,DIM_SERVICO!$A$2:$D$151,3,FALSE())</f>
        <v>Diagnóstico</v>
      </c>
    </row>
    <row r="661" customFormat="false" ht="15" hidden="false" customHeight="false" outlineLevel="0" collapsed="false">
      <c r="A661" s="6" t="n">
        <v>660</v>
      </c>
      <c r="B661" s="6" t="n">
        <v>1189</v>
      </c>
      <c r="C661" s="6" t="n">
        <v>310</v>
      </c>
      <c r="D661" s="6" t="n">
        <v>1067</v>
      </c>
      <c r="E661" s="6" t="n">
        <v>315</v>
      </c>
      <c r="F661" s="6" t="n">
        <v>130</v>
      </c>
      <c r="G661" s="6" t="n">
        <v>394</v>
      </c>
      <c r="H661" s="6" t="n">
        <v>1</v>
      </c>
      <c r="I661" s="7" t="n">
        <v>779.46</v>
      </c>
      <c r="J661" s="7" t="n">
        <v>170.79</v>
      </c>
      <c r="K661" s="7" t="n">
        <v>1505.55</v>
      </c>
      <c r="L661" s="7" t="n">
        <v>653.71</v>
      </c>
      <c r="M661" s="6" t="n">
        <v>9.5</v>
      </c>
      <c r="N661" s="6" t="s">
        <v>24</v>
      </c>
      <c r="O661" s="8" t="n">
        <f aca="false">VLOOKUP(F661,DIM_SERVICO!$A$2:$D$151,4,FALSE())</f>
        <v>170.79</v>
      </c>
      <c r="P661" s="8" t="n">
        <f aca="false">VLOOKUP(E661,DIM_PECA!$A$2:$F$501,6,FALSE())</f>
        <v>1334.76</v>
      </c>
      <c r="Q661" s="8" t="n">
        <f aca="false">VLOOKUP(E661,DIM_PECA!$A$2:$F$501,5,FALSE())</f>
        <v>779.46</v>
      </c>
      <c r="R661" s="8" t="n">
        <f aca="false">H661*P661</f>
        <v>1334.76</v>
      </c>
      <c r="S661" s="8" t="n">
        <f aca="false">O661*M661</f>
        <v>1622.505</v>
      </c>
      <c r="T661" s="8" t="n">
        <f aca="false">R661+S661</f>
        <v>2957.265</v>
      </c>
      <c r="U661" s="8" t="n">
        <f aca="false">T661-K661</f>
        <v>1451.715</v>
      </c>
      <c r="V661" s="8" t="n">
        <f aca="false">R661+S661-U661</f>
        <v>1505.55</v>
      </c>
      <c r="W661" s="9" t="str">
        <f aca="false">IF(ROUND(V661-K661,2)=0,"OK","ERRO")</f>
        <v>OK</v>
      </c>
      <c r="X661" s="9" t="str">
        <f aca="false">VLOOKUP(F661,DIM_SERVICO!$A$2:$D$151,3,FALSE())</f>
        <v>Pintura</v>
      </c>
    </row>
    <row r="662" customFormat="false" ht="15" hidden="false" customHeight="false" outlineLevel="0" collapsed="false">
      <c r="A662" s="2" t="n">
        <v>661</v>
      </c>
      <c r="B662" s="2" t="n">
        <v>632</v>
      </c>
      <c r="C662" s="2" t="n">
        <v>1388</v>
      </c>
      <c r="D662" s="2" t="n">
        <v>680</v>
      </c>
      <c r="E662" s="2" t="n">
        <v>319</v>
      </c>
      <c r="F662" s="2" t="n">
        <v>90</v>
      </c>
      <c r="G662" s="2" t="n">
        <v>611</v>
      </c>
      <c r="H662" s="2" t="n">
        <v>4</v>
      </c>
      <c r="I662" s="3" t="n">
        <v>3100.36</v>
      </c>
      <c r="J662" s="3" t="n">
        <v>702.32</v>
      </c>
      <c r="K662" s="3" t="n">
        <v>6779.37</v>
      </c>
      <c r="L662" s="3" t="n">
        <v>3422.15</v>
      </c>
      <c r="M662" s="2" t="n">
        <v>11.9</v>
      </c>
      <c r="N662" s="2" t="s">
        <v>25</v>
      </c>
      <c r="O662" s="4" t="n">
        <f aca="false">VLOOKUP(F662,DIM_SERVICO!$A$2:$D$151,4,FALSE())</f>
        <v>702.32</v>
      </c>
      <c r="P662" s="4" t="n">
        <f aca="false">VLOOKUP(E662,DIM_PECA!$A$2:$F$501,6,FALSE())</f>
        <v>1553.85</v>
      </c>
      <c r="Q662" s="4" t="n">
        <f aca="false">VLOOKUP(E662,DIM_PECA!$A$2:$F$501,5,FALSE())</f>
        <v>775.09</v>
      </c>
      <c r="R662" s="4" t="n">
        <f aca="false">H662*P662</f>
        <v>6215.4</v>
      </c>
      <c r="S662" s="4" t="n">
        <f aca="false">O662*M662</f>
        <v>8357.608</v>
      </c>
      <c r="T662" s="4" t="n">
        <f aca="false">R662+S662</f>
        <v>14573.008</v>
      </c>
      <c r="U662" s="4" t="n">
        <f aca="false">T662-K662</f>
        <v>7793.638</v>
      </c>
      <c r="V662" s="4" t="n">
        <f aca="false">R662+S662-U662</f>
        <v>6779.37</v>
      </c>
      <c r="W662" s="5" t="str">
        <f aca="false">IF(ROUND(V662-K662,2)=0,"OK","ERRO")</f>
        <v>OK</v>
      </c>
      <c r="X662" s="5" t="str">
        <f aca="false">VLOOKUP(F662,DIM_SERVICO!$A$2:$D$151,3,FALSE())</f>
        <v>Diagnóstico</v>
      </c>
    </row>
    <row r="663" customFormat="false" ht="15" hidden="false" customHeight="false" outlineLevel="0" collapsed="false">
      <c r="A663" s="6" t="n">
        <v>662</v>
      </c>
      <c r="B663" s="6" t="n">
        <v>972</v>
      </c>
      <c r="C663" s="6" t="n">
        <v>125</v>
      </c>
      <c r="D663" s="6" t="n">
        <v>1120</v>
      </c>
      <c r="E663" s="6" t="n">
        <v>199</v>
      </c>
      <c r="F663" s="6" t="n">
        <v>132</v>
      </c>
      <c r="G663" s="6" t="n">
        <v>71</v>
      </c>
      <c r="H663" s="6" t="n">
        <v>2</v>
      </c>
      <c r="I663" s="7" t="n">
        <v>1191.48</v>
      </c>
      <c r="J663" s="7" t="n">
        <v>746.69</v>
      </c>
      <c r="K663" s="7" t="n">
        <v>3090.85</v>
      </c>
      <c r="L663" s="7" t="n">
        <v>1591.68</v>
      </c>
      <c r="M663" s="6" t="n">
        <v>0.9</v>
      </c>
      <c r="N663" s="6" t="s">
        <v>26</v>
      </c>
      <c r="O663" s="8" t="n">
        <f aca="false">VLOOKUP(F663,DIM_SERVICO!$A$2:$D$151,4,FALSE())</f>
        <v>746.69</v>
      </c>
      <c r="P663" s="8" t="n">
        <f aca="false">VLOOKUP(E663,DIM_PECA!$A$2:$F$501,6,FALSE())</f>
        <v>1172.08</v>
      </c>
      <c r="Q663" s="8" t="n">
        <f aca="false">VLOOKUP(E663,DIM_PECA!$A$2:$F$501,5,FALSE())</f>
        <v>595.74</v>
      </c>
      <c r="R663" s="8" t="n">
        <f aca="false">H663*P663</f>
        <v>2344.16</v>
      </c>
      <c r="S663" s="8" t="n">
        <f aca="false">O663*M663</f>
        <v>672.021</v>
      </c>
      <c r="T663" s="8" t="n">
        <f aca="false">R663+S663</f>
        <v>3016.181</v>
      </c>
      <c r="U663" s="8" t="n">
        <f aca="false">T663-K663</f>
        <v>-74.6689999999999</v>
      </c>
      <c r="V663" s="8" t="n">
        <f aca="false">R663+S663-U663</f>
        <v>3090.85</v>
      </c>
      <c r="W663" s="9" t="str">
        <f aca="false">IF(ROUND(V663-K663,2)=0,"OK","ERRO")</f>
        <v>OK</v>
      </c>
      <c r="X663" s="9" t="str">
        <f aca="false">VLOOKUP(F663,DIM_SERVICO!$A$2:$D$151,3,FALSE())</f>
        <v>Motor</v>
      </c>
    </row>
    <row r="664" customFormat="false" ht="15" hidden="false" customHeight="false" outlineLevel="0" collapsed="false">
      <c r="A664" s="2" t="n">
        <v>663</v>
      </c>
      <c r="B664" s="2" t="n">
        <v>1329</v>
      </c>
      <c r="C664" s="2" t="n">
        <v>670</v>
      </c>
      <c r="D664" s="2" t="n">
        <v>483</v>
      </c>
      <c r="E664" s="2" t="n">
        <v>446</v>
      </c>
      <c r="F664" s="2" t="n">
        <v>108</v>
      </c>
      <c r="G664" s="2" t="n">
        <v>1067</v>
      </c>
      <c r="H664" s="2" t="n">
        <v>1</v>
      </c>
      <c r="I664" s="3" t="n">
        <v>1169.09</v>
      </c>
      <c r="J664" s="3" t="n">
        <v>1178.47</v>
      </c>
      <c r="K664" s="3" t="n">
        <v>3117.06</v>
      </c>
      <c r="L664" s="3" t="n">
        <v>1346.04</v>
      </c>
      <c r="M664" s="2" t="n">
        <v>2.8</v>
      </c>
      <c r="N664" s="2" t="s">
        <v>26</v>
      </c>
      <c r="O664" s="4" t="n">
        <f aca="false">VLOOKUP(F664,DIM_SERVICO!$A$2:$D$151,4,FALSE())</f>
        <v>1178.47</v>
      </c>
      <c r="P664" s="4" t="n">
        <f aca="false">VLOOKUP(E664,DIM_PECA!$A$2:$F$501,6,FALSE())</f>
        <v>1938.59</v>
      </c>
      <c r="Q664" s="4" t="n">
        <f aca="false">VLOOKUP(E664,DIM_PECA!$A$2:$F$501,5,FALSE())</f>
        <v>1169.09</v>
      </c>
      <c r="R664" s="4" t="n">
        <f aca="false">H664*P664</f>
        <v>1938.59</v>
      </c>
      <c r="S664" s="4" t="n">
        <f aca="false">O664*M664</f>
        <v>3299.716</v>
      </c>
      <c r="T664" s="4" t="n">
        <f aca="false">R664+S664</f>
        <v>5238.306</v>
      </c>
      <c r="U664" s="4" t="n">
        <f aca="false">T664-K664</f>
        <v>2121.246</v>
      </c>
      <c r="V664" s="4" t="n">
        <f aca="false">R664+S664-U664</f>
        <v>3117.06</v>
      </c>
      <c r="W664" s="5" t="str">
        <f aca="false">IF(ROUND(V664-K664,2)=0,"OK","ERRO")</f>
        <v>OK</v>
      </c>
      <c r="X664" s="5" t="str">
        <f aca="false">VLOOKUP(F664,DIM_SERVICO!$A$2:$D$151,3,FALSE())</f>
        <v>Funilaria</v>
      </c>
    </row>
    <row r="665" customFormat="false" ht="15" hidden="false" customHeight="false" outlineLevel="0" collapsed="false">
      <c r="A665" s="6" t="n">
        <v>664</v>
      </c>
      <c r="B665" s="6" t="n">
        <v>1326</v>
      </c>
      <c r="C665" s="6" t="n">
        <v>562</v>
      </c>
      <c r="D665" s="6" t="n">
        <v>394</v>
      </c>
      <c r="E665" s="6" t="n">
        <v>470</v>
      </c>
      <c r="F665" s="6" t="n">
        <v>62</v>
      </c>
      <c r="G665" s="6" t="n">
        <v>853</v>
      </c>
      <c r="H665" s="6" t="n">
        <v>1</v>
      </c>
      <c r="I665" s="7" t="n">
        <v>161.05</v>
      </c>
      <c r="J665" s="7" t="n">
        <v>709.8</v>
      </c>
      <c r="K665" s="7" t="n">
        <v>987.19</v>
      </c>
      <c r="L665" s="7" t="n">
        <v>507.64</v>
      </c>
      <c r="M665" s="6" t="n">
        <v>2.6</v>
      </c>
      <c r="N665" s="6" t="s">
        <v>24</v>
      </c>
      <c r="O665" s="8" t="n">
        <f aca="false">VLOOKUP(F665,DIM_SERVICO!$A$2:$D$151,4,FALSE())</f>
        <v>709.8</v>
      </c>
      <c r="P665" s="8" t="n">
        <f aca="false">VLOOKUP(E665,DIM_PECA!$A$2:$F$501,6,FALSE())</f>
        <v>277.39</v>
      </c>
      <c r="Q665" s="8" t="n">
        <f aca="false">VLOOKUP(E665,DIM_PECA!$A$2:$F$501,5,FALSE())</f>
        <v>161.05</v>
      </c>
      <c r="R665" s="8" t="n">
        <f aca="false">H665*P665</f>
        <v>277.39</v>
      </c>
      <c r="S665" s="8" t="n">
        <f aca="false">O665*M665</f>
        <v>1845.48</v>
      </c>
      <c r="T665" s="8" t="n">
        <f aca="false">R665+S665</f>
        <v>2122.87</v>
      </c>
      <c r="U665" s="8" t="n">
        <f aca="false">T665-K665</f>
        <v>1135.68</v>
      </c>
      <c r="V665" s="8" t="n">
        <f aca="false">R665+S665-U665</f>
        <v>987.19</v>
      </c>
      <c r="W665" s="9" t="str">
        <f aca="false">IF(ROUND(V665-K665,2)=0,"OK","ERRO")</f>
        <v>OK</v>
      </c>
      <c r="X665" s="9" t="str">
        <f aca="false">VLOOKUP(F665,DIM_SERVICO!$A$2:$D$151,3,FALSE())</f>
        <v>Pintura</v>
      </c>
    </row>
    <row r="666" customFormat="false" ht="15" hidden="false" customHeight="false" outlineLevel="0" collapsed="false">
      <c r="A666" s="2" t="n">
        <v>665</v>
      </c>
      <c r="B666" s="2" t="n">
        <v>859</v>
      </c>
      <c r="C666" s="2" t="n">
        <v>221</v>
      </c>
      <c r="D666" s="2" t="n">
        <v>211</v>
      </c>
      <c r="E666" s="2" t="n">
        <v>466</v>
      </c>
      <c r="F666" s="2" t="n">
        <v>89</v>
      </c>
      <c r="G666" s="2" t="n">
        <v>545</v>
      </c>
      <c r="H666" s="2" t="n">
        <v>3</v>
      </c>
      <c r="I666" s="3" t="n">
        <v>1479.21</v>
      </c>
      <c r="J666" s="3" t="n">
        <v>310.79</v>
      </c>
      <c r="K666" s="3" t="n">
        <v>2967.47</v>
      </c>
      <c r="L666" s="3" t="n">
        <v>1340.24</v>
      </c>
      <c r="M666" s="2" t="n">
        <v>7.9</v>
      </c>
      <c r="N666" s="2" t="s">
        <v>27</v>
      </c>
      <c r="O666" s="4" t="n">
        <f aca="false">VLOOKUP(F666,DIM_SERVICO!$A$2:$D$151,4,FALSE())</f>
        <v>310.79</v>
      </c>
      <c r="P666" s="4" t="n">
        <f aca="false">VLOOKUP(E666,DIM_PECA!$A$2:$F$501,6,FALSE())</f>
        <v>937.62</v>
      </c>
      <c r="Q666" s="4" t="n">
        <f aca="false">VLOOKUP(E666,DIM_PECA!$A$2:$F$501,5,FALSE())</f>
        <v>493.07</v>
      </c>
      <c r="R666" s="4" t="n">
        <f aca="false">H666*P666</f>
        <v>2812.86</v>
      </c>
      <c r="S666" s="4" t="n">
        <f aca="false">O666*M666</f>
        <v>2455.241</v>
      </c>
      <c r="T666" s="4" t="n">
        <f aca="false">R666+S666</f>
        <v>5268.101</v>
      </c>
      <c r="U666" s="4" t="n">
        <f aca="false">T666-K666</f>
        <v>2300.631</v>
      </c>
      <c r="V666" s="4" t="n">
        <f aca="false">R666+S666-U666</f>
        <v>2967.47</v>
      </c>
      <c r="W666" s="5" t="str">
        <f aca="false">IF(ROUND(V666-K666,2)=0,"OK","ERRO")</f>
        <v>OK</v>
      </c>
      <c r="X666" s="5" t="str">
        <f aca="false">VLOOKUP(F666,DIM_SERVICO!$A$2:$D$151,3,FALSE())</f>
        <v>Elétrica</v>
      </c>
    </row>
    <row r="667" customFormat="false" ht="15" hidden="false" customHeight="false" outlineLevel="0" collapsed="false">
      <c r="A667" s="6" t="n">
        <v>666</v>
      </c>
      <c r="B667" s="6" t="n">
        <v>893</v>
      </c>
      <c r="C667" s="6" t="n">
        <v>267</v>
      </c>
      <c r="D667" s="6" t="n">
        <v>1039</v>
      </c>
      <c r="E667" s="6" t="n">
        <v>42</v>
      </c>
      <c r="F667" s="6" t="n">
        <v>122</v>
      </c>
      <c r="G667" s="6" t="n">
        <v>1220</v>
      </c>
      <c r="H667" s="6" t="n">
        <v>1</v>
      </c>
      <c r="I667" s="7" t="n">
        <v>894.85</v>
      </c>
      <c r="J667" s="7" t="n">
        <v>1850.29</v>
      </c>
      <c r="K667" s="7" t="n">
        <v>2921.1</v>
      </c>
      <c r="L667" s="7" t="n">
        <v>1238.42</v>
      </c>
      <c r="M667" s="6" t="n">
        <v>9.7</v>
      </c>
      <c r="N667" s="6" t="s">
        <v>25</v>
      </c>
      <c r="O667" s="8" t="n">
        <f aca="false">VLOOKUP(F667,DIM_SERVICO!$A$2:$D$151,4,FALSE())</f>
        <v>1850.29</v>
      </c>
      <c r="P667" s="8" t="n">
        <f aca="false">VLOOKUP(E667,DIM_PECA!$A$2:$F$501,6,FALSE())</f>
        <v>1224.55</v>
      </c>
      <c r="Q667" s="8" t="n">
        <f aca="false">VLOOKUP(E667,DIM_PECA!$A$2:$F$501,5,FALSE())</f>
        <v>894.85</v>
      </c>
      <c r="R667" s="8" t="n">
        <f aca="false">H667*P667</f>
        <v>1224.55</v>
      </c>
      <c r="S667" s="8" t="n">
        <f aca="false">O667*M667</f>
        <v>17947.813</v>
      </c>
      <c r="T667" s="8" t="n">
        <f aca="false">R667+S667</f>
        <v>19172.363</v>
      </c>
      <c r="U667" s="8" t="n">
        <f aca="false">T667-K667</f>
        <v>16251.263</v>
      </c>
      <c r="V667" s="8" t="n">
        <f aca="false">R667+S667-U667</f>
        <v>2921.1</v>
      </c>
      <c r="W667" s="9" t="str">
        <f aca="false">IF(ROUND(V667-K667,2)=0,"OK","ERRO")</f>
        <v>OK</v>
      </c>
      <c r="X667" s="9" t="str">
        <f aca="false">VLOOKUP(F667,DIM_SERVICO!$A$2:$D$151,3,FALSE())</f>
        <v>Freios</v>
      </c>
    </row>
    <row r="668" customFormat="false" ht="15" hidden="false" customHeight="false" outlineLevel="0" collapsed="false">
      <c r="A668" s="2" t="n">
        <v>667</v>
      </c>
      <c r="B668" s="2" t="n">
        <v>1212</v>
      </c>
      <c r="C668" s="2" t="n">
        <v>97</v>
      </c>
      <c r="D668" s="2" t="n">
        <v>1082</v>
      </c>
      <c r="E668" s="2" t="n">
        <v>443</v>
      </c>
      <c r="F668" s="2" t="n">
        <v>18</v>
      </c>
      <c r="G668" s="2" t="n">
        <v>482</v>
      </c>
      <c r="H668" s="2" t="n">
        <v>4</v>
      </c>
      <c r="I668" s="3" t="n">
        <v>3651.84</v>
      </c>
      <c r="J668" s="3" t="n">
        <v>1667.15</v>
      </c>
      <c r="K668" s="3" t="n">
        <v>6941.31</v>
      </c>
      <c r="L668" s="3" t="n">
        <v>2684.04</v>
      </c>
      <c r="M668" s="2" t="n">
        <v>5.3</v>
      </c>
      <c r="N668" s="2" t="s">
        <v>27</v>
      </c>
      <c r="O668" s="4" t="n">
        <f aca="false">VLOOKUP(F668,DIM_SERVICO!$A$2:$D$151,4,FALSE())</f>
        <v>1667.15</v>
      </c>
      <c r="P668" s="4" t="n">
        <f aca="false">VLOOKUP(E668,DIM_PECA!$A$2:$F$501,6,FALSE())</f>
        <v>1318.54</v>
      </c>
      <c r="Q668" s="4" t="n">
        <f aca="false">VLOOKUP(E668,DIM_PECA!$A$2:$F$501,5,FALSE())</f>
        <v>912.96</v>
      </c>
      <c r="R668" s="4" t="n">
        <f aca="false">H668*P668</f>
        <v>5274.16</v>
      </c>
      <c r="S668" s="4" t="n">
        <f aca="false">O668*M668</f>
        <v>8835.895</v>
      </c>
      <c r="T668" s="4" t="n">
        <f aca="false">R668+S668</f>
        <v>14110.055</v>
      </c>
      <c r="U668" s="4" t="n">
        <f aca="false">T668-K668</f>
        <v>7168.745</v>
      </c>
      <c r="V668" s="4" t="n">
        <f aca="false">R668+S668-U668</f>
        <v>6941.31</v>
      </c>
      <c r="W668" s="5" t="str">
        <f aca="false">IF(ROUND(V668-K668,2)=0,"OK","ERRO")</f>
        <v>OK</v>
      </c>
      <c r="X668" s="5" t="str">
        <f aca="false">VLOOKUP(F668,DIM_SERVICO!$A$2:$D$151,3,FALSE())</f>
        <v>Elétrica</v>
      </c>
    </row>
    <row r="669" customFormat="false" ht="15" hidden="false" customHeight="false" outlineLevel="0" collapsed="false">
      <c r="A669" s="6" t="n">
        <v>668</v>
      </c>
      <c r="B669" s="6" t="n">
        <v>326</v>
      </c>
      <c r="C669" s="6" t="n">
        <v>1433</v>
      </c>
      <c r="D669" s="6" t="n">
        <v>1023</v>
      </c>
      <c r="E669" s="6" t="n">
        <v>66</v>
      </c>
      <c r="F669" s="6" t="n">
        <v>5</v>
      </c>
      <c r="G669" s="6" t="n">
        <v>1723</v>
      </c>
      <c r="H669" s="6" t="n">
        <v>3</v>
      </c>
      <c r="I669" s="7" t="n">
        <v>175.71</v>
      </c>
      <c r="J669" s="7" t="n">
        <v>1161.51</v>
      </c>
      <c r="K669" s="7" t="n">
        <v>1343.46</v>
      </c>
      <c r="L669" s="7" t="n">
        <v>690.92</v>
      </c>
      <c r="M669" s="6" t="n">
        <v>2.8</v>
      </c>
      <c r="N669" s="6" t="s">
        <v>27</v>
      </c>
      <c r="O669" s="8" t="n">
        <f aca="false">VLOOKUP(F669,DIM_SERVICO!$A$2:$D$151,4,FALSE())</f>
        <v>1161.51</v>
      </c>
      <c r="P669" s="8" t="n">
        <f aca="false">VLOOKUP(E669,DIM_PECA!$A$2:$F$501,6,FALSE())</f>
        <v>84.22</v>
      </c>
      <c r="Q669" s="8" t="n">
        <f aca="false">VLOOKUP(E669,DIM_PECA!$A$2:$F$501,5,FALSE())</f>
        <v>58.57</v>
      </c>
      <c r="R669" s="8" t="n">
        <f aca="false">H669*P669</f>
        <v>252.66</v>
      </c>
      <c r="S669" s="8" t="n">
        <f aca="false">O669*M669</f>
        <v>3252.228</v>
      </c>
      <c r="T669" s="8" t="n">
        <f aca="false">R669+S669</f>
        <v>3504.888</v>
      </c>
      <c r="U669" s="8" t="n">
        <f aca="false">T669-K669</f>
        <v>2161.428</v>
      </c>
      <c r="V669" s="8" t="n">
        <f aca="false">R669+S669-U669</f>
        <v>1343.46</v>
      </c>
      <c r="W669" s="9" t="str">
        <f aca="false">IF(ROUND(V669-K669,2)=0,"OK","ERRO")</f>
        <v>OK</v>
      </c>
      <c r="X669" s="9" t="str">
        <f aca="false">VLOOKUP(F669,DIM_SERVICO!$A$2:$D$151,3,FALSE())</f>
        <v>Funilaria</v>
      </c>
    </row>
    <row r="670" customFormat="false" ht="15" hidden="false" customHeight="false" outlineLevel="0" collapsed="false">
      <c r="A670" s="2" t="n">
        <v>669</v>
      </c>
      <c r="B670" s="2" t="n">
        <v>520</v>
      </c>
      <c r="C670" s="2" t="n">
        <v>815</v>
      </c>
      <c r="D670" s="2" t="n">
        <v>51</v>
      </c>
      <c r="E670" s="2" t="n">
        <v>462</v>
      </c>
      <c r="F670" s="2" t="n">
        <v>146</v>
      </c>
      <c r="G670" s="2" t="n">
        <v>56</v>
      </c>
      <c r="H670" s="2" t="n">
        <v>1</v>
      </c>
      <c r="I670" s="3" t="n">
        <v>910.08</v>
      </c>
      <c r="J670" s="3" t="n">
        <v>482.6</v>
      </c>
      <c r="K670" s="3" t="n">
        <v>2281.64</v>
      </c>
      <c r="L670" s="3" t="n">
        <v>1123.07</v>
      </c>
      <c r="M670" s="2" t="n">
        <v>1.7</v>
      </c>
      <c r="N670" s="2" t="s">
        <v>24</v>
      </c>
      <c r="O670" s="4" t="n">
        <f aca="false">VLOOKUP(F670,DIM_SERVICO!$A$2:$D$151,4,FALSE())</f>
        <v>482.6</v>
      </c>
      <c r="P670" s="4" t="n">
        <f aca="false">VLOOKUP(E670,DIM_PECA!$A$2:$F$501,6,FALSE())</f>
        <v>1845.6</v>
      </c>
      <c r="Q670" s="4" t="n">
        <f aca="false">VLOOKUP(E670,DIM_PECA!$A$2:$F$501,5,FALSE())</f>
        <v>910.08</v>
      </c>
      <c r="R670" s="4" t="n">
        <f aca="false">H670*P670</f>
        <v>1845.6</v>
      </c>
      <c r="S670" s="4" t="n">
        <f aca="false">O670*M670</f>
        <v>820.42</v>
      </c>
      <c r="T670" s="4" t="n">
        <f aca="false">R670+S670</f>
        <v>2666.02</v>
      </c>
      <c r="U670" s="4" t="n">
        <f aca="false">T670-K670</f>
        <v>384.38</v>
      </c>
      <c r="V670" s="4" t="n">
        <f aca="false">R670+S670-U670</f>
        <v>2281.64</v>
      </c>
      <c r="W670" s="5" t="str">
        <f aca="false">IF(ROUND(V670-K670,2)=0,"OK","ERRO")</f>
        <v>OK</v>
      </c>
      <c r="X670" s="5" t="str">
        <f aca="false">VLOOKUP(F670,DIM_SERVICO!$A$2:$D$151,3,FALSE())</f>
        <v>Funilaria</v>
      </c>
    </row>
    <row r="671" customFormat="false" ht="15" hidden="false" customHeight="false" outlineLevel="0" collapsed="false">
      <c r="A671" s="6" t="n">
        <v>670</v>
      </c>
      <c r="B671" s="6" t="n">
        <v>963</v>
      </c>
      <c r="C671" s="6" t="n">
        <v>169</v>
      </c>
      <c r="D671" s="6" t="n">
        <v>614</v>
      </c>
      <c r="E671" s="6" t="n">
        <v>458</v>
      </c>
      <c r="F671" s="6" t="n">
        <v>56</v>
      </c>
      <c r="G671" s="6" t="n">
        <v>1520</v>
      </c>
      <c r="H671" s="6" t="n">
        <v>4</v>
      </c>
      <c r="I671" s="7" t="n">
        <v>2870.88</v>
      </c>
      <c r="J671" s="7" t="n">
        <v>251.62</v>
      </c>
      <c r="K671" s="7" t="n">
        <v>6100.02</v>
      </c>
      <c r="L671" s="7" t="n">
        <v>3109.67</v>
      </c>
      <c r="M671" s="6" t="n">
        <v>2.9</v>
      </c>
      <c r="N671" s="6" t="s">
        <v>24</v>
      </c>
      <c r="O671" s="8" t="n">
        <f aca="false">VLOOKUP(F671,DIM_SERVICO!$A$2:$D$151,4,FALSE())</f>
        <v>251.62</v>
      </c>
      <c r="P671" s="8" t="n">
        <f aca="false">VLOOKUP(E671,DIM_PECA!$A$2:$F$501,6,FALSE())</f>
        <v>1462.1</v>
      </c>
      <c r="Q671" s="8" t="n">
        <f aca="false">VLOOKUP(E671,DIM_PECA!$A$2:$F$501,5,FALSE())</f>
        <v>717.72</v>
      </c>
      <c r="R671" s="8" t="n">
        <f aca="false">H671*P671</f>
        <v>5848.4</v>
      </c>
      <c r="S671" s="8" t="n">
        <f aca="false">O671*M671</f>
        <v>729.698</v>
      </c>
      <c r="T671" s="8" t="n">
        <f aca="false">R671+S671</f>
        <v>6578.098</v>
      </c>
      <c r="U671" s="8" t="n">
        <f aca="false">T671-K671</f>
        <v>478.078</v>
      </c>
      <c r="V671" s="8" t="n">
        <f aca="false">R671+S671-U671</f>
        <v>6100.02</v>
      </c>
      <c r="W671" s="9" t="str">
        <f aca="false">IF(ROUND(V671-K671,2)=0,"OK","ERRO")</f>
        <v>OK</v>
      </c>
      <c r="X671" s="9" t="str">
        <f aca="false">VLOOKUP(F671,DIM_SERVICO!$A$2:$D$151,3,FALSE())</f>
        <v>Revisão</v>
      </c>
    </row>
    <row r="672" customFormat="false" ht="15" hidden="false" customHeight="false" outlineLevel="0" collapsed="false">
      <c r="A672" s="2" t="n">
        <v>671</v>
      </c>
      <c r="B672" s="2" t="n">
        <v>1433</v>
      </c>
      <c r="C672" s="2" t="n">
        <v>614</v>
      </c>
      <c r="D672" s="2" t="n">
        <v>673</v>
      </c>
      <c r="E672" s="2" t="n">
        <v>324</v>
      </c>
      <c r="F672" s="2" t="n">
        <v>51</v>
      </c>
      <c r="G672" s="2" t="n">
        <v>1342</v>
      </c>
      <c r="H672" s="2" t="n">
        <v>3</v>
      </c>
      <c r="I672" s="3" t="n">
        <v>1538.37</v>
      </c>
      <c r="J672" s="3" t="n">
        <v>876</v>
      </c>
      <c r="K672" s="3" t="n">
        <v>3162.84</v>
      </c>
      <c r="L672" s="3" t="n">
        <v>1231.51</v>
      </c>
      <c r="M672" s="2" t="n">
        <v>1.2</v>
      </c>
      <c r="N672" s="2" t="s">
        <v>24</v>
      </c>
      <c r="O672" s="4" t="n">
        <f aca="false">VLOOKUP(F672,DIM_SERVICO!$A$2:$D$151,4,FALSE())</f>
        <v>876</v>
      </c>
      <c r="P672" s="4" t="n">
        <f aca="false">VLOOKUP(E672,DIM_PECA!$A$2:$F$501,6,FALSE())</f>
        <v>817.77</v>
      </c>
      <c r="Q672" s="4" t="n">
        <f aca="false">VLOOKUP(E672,DIM_PECA!$A$2:$F$501,5,FALSE())</f>
        <v>512.79</v>
      </c>
      <c r="R672" s="4" t="n">
        <f aca="false">H672*P672</f>
        <v>2453.31</v>
      </c>
      <c r="S672" s="4" t="n">
        <f aca="false">O672*M672</f>
        <v>1051.2</v>
      </c>
      <c r="T672" s="4" t="n">
        <f aca="false">R672+S672</f>
        <v>3504.51</v>
      </c>
      <c r="U672" s="4" t="n">
        <f aca="false">T672-K672</f>
        <v>341.67</v>
      </c>
      <c r="V672" s="4" t="n">
        <f aca="false">R672+S672-U672</f>
        <v>3162.84</v>
      </c>
      <c r="W672" s="5" t="str">
        <f aca="false">IF(ROUND(V672-K672,2)=0,"OK","ERRO")</f>
        <v>OK</v>
      </c>
      <c r="X672" s="5" t="str">
        <f aca="false">VLOOKUP(F672,DIM_SERVICO!$A$2:$D$151,3,FALSE())</f>
        <v>Revisão</v>
      </c>
    </row>
    <row r="673" customFormat="false" ht="15" hidden="false" customHeight="false" outlineLevel="0" collapsed="false">
      <c r="A673" s="6" t="n">
        <v>672</v>
      </c>
      <c r="B673" s="6" t="n">
        <v>857</v>
      </c>
      <c r="C673" s="6" t="n">
        <v>1195</v>
      </c>
      <c r="D673" s="6" t="n">
        <v>759</v>
      </c>
      <c r="E673" s="6" t="n">
        <v>18</v>
      </c>
      <c r="F673" s="6" t="n">
        <v>30</v>
      </c>
      <c r="G673" s="6" t="n">
        <v>762</v>
      </c>
      <c r="H673" s="6" t="n">
        <v>2</v>
      </c>
      <c r="I673" s="7" t="n">
        <v>1704.68</v>
      </c>
      <c r="J673" s="7" t="n">
        <v>986.98</v>
      </c>
      <c r="K673" s="7" t="n">
        <v>3291.72</v>
      </c>
      <c r="L673" s="7" t="n">
        <v>1201.83</v>
      </c>
      <c r="M673" s="6" t="n">
        <v>11.8</v>
      </c>
      <c r="N673" s="6" t="s">
        <v>27</v>
      </c>
      <c r="O673" s="8" t="n">
        <f aca="false">VLOOKUP(F673,DIM_SERVICO!$A$2:$D$151,4,FALSE())</f>
        <v>986.98</v>
      </c>
      <c r="P673" s="8" t="n">
        <f aca="false">VLOOKUP(E673,DIM_PECA!$A$2:$F$501,6,FALSE())</f>
        <v>1152.37</v>
      </c>
      <c r="Q673" s="8" t="n">
        <f aca="false">VLOOKUP(E673,DIM_PECA!$A$2:$F$501,5,FALSE())</f>
        <v>852.34</v>
      </c>
      <c r="R673" s="8" t="n">
        <f aca="false">H673*P673</f>
        <v>2304.74</v>
      </c>
      <c r="S673" s="8" t="n">
        <f aca="false">O673*M673</f>
        <v>11646.364</v>
      </c>
      <c r="T673" s="8" t="n">
        <f aca="false">R673+S673</f>
        <v>13951.104</v>
      </c>
      <c r="U673" s="8" t="n">
        <f aca="false">T673-K673</f>
        <v>10659.384</v>
      </c>
      <c r="V673" s="8" t="n">
        <f aca="false">R673+S673-U673</f>
        <v>3291.72</v>
      </c>
      <c r="W673" s="9" t="str">
        <f aca="false">IF(ROUND(V673-K673,2)=0,"OK","ERRO")</f>
        <v>OK</v>
      </c>
      <c r="X673" s="9" t="str">
        <f aca="false">VLOOKUP(F673,DIM_SERVICO!$A$2:$D$151,3,FALSE())</f>
        <v>Freios</v>
      </c>
    </row>
    <row r="674" customFormat="false" ht="15" hidden="false" customHeight="false" outlineLevel="0" collapsed="false">
      <c r="A674" s="2" t="n">
        <v>673</v>
      </c>
      <c r="B674" s="2" t="n">
        <v>667</v>
      </c>
      <c r="C674" s="2" t="n">
        <v>60</v>
      </c>
      <c r="D674" s="2" t="n">
        <v>663</v>
      </c>
      <c r="E674" s="2" t="n">
        <v>113</v>
      </c>
      <c r="F674" s="2" t="n">
        <v>46</v>
      </c>
      <c r="G674" s="2" t="n">
        <v>1627</v>
      </c>
      <c r="H674" s="2" t="n">
        <v>3</v>
      </c>
      <c r="I674" s="3" t="n">
        <v>2521.17</v>
      </c>
      <c r="J674" s="3" t="n">
        <v>1282.78</v>
      </c>
      <c r="K674" s="3" t="n">
        <v>5156.86</v>
      </c>
      <c r="L674" s="3" t="n">
        <v>1995.58</v>
      </c>
      <c r="M674" s="2" t="n">
        <v>8.3</v>
      </c>
      <c r="N674" s="2" t="s">
        <v>24</v>
      </c>
      <c r="O674" s="4" t="n">
        <f aca="false">VLOOKUP(F674,DIM_SERVICO!$A$2:$D$151,4,FALSE())</f>
        <v>1282.78</v>
      </c>
      <c r="P674" s="4" t="n">
        <f aca="false">VLOOKUP(E674,DIM_PECA!$A$2:$F$501,6,FALSE())</f>
        <v>1326.44</v>
      </c>
      <c r="Q674" s="4" t="n">
        <f aca="false">VLOOKUP(E674,DIM_PECA!$A$2:$F$501,5,FALSE())</f>
        <v>840.39</v>
      </c>
      <c r="R674" s="4" t="n">
        <f aca="false">H674*P674</f>
        <v>3979.32</v>
      </c>
      <c r="S674" s="4" t="n">
        <f aca="false">O674*M674</f>
        <v>10647.074</v>
      </c>
      <c r="T674" s="4" t="n">
        <f aca="false">R674+S674</f>
        <v>14626.394</v>
      </c>
      <c r="U674" s="4" t="n">
        <f aca="false">T674-K674</f>
        <v>9469.534</v>
      </c>
      <c r="V674" s="4" t="n">
        <f aca="false">R674+S674-U674</f>
        <v>5156.86</v>
      </c>
      <c r="W674" s="5" t="str">
        <f aca="false">IF(ROUND(V674-K674,2)=0,"OK","ERRO")</f>
        <v>OK</v>
      </c>
      <c r="X674" s="5" t="str">
        <f aca="false">VLOOKUP(F674,DIM_SERVICO!$A$2:$D$151,3,FALSE())</f>
        <v>Revisão</v>
      </c>
    </row>
    <row r="675" customFormat="false" ht="15" hidden="false" customHeight="false" outlineLevel="0" collapsed="false">
      <c r="A675" s="6" t="n">
        <v>674</v>
      </c>
      <c r="B675" s="6" t="n">
        <v>1233</v>
      </c>
      <c r="C675" s="6" t="n">
        <v>1149</v>
      </c>
      <c r="D675" s="6" t="n">
        <v>983</v>
      </c>
      <c r="E675" s="6" t="n">
        <v>380</v>
      </c>
      <c r="F675" s="6" t="n">
        <v>144</v>
      </c>
      <c r="G675" s="6" t="n">
        <v>1325</v>
      </c>
      <c r="H675" s="6" t="n">
        <v>1</v>
      </c>
      <c r="I675" s="7" t="n">
        <v>50.51</v>
      </c>
      <c r="J675" s="7" t="n">
        <v>2149.33</v>
      </c>
      <c r="K675" s="7" t="n">
        <v>2018.27</v>
      </c>
      <c r="L675" s="7" t="n">
        <v>871.83</v>
      </c>
      <c r="M675" s="6" t="n">
        <v>6.2</v>
      </c>
      <c r="N675" s="6" t="s">
        <v>25</v>
      </c>
      <c r="O675" s="8" t="n">
        <f aca="false">VLOOKUP(F675,DIM_SERVICO!$A$2:$D$151,4,FALSE())</f>
        <v>2149.33</v>
      </c>
      <c r="P675" s="8" t="n">
        <f aca="false">VLOOKUP(E675,DIM_PECA!$A$2:$F$501,6,FALSE())</f>
        <v>93.19</v>
      </c>
      <c r="Q675" s="8" t="n">
        <f aca="false">VLOOKUP(E675,DIM_PECA!$A$2:$F$501,5,FALSE())</f>
        <v>50.51</v>
      </c>
      <c r="R675" s="8" t="n">
        <f aca="false">H675*P675</f>
        <v>93.19</v>
      </c>
      <c r="S675" s="8" t="n">
        <f aca="false">O675*M675</f>
        <v>13325.846</v>
      </c>
      <c r="T675" s="8" t="n">
        <f aca="false">R675+S675</f>
        <v>13419.036</v>
      </c>
      <c r="U675" s="8" t="n">
        <f aca="false">T675-K675</f>
        <v>11400.766</v>
      </c>
      <c r="V675" s="8" t="n">
        <f aca="false">R675+S675-U675</f>
        <v>2018.27</v>
      </c>
      <c r="W675" s="9" t="str">
        <f aca="false">IF(ROUND(V675-K675,2)=0,"OK","ERRO")</f>
        <v>OK</v>
      </c>
      <c r="X675" s="9" t="str">
        <f aca="false">VLOOKUP(F675,DIM_SERVICO!$A$2:$D$151,3,FALSE())</f>
        <v>Pintura</v>
      </c>
    </row>
    <row r="676" customFormat="false" ht="15" hidden="false" customHeight="false" outlineLevel="0" collapsed="false">
      <c r="A676" s="2" t="n">
        <v>675</v>
      </c>
      <c r="B676" s="2" t="n">
        <v>1461</v>
      </c>
      <c r="C676" s="2" t="n">
        <v>543</v>
      </c>
      <c r="D676" s="2" t="n">
        <v>755</v>
      </c>
      <c r="E676" s="2" t="n">
        <v>142</v>
      </c>
      <c r="F676" s="2" t="n">
        <v>142</v>
      </c>
      <c r="G676" s="2" t="n">
        <v>1810</v>
      </c>
      <c r="H676" s="2" t="n">
        <v>3</v>
      </c>
      <c r="I676" s="3" t="n">
        <v>442.92</v>
      </c>
      <c r="J676" s="3" t="n">
        <v>1867.45</v>
      </c>
      <c r="K676" s="3" t="n">
        <v>2709.91</v>
      </c>
      <c r="L676" s="3" t="n">
        <v>1480.32</v>
      </c>
      <c r="M676" s="2" t="n">
        <v>8.4</v>
      </c>
      <c r="N676" s="2" t="s">
        <v>24</v>
      </c>
      <c r="O676" s="4" t="n">
        <f aca="false">VLOOKUP(F676,DIM_SERVICO!$A$2:$D$151,4,FALSE())</f>
        <v>1867.45</v>
      </c>
      <c r="P676" s="4" t="n">
        <f aca="false">VLOOKUP(E676,DIM_PECA!$A$2:$F$501,6,FALSE())</f>
        <v>280.82</v>
      </c>
      <c r="Q676" s="4" t="n">
        <f aca="false">VLOOKUP(E676,DIM_PECA!$A$2:$F$501,5,FALSE())</f>
        <v>147.64</v>
      </c>
      <c r="R676" s="4" t="n">
        <f aca="false">H676*P676</f>
        <v>842.46</v>
      </c>
      <c r="S676" s="4" t="n">
        <f aca="false">O676*M676</f>
        <v>15686.58</v>
      </c>
      <c r="T676" s="4" t="n">
        <f aca="false">R676+S676</f>
        <v>16529.04</v>
      </c>
      <c r="U676" s="4" t="n">
        <f aca="false">T676-K676</f>
        <v>13819.13</v>
      </c>
      <c r="V676" s="4" t="n">
        <f aca="false">R676+S676-U676</f>
        <v>2709.91</v>
      </c>
      <c r="W676" s="5" t="str">
        <f aca="false">IF(ROUND(V676-K676,2)=0,"OK","ERRO")</f>
        <v>OK</v>
      </c>
      <c r="X676" s="5" t="str">
        <f aca="false">VLOOKUP(F676,DIM_SERVICO!$A$2:$D$151,3,FALSE())</f>
        <v>Elétrica</v>
      </c>
    </row>
    <row r="677" customFormat="false" ht="15" hidden="false" customHeight="false" outlineLevel="0" collapsed="false">
      <c r="A677" s="6" t="n">
        <v>676</v>
      </c>
      <c r="B677" s="6" t="n">
        <v>775</v>
      </c>
      <c r="C677" s="6" t="n">
        <v>1168</v>
      </c>
      <c r="D677" s="6" t="n">
        <v>391</v>
      </c>
      <c r="E677" s="6" t="n">
        <v>84</v>
      </c>
      <c r="F677" s="6" t="n">
        <v>73</v>
      </c>
      <c r="G677" s="6" t="n">
        <v>65</v>
      </c>
      <c r="H677" s="6" t="n">
        <v>3</v>
      </c>
      <c r="I677" s="7" t="n">
        <v>1862.37</v>
      </c>
      <c r="J677" s="7" t="n">
        <v>2131.99</v>
      </c>
      <c r="K677" s="7" t="n">
        <v>4751.93</v>
      </c>
      <c r="L677" s="7" t="n">
        <v>1871.06</v>
      </c>
      <c r="M677" s="6" t="n">
        <v>9.2</v>
      </c>
      <c r="N677" s="6" t="s">
        <v>24</v>
      </c>
      <c r="O677" s="8" t="n">
        <f aca="false">VLOOKUP(F677,DIM_SERVICO!$A$2:$D$151,4,FALSE())</f>
        <v>2131.99</v>
      </c>
      <c r="P677" s="8" t="n">
        <f aca="false">VLOOKUP(E677,DIM_PECA!$A$2:$F$501,6,FALSE())</f>
        <v>1049.31</v>
      </c>
      <c r="Q677" s="8" t="n">
        <f aca="false">VLOOKUP(E677,DIM_PECA!$A$2:$F$501,5,FALSE())</f>
        <v>620.79</v>
      </c>
      <c r="R677" s="8" t="n">
        <f aca="false">H677*P677</f>
        <v>3147.93</v>
      </c>
      <c r="S677" s="8" t="n">
        <f aca="false">O677*M677</f>
        <v>19614.308</v>
      </c>
      <c r="T677" s="8" t="n">
        <f aca="false">R677+S677</f>
        <v>22762.238</v>
      </c>
      <c r="U677" s="8" t="n">
        <f aca="false">T677-K677</f>
        <v>18010.308</v>
      </c>
      <c r="V677" s="8" t="n">
        <f aca="false">R677+S677-U677</f>
        <v>4751.93</v>
      </c>
      <c r="W677" s="9" t="str">
        <f aca="false">IF(ROUND(V677-K677,2)=0,"OK","ERRO")</f>
        <v>OK</v>
      </c>
      <c r="X677" s="9" t="str">
        <f aca="false">VLOOKUP(F677,DIM_SERVICO!$A$2:$D$151,3,FALSE())</f>
        <v>Suspensão</v>
      </c>
    </row>
    <row r="678" customFormat="false" ht="15" hidden="false" customHeight="false" outlineLevel="0" collapsed="false">
      <c r="A678" s="2" t="n">
        <v>677</v>
      </c>
      <c r="B678" s="2" t="n">
        <v>663</v>
      </c>
      <c r="C678" s="2" t="n">
        <v>1377</v>
      </c>
      <c r="D678" s="2" t="n">
        <v>524</v>
      </c>
      <c r="E678" s="2" t="n">
        <v>52</v>
      </c>
      <c r="F678" s="2" t="n">
        <v>21</v>
      </c>
      <c r="G678" s="2" t="n">
        <v>1312</v>
      </c>
      <c r="H678" s="2" t="n">
        <v>2</v>
      </c>
      <c r="I678" s="3" t="n">
        <v>2072.62</v>
      </c>
      <c r="J678" s="3" t="n">
        <v>126.78</v>
      </c>
      <c r="K678" s="3" t="n">
        <v>3098.58</v>
      </c>
      <c r="L678" s="3" t="n">
        <v>976.54</v>
      </c>
      <c r="M678" s="2" t="n">
        <v>7.7</v>
      </c>
      <c r="N678" s="2" t="s">
        <v>24</v>
      </c>
      <c r="O678" s="4" t="n">
        <f aca="false">VLOOKUP(F678,DIM_SERVICO!$A$2:$D$151,4,FALSE())</f>
        <v>126.78</v>
      </c>
      <c r="P678" s="4" t="n">
        <f aca="false">VLOOKUP(E678,DIM_PECA!$A$2:$F$501,6,FALSE())</f>
        <v>1485.9</v>
      </c>
      <c r="Q678" s="4" t="n">
        <f aca="false">VLOOKUP(E678,DIM_PECA!$A$2:$F$501,5,FALSE())</f>
        <v>1036.31</v>
      </c>
      <c r="R678" s="4" t="n">
        <f aca="false">H678*P678</f>
        <v>2971.8</v>
      </c>
      <c r="S678" s="4" t="n">
        <f aca="false">O678*M678</f>
        <v>976.206</v>
      </c>
      <c r="T678" s="4" t="n">
        <f aca="false">R678+S678</f>
        <v>3948.006</v>
      </c>
      <c r="U678" s="4" t="n">
        <f aca="false">T678-K678</f>
        <v>849.426</v>
      </c>
      <c r="V678" s="4" t="n">
        <f aca="false">R678+S678-U678</f>
        <v>3098.58</v>
      </c>
      <c r="W678" s="5" t="str">
        <f aca="false">IF(ROUND(V678-K678,2)=0,"OK","ERRO")</f>
        <v>OK</v>
      </c>
      <c r="X678" s="5" t="str">
        <f aca="false">VLOOKUP(F678,DIM_SERVICO!$A$2:$D$151,3,FALSE())</f>
        <v>Suspensão</v>
      </c>
    </row>
    <row r="679" customFormat="false" ht="15" hidden="false" customHeight="false" outlineLevel="0" collapsed="false">
      <c r="A679" s="6" t="n">
        <v>678</v>
      </c>
      <c r="B679" s="6" t="n">
        <v>930</v>
      </c>
      <c r="C679" s="6" t="n">
        <v>481</v>
      </c>
      <c r="D679" s="6" t="n">
        <v>922</v>
      </c>
      <c r="E679" s="6" t="n">
        <v>330</v>
      </c>
      <c r="F679" s="6" t="n">
        <v>149</v>
      </c>
      <c r="G679" s="6" t="n">
        <v>151</v>
      </c>
      <c r="H679" s="6" t="n">
        <v>4</v>
      </c>
      <c r="I679" s="7" t="n">
        <v>3021.96</v>
      </c>
      <c r="J679" s="7" t="n">
        <v>142.63</v>
      </c>
      <c r="K679" s="7" t="n">
        <v>4128.15</v>
      </c>
      <c r="L679" s="7" t="n">
        <v>1034.33</v>
      </c>
      <c r="M679" s="6" t="n">
        <v>5.6</v>
      </c>
      <c r="N679" s="6" t="s">
        <v>24</v>
      </c>
      <c r="O679" s="8" t="n">
        <f aca="false">VLOOKUP(F679,DIM_SERVICO!$A$2:$D$151,4,FALSE())</f>
        <v>142.63</v>
      </c>
      <c r="P679" s="8" t="n">
        <f aca="false">VLOOKUP(E679,DIM_PECA!$A$2:$F$501,6,FALSE())</f>
        <v>1111.05</v>
      </c>
      <c r="Q679" s="8" t="n">
        <f aca="false">VLOOKUP(E679,DIM_PECA!$A$2:$F$501,5,FALSE())</f>
        <v>755.49</v>
      </c>
      <c r="R679" s="8" t="n">
        <f aca="false">H679*P679</f>
        <v>4444.2</v>
      </c>
      <c r="S679" s="8" t="n">
        <f aca="false">O679*M679</f>
        <v>798.728</v>
      </c>
      <c r="T679" s="8" t="n">
        <f aca="false">R679+S679</f>
        <v>5242.928</v>
      </c>
      <c r="U679" s="8" t="n">
        <f aca="false">T679-K679</f>
        <v>1114.778</v>
      </c>
      <c r="V679" s="8" t="n">
        <f aca="false">R679+S679-U679</f>
        <v>4128.15</v>
      </c>
      <c r="W679" s="9" t="str">
        <f aca="false">IF(ROUND(V679-K679,2)=0,"OK","ERRO")</f>
        <v>OK</v>
      </c>
      <c r="X679" s="9" t="str">
        <f aca="false">VLOOKUP(F679,DIM_SERVICO!$A$2:$D$151,3,FALSE())</f>
        <v>Motor</v>
      </c>
    </row>
    <row r="680" customFormat="false" ht="15" hidden="false" customHeight="false" outlineLevel="0" collapsed="false">
      <c r="A680" s="2" t="n">
        <v>679</v>
      </c>
      <c r="B680" s="2" t="n">
        <v>317</v>
      </c>
      <c r="C680" s="2" t="n">
        <v>55</v>
      </c>
      <c r="D680" s="2" t="n">
        <v>1114</v>
      </c>
      <c r="E680" s="2" t="n">
        <v>445</v>
      </c>
      <c r="F680" s="2" t="n">
        <v>93</v>
      </c>
      <c r="G680" s="2" t="n">
        <v>318</v>
      </c>
      <c r="H680" s="2" t="n">
        <v>1</v>
      </c>
      <c r="I680" s="3" t="n">
        <v>575.8</v>
      </c>
      <c r="J680" s="3" t="n">
        <v>2049.66</v>
      </c>
      <c r="K680" s="3" t="n">
        <v>2802.07</v>
      </c>
      <c r="L680" s="3" t="n">
        <v>1134.26</v>
      </c>
      <c r="M680" s="2" t="n">
        <v>8.3</v>
      </c>
      <c r="N680" s="2" t="s">
        <v>24</v>
      </c>
      <c r="O680" s="4" t="n">
        <f aca="false">VLOOKUP(F680,DIM_SERVICO!$A$2:$D$151,4,FALSE())</f>
        <v>2049.66</v>
      </c>
      <c r="P680" s="4" t="n">
        <f aca="false">VLOOKUP(E680,DIM_PECA!$A$2:$F$501,6,FALSE())</f>
        <v>899.89</v>
      </c>
      <c r="Q680" s="4" t="n">
        <f aca="false">VLOOKUP(E680,DIM_PECA!$A$2:$F$501,5,FALSE())</f>
        <v>575.8</v>
      </c>
      <c r="R680" s="4" t="n">
        <f aca="false">H680*P680</f>
        <v>899.89</v>
      </c>
      <c r="S680" s="4" t="n">
        <f aca="false">O680*M680</f>
        <v>17012.178</v>
      </c>
      <c r="T680" s="4" t="n">
        <f aca="false">R680+S680</f>
        <v>17912.068</v>
      </c>
      <c r="U680" s="4" t="n">
        <f aca="false">T680-K680</f>
        <v>15109.998</v>
      </c>
      <c r="V680" s="4" t="n">
        <f aca="false">R680+S680-U680</f>
        <v>2802.07</v>
      </c>
      <c r="W680" s="5" t="str">
        <f aca="false">IF(ROUND(V680-K680,2)=0,"OK","ERRO")</f>
        <v>OK</v>
      </c>
      <c r="X680" s="5" t="str">
        <f aca="false">VLOOKUP(F680,DIM_SERVICO!$A$2:$D$151,3,FALSE())</f>
        <v>Revisão</v>
      </c>
    </row>
    <row r="681" customFormat="false" ht="15" hidden="false" customHeight="false" outlineLevel="0" collapsed="false">
      <c r="A681" s="6" t="n">
        <v>680</v>
      </c>
      <c r="B681" s="6" t="n">
        <v>568</v>
      </c>
      <c r="C681" s="6" t="n">
        <v>776</v>
      </c>
      <c r="D681" s="6" t="n">
        <v>958</v>
      </c>
      <c r="E681" s="6" t="n">
        <v>449</v>
      </c>
      <c r="F681" s="6" t="n">
        <v>11</v>
      </c>
      <c r="G681" s="6" t="n">
        <v>535</v>
      </c>
      <c r="H681" s="6" t="n">
        <v>2</v>
      </c>
      <c r="I681" s="7" t="n">
        <v>1660.7</v>
      </c>
      <c r="J681" s="7" t="n">
        <v>2164.78</v>
      </c>
      <c r="K681" s="7" t="n">
        <v>4996.51</v>
      </c>
      <c r="L681" s="7" t="n">
        <v>2465.38</v>
      </c>
      <c r="M681" s="6" t="n">
        <v>0.7</v>
      </c>
      <c r="N681" s="6" t="s">
        <v>25</v>
      </c>
      <c r="O681" s="8" t="n">
        <f aca="false">VLOOKUP(F681,DIM_SERVICO!$A$2:$D$151,4,FALSE())</f>
        <v>2164.78</v>
      </c>
      <c r="P681" s="8" t="n">
        <f aca="false">VLOOKUP(E681,DIM_PECA!$A$2:$F$501,6,FALSE())</f>
        <v>1547.35</v>
      </c>
      <c r="Q681" s="8" t="n">
        <f aca="false">VLOOKUP(E681,DIM_PECA!$A$2:$F$501,5,FALSE())</f>
        <v>830.35</v>
      </c>
      <c r="R681" s="8" t="n">
        <f aca="false">H681*P681</f>
        <v>3094.7</v>
      </c>
      <c r="S681" s="8" t="n">
        <f aca="false">O681*M681</f>
        <v>1515.346</v>
      </c>
      <c r="T681" s="8" t="n">
        <f aca="false">R681+S681</f>
        <v>4610.046</v>
      </c>
      <c r="U681" s="8" t="n">
        <f aca="false">T681-K681</f>
        <v>-386.464</v>
      </c>
      <c r="V681" s="8" t="n">
        <f aca="false">R681+S681-U681</f>
        <v>4996.51</v>
      </c>
      <c r="W681" s="9" t="str">
        <f aca="false">IF(ROUND(V681-K681,2)=0,"OK","ERRO")</f>
        <v>OK</v>
      </c>
      <c r="X681" s="9" t="str">
        <f aca="false">VLOOKUP(F681,DIM_SERVICO!$A$2:$D$151,3,FALSE())</f>
        <v>Freios</v>
      </c>
    </row>
    <row r="682" customFormat="false" ht="15" hidden="false" customHeight="false" outlineLevel="0" collapsed="false">
      <c r="A682" s="2" t="n">
        <v>681</v>
      </c>
      <c r="B682" s="2" t="n">
        <v>795</v>
      </c>
      <c r="C682" s="2" t="n">
        <v>1055</v>
      </c>
      <c r="D682" s="2" t="n">
        <v>1179</v>
      </c>
      <c r="E682" s="2" t="n">
        <v>272</v>
      </c>
      <c r="F682" s="2" t="n">
        <v>37</v>
      </c>
      <c r="G682" s="2" t="n">
        <v>669</v>
      </c>
      <c r="H682" s="2" t="n">
        <v>3</v>
      </c>
      <c r="I682" s="3" t="n">
        <v>3233.97</v>
      </c>
      <c r="J682" s="3" t="n">
        <v>388.25</v>
      </c>
      <c r="K682" s="3" t="n">
        <v>5291.08</v>
      </c>
      <c r="L682" s="3" t="n">
        <v>1881.32</v>
      </c>
      <c r="M682" s="2" t="n">
        <v>7.5</v>
      </c>
      <c r="N682" s="2" t="s">
        <v>24</v>
      </c>
      <c r="O682" s="4" t="n">
        <f aca="false">VLOOKUP(F682,DIM_SERVICO!$A$2:$D$151,4,FALSE())</f>
        <v>388.25</v>
      </c>
      <c r="P682" s="4" t="n">
        <f aca="false">VLOOKUP(E682,DIM_PECA!$A$2:$F$501,6,FALSE())</f>
        <v>1670.27</v>
      </c>
      <c r="Q682" s="4" t="n">
        <f aca="false">VLOOKUP(E682,DIM_PECA!$A$2:$F$501,5,FALSE())</f>
        <v>1077.99</v>
      </c>
      <c r="R682" s="4" t="n">
        <f aca="false">H682*P682</f>
        <v>5010.81</v>
      </c>
      <c r="S682" s="4" t="n">
        <f aca="false">O682*M682</f>
        <v>2911.875</v>
      </c>
      <c r="T682" s="4" t="n">
        <f aca="false">R682+S682</f>
        <v>7922.685</v>
      </c>
      <c r="U682" s="4" t="n">
        <f aca="false">T682-K682</f>
        <v>2631.605</v>
      </c>
      <c r="V682" s="4" t="n">
        <f aca="false">R682+S682-U682</f>
        <v>5291.08</v>
      </c>
      <c r="W682" s="5" t="str">
        <f aca="false">IF(ROUND(V682-K682,2)=0,"OK","ERRO")</f>
        <v>OK</v>
      </c>
      <c r="X682" s="5" t="str">
        <f aca="false">VLOOKUP(F682,DIM_SERVICO!$A$2:$D$151,3,FALSE())</f>
        <v>Freios</v>
      </c>
    </row>
    <row r="683" customFormat="false" ht="15" hidden="false" customHeight="false" outlineLevel="0" collapsed="false">
      <c r="A683" s="6" t="n">
        <v>682</v>
      </c>
      <c r="B683" s="6" t="n">
        <v>818</v>
      </c>
      <c r="C683" s="6" t="n">
        <v>1115</v>
      </c>
      <c r="D683" s="6" t="n">
        <v>83</v>
      </c>
      <c r="E683" s="6" t="n">
        <v>99</v>
      </c>
      <c r="F683" s="6" t="n">
        <v>123</v>
      </c>
      <c r="G683" s="6" t="n">
        <v>49</v>
      </c>
      <c r="H683" s="6" t="n">
        <v>2</v>
      </c>
      <c r="I683" s="7" t="n">
        <v>791.32</v>
      </c>
      <c r="J683" s="7" t="n">
        <v>2023.84</v>
      </c>
      <c r="K683" s="7" t="n">
        <v>3523.14</v>
      </c>
      <c r="L683" s="7" t="n">
        <v>1832.63</v>
      </c>
      <c r="M683" s="6" t="n">
        <v>1.4</v>
      </c>
      <c r="N683" s="6" t="s">
        <v>26</v>
      </c>
      <c r="O683" s="8" t="n">
        <f aca="false">VLOOKUP(F683,DIM_SERVICO!$A$2:$D$151,4,FALSE())</f>
        <v>2023.84</v>
      </c>
      <c r="P683" s="8" t="n">
        <f aca="false">VLOOKUP(E683,DIM_PECA!$A$2:$F$501,6,FALSE())</f>
        <v>785.6</v>
      </c>
      <c r="Q683" s="8" t="n">
        <f aca="false">VLOOKUP(E683,DIM_PECA!$A$2:$F$501,5,FALSE())</f>
        <v>395.66</v>
      </c>
      <c r="R683" s="8" t="n">
        <f aca="false">H683*P683</f>
        <v>1571.2</v>
      </c>
      <c r="S683" s="8" t="n">
        <f aca="false">O683*M683</f>
        <v>2833.376</v>
      </c>
      <c r="T683" s="8" t="n">
        <f aca="false">R683+S683</f>
        <v>4404.576</v>
      </c>
      <c r="U683" s="8" t="n">
        <f aca="false">T683-K683</f>
        <v>881.436</v>
      </c>
      <c r="V683" s="8" t="n">
        <f aca="false">R683+S683-U683</f>
        <v>3523.14</v>
      </c>
      <c r="W683" s="9" t="str">
        <f aca="false">IF(ROUND(V683-K683,2)=0,"OK","ERRO")</f>
        <v>OK</v>
      </c>
      <c r="X683" s="9" t="str">
        <f aca="false">VLOOKUP(F683,DIM_SERVICO!$A$2:$D$151,3,FALSE())</f>
        <v>Diagnóstico</v>
      </c>
    </row>
    <row r="684" customFormat="false" ht="15" hidden="false" customHeight="false" outlineLevel="0" collapsed="false">
      <c r="A684" s="2" t="n">
        <v>683</v>
      </c>
      <c r="B684" s="2" t="n">
        <v>1071</v>
      </c>
      <c r="C684" s="2" t="n">
        <v>106</v>
      </c>
      <c r="D684" s="2" t="n">
        <v>681</v>
      </c>
      <c r="E684" s="2" t="n">
        <v>496</v>
      </c>
      <c r="F684" s="2" t="n">
        <v>142</v>
      </c>
      <c r="G684" s="2" t="n">
        <v>1619</v>
      </c>
      <c r="H684" s="2" t="n">
        <v>4</v>
      </c>
      <c r="I684" s="3" t="n">
        <v>2688.08</v>
      </c>
      <c r="J684" s="3" t="n">
        <v>1867.45</v>
      </c>
      <c r="K684" s="3" t="n">
        <v>5748.08</v>
      </c>
      <c r="L684" s="3" t="n">
        <v>2166.44</v>
      </c>
      <c r="M684" s="2" t="n">
        <v>6.5</v>
      </c>
      <c r="N684" s="2" t="s">
        <v>24</v>
      </c>
      <c r="O684" s="4" t="n">
        <f aca="false">VLOOKUP(F684,DIM_SERVICO!$A$2:$D$151,4,FALSE())</f>
        <v>1867.45</v>
      </c>
      <c r="P684" s="4" t="n">
        <f aca="false">VLOOKUP(E684,DIM_PECA!$A$2:$F$501,6,FALSE())</f>
        <v>1045.79</v>
      </c>
      <c r="Q684" s="4" t="n">
        <f aca="false">VLOOKUP(E684,DIM_PECA!$A$2:$F$501,5,FALSE())</f>
        <v>672.02</v>
      </c>
      <c r="R684" s="4" t="n">
        <f aca="false">H684*P684</f>
        <v>4183.16</v>
      </c>
      <c r="S684" s="4" t="n">
        <f aca="false">O684*M684</f>
        <v>12138.425</v>
      </c>
      <c r="T684" s="4" t="n">
        <f aca="false">R684+S684</f>
        <v>16321.585</v>
      </c>
      <c r="U684" s="4" t="n">
        <f aca="false">T684-K684</f>
        <v>10573.505</v>
      </c>
      <c r="V684" s="4" t="n">
        <f aca="false">R684+S684-U684</f>
        <v>5748.08</v>
      </c>
      <c r="W684" s="5" t="str">
        <f aca="false">IF(ROUND(V684-K684,2)=0,"OK","ERRO")</f>
        <v>OK</v>
      </c>
      <c r="X684" s="5" t="str">
        <f aca="false">VLOOKUP(F684,DIM_SERVICO!$A$2:$D$151,3,FALSE())</f>
        <v>Elétrica</v>
      </c>
    </row>
    <row r="685" customFormat="false" ht="15" hidden="false" customHeight="false" outlineLevel="0" collapsed="false">
      <c r="A685" s="6" t="n">
        <v>684</v>
      </c>
      <c r="B685" s="6" t="n">
        <v>1064</v>
      </c>
      <c r="C685" s="6" t="n">
        <v>421</v>
      </c>
      <c r="D685" s="6" t="n">
        <v>115</v>
      </c>
      <c r="E685" s="6" t="n">
        <v>234</v>
      </c>
      <c r="F685" s="6" t="n">
        <v>65</v>
      </c>
      <c r="G685" s="6" t="n">
        <v>1066</v>
      </c>
      <c r="H685" s="6" t="n">
        <v>4</v>
      </c>
      <c r="I685" s="7" t="n">
        <v>1763.32</v>
      </c>
      <c r="J685" s="7" t="n">
        <v>1214.63</v>
      </c>
      <c r="K685" s="7" t="n">
        <v>4154.57</v>
      </c>
      <c r="L685" s="7" t="n">
        <v>1947.27</v>
      </c>
      <c r="M685" s="6" t="n">
        <v>3.4</v>
      </c>
      <c r="N685" s="6" t="s">
        <v>24</v>
      </c>
      <c r="O685" s="8" t="n">
        <f aca="false">VLOOKUP(F685,DIM_SERVICO!$A$2:$D$151,4,FALSE())</f>
        <v>1214.63</v>
      </c>
      <c r="P685" s="8" t="n">
        <f aca="false">VLOOKUP(E685,DIM_PECA!$A$2:$F$501,6,FALSE())</f>
        <v>789.65</v>
      </c>
      <c r="Q685" s="8" t="n">
        <f aca="false">VLOOKUP(E685,DIM_PECA!$A$2:$F$501,5,FALSE())</f>
        <v>440.83</v>
      </c>
      <c r="R685" s="8" t="n">
        <f aca="false">H685*P685</f>
        <v>3158.6</v>
      </c>
      <c r="S685" s="8" t="n">
        <f aca="false">O685*M685</f>
        <v>4129.742</v>
      </c>
      <c r="T685" s="8" t="n">
        <f aca="false">R685+S685</f>
        <v>7288.342</v>
      </c>
      <c r="U685" s="8" t="n">
        <f aca="false">T685-K685</f>
        <v>3133.772</v>
      </c>
      <c r="V685" s="8" t="n">
        <f aca="false">R685+S685-U685</f>
        <v>4154.57</v>
      </c>
      <c r="W685" s="9" t="str">
        <f aca="false">IF(ROUND(V685-K685,2)=0,"OK","ERRO")</f>
        <v>OK</v>
      </c>
      <c r="X685" s="9" t="str">
        <f aca="false">VLOOKUP(F685,DIM_SERVICO!$A$2:$D$151,3,FALSE())</f>
        <v>Elétrica</v>
      </c>
    </row>
    <row r="686" customFormat="false" ht="15" hidden="false" customHeight="false" outlineLevel="0" collapsed="false">
      <c r="A686" s="2" t="n">
        <v>685</v>
      </c>
      <c r="B686" s="2" t="n">
        <v>1071</v>
      </c>
      <c r="C686" s="2" t="n">
        <v>46</v>
      </c>
      <c r="D686" s="2" t="n">
        <v>1067</v>
      </c>
      <c r="E686" s="2" t="n">
        <v>179</v>
      </c>
      <c r="F686" s="2" t="n">
        <v>31</v>
      </c>
      <c r="G686" s="2" t="n">
        <v>561</v>
      </c>
      <c r="H686" s="2" t="n">
        <v>1</v>
      </c>
      <c r="I686" s="3" t="n">
        <v>215.32</v>
      </c>
      <c r="J686" s="3" t="n">
        <v>1359.86</v>
      </c>
      <c r="K686" s="3" t="n">
        <v>1804.7</v>
      </c>
      <c r="L686" s="3" t="n">
        <v>1097.85</v>
      </c>
      <c r="M686" s="2" t="n">
        <v>6.9</v>
      </c>
      <c r="N686" s="2" t="s">
        <v>24</v>
      </c>
      <c r="O686" s="4" t="n">
        <f aca="false">VLOOKUP(F686,DIM_SERVICO!$A$2:$D$151,4,FALSE())</f>
        <v>1359.86</v>
      </c>
      <c r="P686" s="4" t="n">
        <f aca="false">VLOOKUP(E686,DIM_PECA!$A$2:$F$501,6,FALSE())</f>
        <v>444.84</v>
      </c>
      <c r="Q686" s="4" t="n">
        <f aca="false">VLOOKUP(E686,DIM_PECA!$A$2:$F$501,5,FALSE())</f>
        <v>215.32</v>
      </c>
      <c r="R686" s="4" t="n">
        <f aca="false">H686*P686</f>
        <v>444.84</v>
      </c>
      <c r="S686" s="4" t="n">
        <f aca="false">O686*M686</f>
        <v>9383.034</v>
      </c>
      <c r="T686" s="4" t="n">
        <f aca="false">R686+S686</f>
        <v>9827.874</v>
      </c>
      <c r="U686" s="4" t="n">
        <f aca="false">T686-K686</f>
        <v>8023.174</v>
      </c>
      <c r="V686" s="4" t="n">
        <f aca="false">R686+S686-U686</f>
        <v>1804.7</v>
      </c>
      <c r="W686" s="5" t="str">
        <f aca="false">IF(ROUND(V686-K686,2)=0,"OK","ERRO")</f>
        <v>OK</v>
      </c>
      <c r="X686" s="5" t="str">
        <f aca="false">VLOOKUP(F686,DIM_SERVICO!$A$2:$D$151,3,FALSE())</f>
        <v>Suspensão</v>
      </c>
    </row>
    <row r="687" customFormat="false" ht="15" hidden="false" customHeight="false" outlineLevel="0" collapsed="false">
      <c r="A687" s="6" t="n">
        <v>686</v>
      </c>
      <c r="B687" s="6" t="n">
        <v>1368</v>
      </c>
      <c r="C687" s="6" t="n">
        <v>498</v>
      </c>
      <c r="D687" s="6" t="n">
        <v>711</v>
      </c>
      <c r="E687" s="6" t="n">
        <v>39</v>
      </c>
      <c r="F687" s="6" t="n">
        <v>127</v>
      </c>
      <c r="G687" s="6" t="n">
        <v>1800</v>
      </c>
      <c r="H687" s="6" t="n">
        <v>1</v>
      </c>
      <c r="I687" s="7" t="n">
        <v>1135.1</v>
      </c>
      <c r="J687" s="7" t="n">
        <v>165.02</v>
      </c>
      <c r="K687" s="7" t="n">
        <v>1842.2</v>
      </c>
      <c r="L687" s="7" t="n">
        <v>648.12</v>
      </c>
      <c r="M687" s="6" t="n">
        <v>6.4</v>
      </c>
      <c r="N687" s="6" t="s">
        <v>24</v>
      </c>
      <c r="O687" s="8" t="n">
        <f aca="false">VLOOKUP(F687,DIM_SERVICO!$A$2:$D$151,4,FALSE())</f>
        <v>165.02</v>
      </c>
      <c r="P687" s="8" t="n">
        <f aca="false">VLOOKUP(E687,DIM_PECA!$A$2:$F$501,6,FALSE())</f>
        <v>1677.18</v>
      </c>
      <c r="Q687" s="8" t="n">
        <f aca="false">VLOOKUP(E687,DIM_PECA!$A$2:$F$501,5,FALSE())</f>
        <v>1135.1</v>
      </c>
      <c r="R687" s="8" t="n">
        <f aca="false">H687*P687</f>
        <v>1677.18</v>
      </c>
      <c r="S687" s="8" t="n">
        <f aca="false">O687*M687</f>
        <v>1056.128</v>
      </c>
      <c r="T687" s="8" t="n">
        <f aca="false">R687+S687</f>
        <v>2733.308</v>
      </c>
      <c r="U687" s="8" t="n">
        <f aca="false">T687-K687</f>
        <v>891.108</v>
      </c>
      <c r="V687" s="8" t="n">
        <f aca="false">R687+S687-U687</f>
        <v>1842.2</v>
      </c>
      <c r="W687" s="9" t="str">
        <f aca="false">IF(ROUND(V687-K687,2)=0,"OK","ERRO")</f>
        <v>OK</v>
      </c>
      <c r="X687" s="9" t="str">
        <f aca="false">VLOOKUP(F687,DIM_SERVICO!$A$2:$D$151,3,FALSE())</f>
        <v>Suspensão</v>
      </c>
    </row>
    <row r="688" customFormat="false" ht="15" hidden="false" customHeight="false" outlineLevel="0" collapsed="false">
      <c r="A688" s="2" t="n">
        <v>687</v>
      </c>
      <c r="B688" s="2" t="n">
        <v>466</v>
      </c>
      <c r="C688" s="2" t="n">
        <v>733</v>
      </c>
      <c r="D688" s="2" t="n">
        <v>548</v>
      </c>
      <c r="E688" s="2" t="n">
        <v>373</v>
      </c>
      <c r="F688" s="2" t="n">
        <v>28</v>
      </c>
      <c r="G688" s="2" t="n">
        <v>1483</v>
      </c>
      <c r="H688" s="2" t="n">
        <v>2</v>
      </c>
      <c r="I688" s="3" t="n">
        <v>148.96</v>
      </c>
      <c r="J688" s="3" t="n">
        <v>2152.12</v>
      </c>
      <c r="K688" s="3" t="n">
        <v>2167.08</v>
      </c>
      <c r="L688" s="3" t="n">
        <v>1182.11</v>
      </c>
      <c r="M688" s="2" t="n">
        <v>6.3</v>
      </c>
      <c r="N688" s="2" t="s">
        <v>24</v>
      </c>
      <c r="O688" s="4" t="n">
        <f aca="false">VLOOKUP(F688,DIM_SERVICO!$A$2:$D$151,4,FALSE())</f>
        <v>2152.12</v>
      </c>
      <c r="P688" s="4" t="n">
        <f aca="false">VLOOKUP(E688,DIM_PECA!$A$2:$F$501,6,FALSE())</f>
        <v>101.7</v>
      </c>
      <c r="Q688" s="4" t="n">
        <f aca="false">VLOOKUP(E688,DIM_PECA!$A$2:$F$501,5,FALSE())</f>
        <v>74.48</v>
      </c>
      <c r="R688" s="4" t="n">
        <f aca="false">H688*P688</f>
        <v>203.4</v>
      </c>
      <c r="S688" s="4" t="n">
        <f aca="false">O688*M688</f>
        <v>13558.356</v>
      </c>
      <c r="T688" s="4" t="n">
        <f aca="false">R688+S688</f>
        <v>13761.756</v>
      </c>
      <c r="U688" s="4" t="n">
        <f aca="false">T688-K688</f>
        <v>11594.676</v>
      </c>
      <c r="V688" s="4" t="n">
        <f aca="false">R688+S688-U688</f>
        <v>2167.08</v>
      </c>
      <c r="W688" s="5" t="str">
        <f aca="false">IF(ROUND(V688-K688,2)=0,"OK","ERRO")</f>
        <v>OK</v>
      </c>
      <c r="X688" s="5" t="str">
        <f aca="false">VLOOKUP(F688,DIM_SERVICO!$A$2:$D$151,3,FALSE())</f>
        <v>Freios</v>
      </c>
    </row>
    <row r="689" customFormat="false" ht="15" hidden="false" customHeight="false" outlineLevel="0" collapsed="false">
      <c r="A689" s="6" t="n">
        <v>688</v>
      </c>
      <c r="B689" s="6" t="n">
        <v>1485</v>
      </c>
      <c r="C689" s="6" t="n">
        <v>213</v>
      </c>
      <c r="D689" s="6" t="n">
        <v>16</v>
      </c>
      <c r="E689" s="6" t="n">
        <v>448</v>
      </c>
      <c r="F689" s="6" t="n">
        <v>150</v>
      </c>
      <c r="G689" s="6" t="n">
        <v>583</v>
      </c>
      <c r="H689" s="6" t="n">
        <v>3</v>
      </c>
      <c r="I689" s="7" t="n">
        <v>2885.97</v>
      </c>
      <c r="J689" s="7" t="n">
        <v>1370.46</v>
      </c>
      <c r="K689" s="7" t="n">
        <v>6329.85</v>
      </c>
      <c r="L689" s="7" t="n">
        <v>2876.97</v>
      </c>
      <c r="M689" s="6" t="n">
        <v>8.5</v>
      </c>
      <c r="N689" s="6" t="s">
        <v>24</v>
      </c>
      <c r="O689" s="8" t="n">
        <f aca="false">VLOOKUP(F689,DIM_SERVICO!$A$2:$D$151,4,FALSE())</f>
        <v>1370.46</v>
      </c>
      <c r="P689" s="8" t="n">
        <f aca="false">VLOOKUP(E689,DIM_PECA!$A$2:$F$501,6,FALSE())</f>
        <v>1653.13</v>
      </c>
      <c r="Q689" s="8" t="n">
        <f aca="false">VLOOKUP(E689,DIM_PECA!$A$2:$F$501,5,FALSE())</f>
        <v>961.99</v>
      </c>
      <c r="R689" s="8" t="n">
        <f aca="false">H689*P689</f>
        <v>4959.39</v>
      </c>
      <c r="S689" s="8" t="n">
        <f aca="false">O689*M689</f>
        <v>11648.91</v>
      </c>
      <c r="T689" s="8" t="n">
        <f aca="false">R689+S689</f>
        <v>16608.3</v>
      </c>
      <c r="U689" s="8" t="n">
        <f aca="false">T689-K689</f>
        <v>10278.45</v>
      </c>
      <c r="V689" s="8" t="n">
        <f aca="false">R689+S689-U689</f>
        <v>6329.85</v>
      </c>
      <c r="W689" s="9" t="str">
        <f aca="false">IF(ROUND(V689-K689,2)=0,"OK","ERRO")</f>
        <v>OK</v>
      </c>
      <c r="X689" s="9" t="str">
        <f aca="false">VLOOKUP(F689,DIM_SERVICO!$A$2:$D$151,3,FALSE())</f>
        <v>Revisão</v>
      </c>
    </row>
    <row r="690" customFormat="false" ht="15" hidden="false" customHeight="false" outlineLevel="0" collapsed="false">
      <c r="A690" s="2" t="n">
        <v>689</v>
      </c>
      <c r="B690" s="2" t="n">
        <v>1414</v>
      </c>
      <c r="C690" s="2" t="n">
        <v>789</v>
      </c>
      <c r="D690" s="2" t="n">
        <v>261</v>
      </c>
      <c r="E690" s="2" t="n">
        <v>166</v>
      </c>
      <c r="F690" s="2" t="n">
        <v>93</v>
      </c>
      <c r="G690" s="2" t="n">
        <v>884</v>
      </c>
      <c r="H690" s="2" t="n">
        <v>1</v>
      </c>
      <c r="I690" s="3" t="n">
        <v>583.85</v>
      </c>
      <c r="J690" s="3" t="n">
        <v>2049.66</v>
      </c>
      <c r="K690" s="3" t="n">
        <v>3326.18</v>
      </c>
      <c r="L690" s="3" t="n">
        <v>1914.71</v>
      </c>
      <c r="M690" s="2" t="n">
        <v>8.1</v>
      </c>
      <c r="N690" s="2" t="s">
        <v>24</v>
      </c>
      <c r="O690" s="4" t="n">
        <f aca="false">VLOOKUP(F690,DIM_SERVICO!$A$2:$D$151,4,FALSE())</f>
        <v>2049.66</v>
      </c>
      <c r="P690" s="4" t="n">
        <f aca="false">VLOOKUP(E690,DIM_PECA!$A$2:$F$501,6,FALSE())</f>
        <v>1276.52</v>
      </c>
      <c r="Q690" s="4" t="n">
        <f aca="false">VLOOKUP(E690,DIM_PECA!$A$2:$F$501,5,FALSE())</f>
        <v>583.85</v>
      </c>
      <c r="R690" s="4" t="n">
        <f aca="false">H690*P690</f>
        <v>1276.52</v>
      </c>
      <c r="S690" s="4" t="n">
        <f aca="false">O690*M690</f>
        <v>16602.246</v>
      </c>
      <c r="T690" s="4" t="n">
        <f aca="false">R690+S690</f>
        <v>17878.766</v>
      </c>
      <c r="U690" s="4" t="n">
        <f aca="false">T690-K690</f>
        <v>14552.586</v>
      </c>
      <c r="V690" s="4" t="n">
        <f aca="false">R690+S690-U690</f>
        <v>3326.18</v>
      </c>
      <c r="W690" s="5" t="str">
        <f aca="false">IF(ROUND(V690-K690,2)=0,"OK","ERRO")</f>
        <v>OK</v>
      </c>
      <c r="X690" s="5" t="str">
        <f aca="false">VLOOKUP(F690,DIM_SERVICO!$A$2:$D$151,3,FALSE())</f>
        <v>Revisão</v>
      </c>
    </row>
    <row r="691" customFormat="false" ht="15" hidden="false" customHeight="false" outlineLevel="0" collapsed="false">
      <c r="A691" s="6" t="n">
        <v>690</v>
      </c>
      <c r="B691" s="6" t="n">
        <v>1002</v>
      </c>
      <c r="C691" s="6" t="n">
        <v>1468</v>
      </c>
      <c r="D691" s="6" t="n">
        <v>1006</v>
      </c>
      <c r="E691" s="6" t="n">
        <v>278</v>
      </c>
      <c r="F691" s="6" t="n">
        <v>115</v>
      </c>
      <c r="G691" s="6" t="n">
        <v>126</v>
      </c>
      <c r="H691" s="6" t="n">
        <v>1</v>
      </c>
      <c r="I691" s="7" t="n">
        <v>258.85</v>
      </c>
      <c r="J691" s="7" t="n">
        <v>1374.43</v>
      </c>
      <c r="K691" s="7" t="n">
        <v>1656.67</v>
      </c>
      <c r="L691" s="7" t="n">
        <v>900.67</v>
      </c>
      <c r="M691" s="6" t="n">
        <v>8.1</v>
      </c>
      <c r="N691" s="6" t="s">
        <v>24</v>
      </c>
      <c r="O691" s="8" t="n">
        <f aca="false">VLOOKUP(F691,DIM_SERVICO!$A$2:$D$151,4,FALSE())</f>
        <v>1374.43</v>
      </c>
      <c r="P691" s="8" t="n">
        <f aca="false">VLOOKUP(E691,DIM_PECA!$A$2:$F$501,6,FALSE())</f>
        <v>466.31</v>
      </c>
      <c r="Q691" s="8" t="n">
        <f aca="false">VLOOKUP(E691,DIM_PECA!$A$2:$F$501,5,FALSE())</f>
        <v>258.85</v>
      </c>
      <c r="R691" s="8" t="n">
        <f aca="false">H691*P691</f>
        <v>466.31</v>
      </c>
      <c r="S691" s="8" t="n">
        <f aca="false">O691*M691</f>
        <v>11132.883</v>
      </c>
      <c r="T691" s="8" t="n">
        <f aca="false">R691+S691</f>
        <v>11599.193</v>
      </c>
      <c r="U691" s="8" t="n">
        <f aca="false">T691-K691</f>
        <v>9942.523</v>
      </c>
      <c r="V691" s="8" t="n">
        <f aca="false">R691+S691-U691</f>
        <v>1656.67</v>
      </c>
      <c r="W691" s="9" t="str">
        <f aca="false">IF(ROUND(V691-K691,2)=0,"OK","ERRO")</f>
        <v>OK</v>
      </c>
      <c r="X691" s="9" t="str">
        <f aca="false">VLOOKUP(F691,DIM_SERVICO!$A$2:$D$151,3,FALSE())</f>
        <v>Suspensão</v>
      </c>
    </row>
    <row r="692" customFormat="false" ht="15" hidden="false" customHeight="false" outlineLevel="0" collapsed="false">
      <c r="A692" s="2" t="n">
        <v>691</v>
      </c>
      <c r="B692" s="2" t="n">
        <v>1225</v>
      </c>
      <c r="C692" s="2" t="n">
        <v>249</v>
      </c>
      <c r="D692" s="2" t="n">
        <v>601</v>
      </c>
      <c r="E692" s="2" t="n">
        <v>75</v>
      </c>
      <c r="F692" s="2" t="n">
        <v>66</v>
      </c>
      <c r="G692" s="2" t="n">
        <v>221</v>
      </c>
      <c r="H692" s="2" t="n">
        <v>4</v>
      </c>
      <c r="I692" s="3" t="n">
        <v>3946.36</v>
      </c>
      <c r="J692" s="3" t="n">
        <v>1805.9</v>
      </c>
      <c r="K692" s="3" t="n">
        <v>6868.6</v>
      </c>
      <c r="L692" s="3" t="n">
        <v>2134.39</v>
      </c>
      <c r="M692" s="2" t="n">
        <v>1.6</v>
      </c>
      <c r="N692" s="2" t="s">
        <v>24</v>
      </c>
      <c r="O692" s="4" t="n">
        <f aca="false">VLOOKUP(F692,DIM_SERVICO!$A$2:$D$151,4,FALSE())</f>
        <v>1805.9</v>
      </c>
      <c r="P692" s="4" t="n">
        <f aca="false">VLOOKUP(E692,DIM_PECA!$A$2:$F$501,6,FALSE())</f>
        <v>1456.47</v>
      </c>
      <c r="Q692" s="4" t="n">
        <f aca="false">VLOOKUP(E692,DIM_PECA!$A$2:$F$501,5,FALSE())</f>
        <v>986.59</v>
      </c>
      <c r="R692" s="4" t="n">
        <f aca="false">H692*P692</f>
        <v>5825.88</v>
      </c>
      <c r="S692" s="4" t="n">
        <f aca="false">O692*M692</f>
        <v>2889.44</v>
      </c>
      <c r="T692" s="4" t="n">
        <f aca="false">R692+S692</f>
        <v>8715.32</v>
      </c>
      <c r="U692" s="4" t="n">
        <f aca="false">T692-K692</f>
        <v>1846.72</v>
      </c>
      <c r="V692" s="4" t="n">
        <f aca="false">R692+S692-U692</f>
        <v>6868.6</v>
      </c>
      <c r="W692" s="5" t="str">
        <f aca="false">IF(ROUND(V692-K692,2)=0,"OK","ERRO")</f>
        <v>OK</v>
      </c>
      <c r="X692" s="5" t="str">
        <f aca="false">VLOOKUP(F692,DIM_SERVICO!$A$2:$D$151,3,FALSE())</f>
        <v>Pintura</v>
      </c>
    </row>
    <row r="693" customFormat="false" ht="15" hidden="false" customHeight="false" outlineLevel="0" collapsed="false">
      <c r="A693" s="6" t="n">
        <v>692</v>
      </c>
      <c r="B693" s="6" t="n">
        <v>1266</v>
      </c>
      <c r="C693" s="6" t="n">
        <v>631</v>
      </c>
      <c r="D693" s="6" t="n">
        <v>925</v>
      </c>
      <c r="E693" s="6" t="n">
        <v>497</v>
      </c>
      <c r="F693" s="6" t="n">
        <v>60</v>
      </c>
      <c r="G693" s="6" t="n">
        <v>323</v>
      </c>
      <c r="H693" s="6" t="n">
        <v>3</v>
      </c>
      <c r="I693" s="7" t="n">
        <v>97.47</v>
      </c>
      <c r="J693" s="7" t="n">
        <v>1091.63</v>
      </c>
      <c r="K693" s="7" t="n">
        <v>1137.31</v>
      </c>
      <c r="L693" s="7" t="n">
        <v>504.2</v>
      </c>
      <c r="M693" s="6" t="n">
        <v>5.2</v>
      </c>
      <c r="N693" s="6" t="s">
        <v>25</v>
      </c>
      <c r="O693" s="8" t="n">
        <f aca="false">VLOOKUP(F693,DIM_SERVICO!$A$2:$D$151,4,FALSE())</f>
        <v>1091.63</v>
      </c>
      <c r="P693" s="8" t="n">
        <f aca="false">VLOOKUP(E693,DIM_PECA!$A$2:$F$501,6,FALSE())</f>
        <v>57.35</v>
      </c>
      <c r="Q693" s="8" t="n">
        <f aca="false">VLOOKUP(E693,DIM_PECA!$A$2:$F$501,5,FALSE())</f>
        <v>32.49</v>
      </c>
      <c r="R693" s="8" t="n">
        <f aca="false">H693*P693</f>
        <v>172.05</v>
      </c>
      <c r="S693" s="8" t="n">
        <f aca="false">O693*M693</f>
        <v>5676.476</v>
      </c>
      <c r="T693" s="8" t="n">
        <f aca="false">R693+S693</f>
        <v>5848.526</v>
      </c>
      <c r="U693" s="8" t="n">
        <f aca="false">T693-K693</f>
        <v>4711.216</v>
      </c>
      <c r="V693" s="8" t="n">
        <f aca="false">R693+S693-U693</f>
        <v>1137.31</v>
      </c>
      <c r="W693" s="9" t="str">
        <f aca="false">IF(ROUND(V693-K693,2)=0,"OK","ERRO")</f>
        <v>OK</v>
      </c>
      <c r="X693" s="9" t="str">
        <f aca="false">VLOOKUP(F693,DIM_SERVICO!$A$2:$D$151,3,FALSE())</f>
        <v>Diagnóstico</v>
      </c>
    </row>
    <row r="694" customFormat="false" ht="15" hidden="false" customHeight="false" outlineLevel="0" collapsed="false">
      <c r="A694" s="2" t="n">
        <v>693</v>
      </c>
      <c r="B694" s="2" t="n">
        <v>534</v>
      </c>
      <c r="C694" s="2" t="n">
        <v>703</v>
      </c>
      <c r="D694" s="2" t="n">
        <v>239</v>
      </c>
      <c r="E694" s="2" t="n">
        <v>477</v>
      </c>
      <c r="F694" s="2" t="n">
        <v>106</v>
      </c>
      <c r="G694" s="2" t="n">
        <v>1666</v>
      </c>
      <c r="H694" s="2" t="n">
        <v>1</v>
      </c>
      <c r="I694" s="3" t="n">
        <v>190.58</v>
      </c>
      <c r="J694" s="3" t="n">
        <v>590.23</v>
      </c>
      <c r="K694" s="3" t="n">
        <v>900.36</v>
      </c>
      <c r="L694" s="3" t="n">
        <v>488.63</v>
      </c>
      <c r="M694" s="2" t="n">
        <v>9.6</v>
      </c>
      <c r="N694" s="2" t="s">
        <v>26</v>
      </c>
      <c r="O694" s="4" t="n">
        <f aca="false">VLOOKUP(F694,DIM_SERVICO!$A$2:$D$151,4,FALSE())</f>
        <v>590.23</v>
      </c>
      <c r="P694" s="4" t="n">
        <f aca="false">VLOOKUP(E694,DIM_PECA!$A$2:$F$501,6,FALSE())</f>
        <v>310.13</v>
      </c>
      <c r="Q694" s="4" t="n">
        <f aca="false">VLOOKUP(E694,DIM_PECA!$A$2:$F$501,5,FALSE())</f>
        <v>190.58</v>
      </c>
      <c r="R694" s="4" t="n">
        <f aca="false">H694*P694</f>
        <v>310.13</v>
      </c>
      <c r="S694" s="4" t="n">
        <f aca="false">O694*M694</f>
        <v>5666.208</v>
      </c>
      <c r="T694" s="4" t="n">
        <f aca="false">R694+S694</f>
        <v>5976.338</v>
      </c>
      <c r="U694" s="4" t="n">
        <f aca="false">T694-K694</f>
        <v>5075.978</v>
      </c>
      <c r="V694" s="4" t="n">
        <f aca="false">R694+S694-U694</f>
        <v>900.36</v>
      </c>
      <c r="W694" s="5" t="str">
        <f aca="false">IF(ROUND(V694-K694,2)=0,"OK","ERRO")</f>
        <v>OK</v>
      </c>
      <c r="X694" s="5" t="str">
        <f aca="false">VLOOKUP(F694,DIM_SERVICO!$A$2:$D$151,3,FALSE())</f>
        <v>Revisão</v>
      </c>
    </row>
    <row r="695" customFormat="false" ht="15" hidden="false" customHeight="false" outlineLevel="0" collapsed="false">
      <c r="A695" s="6" t="n">
        <v>694</v>
      </c>
      <c r="B695" s="6" t="n">
        <v>397</v>
      </c>
      <c r="C695" s="6" t="n">
        <v>1463</v>
      </c>
      <c r="D695" s="6" t="n">
        <v>1006</v>
      </c>
      <c r="E695" s="6" t="n">
        <v>153</v>
      </c>
      <c r="F695" s="6" t="n">
        <v>133</v>
      </c>
      <c r="G695" s="6" t="n">
        <v>181</v>
      </c>
      <c r="H695" s="6" t="n">
        <v>1</v>
      </c>
      <c r="I695" s="7" t="n">
        <v>945.08</v>
      </c>
      <c r="J695" s="7" t="n">
        <v>1635.43</v>
      </c>
      <c r="K695" s="7" t="n">
        <v>2968.68</v>
      </c>
      <c r="L695" s="7" t="n">
        <v>1426.01</v>
      </c>
      <c r="M695" s="6" t="n">
        <v>8.7</v>
      </c>
      <c r="N695" s="6" t="s">
        <v>24</v>
      </c>
      <c r="O695" s="8" t="n">
        <f aca="false">VLOOKUP(F695,DIM_SERVICO!$A$2:$D$151,4,FALSE())</f>
        <v>1635.43</v>
      </c>
      <c r="P695" s="8" t="n">
        <f aca="false">VLOOKUP(E695,DIM_PECA!$A$2:$F$501,6,FALSE())</f>
        <v>1333.25</v>
      </c>
      <c r="Q695" s="8" t="n">
        <f aca="false">VLOOKUP(E695,DIM_PECA!$A$2:$F$501,5,FALSE())</f>
        <v>945.08</v>
      </c>
      <c r="R695" s="8" t="n">
        <f aca="false">H695*P695</f>
        <v>1333.25</v>
      </c>
      <c r="S695" s="8" t="n">
        <f aca="false">O695*M695</f>
        <v>14228.241</v>
      </c>
      <c r="T695" s="8" t="n">
        <f aca="false">R695+S695</f>
        <v>15561.491</v>
      </c>
      <c r="U695" s="8" t="n">
        <f aca="false">T695-K695</f>
        <v>12592.811</v>
      </c>
      <c r="V695" s="8" t="n">
        <f aca="false">R695+S695-U695</f>
        <v>2968.68</v>
      </c>
      <c r="W695" s="9" t="str">
        <f aca="false">IF(ROUND(V695-K695,2)=0,"OK","ERRO")</f>
        <v>OK</v>
      </c>
      <c r="X695" s="9" t="str">
        <f aca="false">VLOOKUP(F695,DIM_SERVICO!$A$2:$D$151,3,FALSE())</f>
        <v>Suspensão</v>
      </c>
    </row>
    <row r="696" customFormat="false" ht="15" hidden="false" customHeight="false" outlineLevel="0" collapsed="false">
      <c r="A696" s="2" t="n">
        <v>695</v>
      </c>
      <c r="B696" s="2" t="n">
        <v>745</v>
      </c>
      <c r="C696" s="2" t="n">
        <v>450</v>
      </c>
      <c r="D696" s="2" t="n">
        <v>47</v>
      </c>
      <c r="E696" s="2" t="n">
        <v>63</v>
      </c>
      <c r="F696" s="2" t="n">
        <v>108</v>
      </c>
      <c r="G696" s="2" t="n">
        <v>932</v>
      </c>
      <c r="H696" s="2" t="n">
        <v>4</v>
      </c>
      <c r="I696" s="3" t="n">
        <v>95.28</v>
      </c>
      <c r="J696" s="3" t="n">
        <v>1178.47</v>
      </c>
      <c r="K696" s="3" t="n">
        <v>1316.99</v>
      </c>
      <c r="L696" s="3" t="n">
        <v>577.86</v>
      </c>
      <c r="M696" s="2" t="n">
        <v>11.8</v>
      </c>
      <c r="N696" s="2" t="s">
        <v>27</v>
      </c>
      <c r="O696" s="4" t="n">
        <f aca="false">VLOOKUP(F696,DIM_SERVICO!$A$2:$D$151,4,FALSE())</f>
        <v>1178.47</v>
      </c>
      <c r="P696" s="4" t="n">
        <f aca="false">VLOOKUP(E696,DIM_PECA!$A$2:$F$501,6,FALSE())</f>
        <v>34.63</v>
      </c>
      <c r="Q696" s="4" t="n">
        <f aca="false">VLOOKUP(E696,DIM_PECA!$A$2:$F$501,5,FALSE())</f>
        <v>23.82</v>
      </c>
      <c r="R696" s="4" t="n">
        <f aca="false">H696*P696</f>
        <v>138.52</v>
      </c>
      <c r="S696" s="4" t="n">
        <f aca="false">O696*M696</f>
        <v>13905.946</v>
      </c>
      <c r="T696" s="4" t="n">
        <f aca="false">R696+S696</f>
        <v>14044.466</v>
      </c>
      <c r="U696" s="4" t="n">
        <f aca="false">T696-K696</f>
        <v>12727.476</v>
      </c>
      <c r="V696" s="4" t="n">
        <f aca="false">R696+S696-U696</f>
        <v>1316.99</v>
      </c>
      <c r="W696" s="5" t="str">
        <f aca="false">IF(ROUND(V696-K696,2)=0,"OK","ERRO")</f>
        <v>OK</v>
      </c>
      <c r="X696" s="5" t="str">
        <f aca="false">VLOOKUP(F696,DIM_SERVICO!$A$2:$D$151,3,FALSE())</f>
        <v>Funilaria</v>
      </c>
    </row>
    <row r="697" customFormat="false" ht="15" hidden="false" customHeight="false" outlineLevel="0" collapsed="false">
      <c r="A697" s="6" t="n">
        <v>696</v>
      </c>
      <c r="B697" s="6" t="n">
        <v>132</v>
      </c>
      <c r="C697" s="6" t="n">
        <v>1333</v>
      </c>
      <c r="D697" s="6" t="n">
        <v>841</v>
      </c>
      <c r="E697" s="6" t="n">
        <v>464</v>
      </c>
      <c r="F697" s="6" t="n">
        <v>63</v>
      </c>
      <c r="G697" s="6" t="n">
        <v>383</v>
      </c>
      <c r="H697" s="6" t="n">
        <v>2</v>
      </c>
      <c r="I697" s="7" t="n">
        <v>1355.66</v>
      </c>
      <c r="J697" s="7" t="n">
        <v>263.48</v>
      </c>
      <c r="K697" s="7" t="n">
        <v>2030.87</v>
      </c>
      <c r="L697" s="7" t="n">
        <v>544.68</v>
      </c>
      <c r="M697" s="6" t="n">
        <v>11.8</v>
      </c>
      <c r="N697" s="6" t="s">
        <v>26</v>
      </c>
      <c r="O697" s="8" t="n">
        <f aca="false">VLOOKUP(F697,DIM_SERVICO!$A$2:$D$151,4,FALSE())</f>
        <v>263.48</v>
      </c>
      <c r="P697" s="8" t="n">
        <f aca="false">VLOOKUP(E697,DIM_PECA!$A$2:$F$501,6,FALSE())</f>
        <v>937.14</v>
      </c>
      <c r="Q697" s="8" t="n">
        <f aca="false">VLOOKUP(E697,DIM_PECA!$A$2:$F$501,5,FALSE())</f>
        <v>677.83</v>
      </c>
      <c r="R697" s="8" t="n">
        <f aca="false">H697*P697</f>
        <v>1874.28</v>
      </c>
      <c r="S697" s="8" t="n">
        <f aca="false">O697*M697</f>
        <v>3109.064</v>
      </c>
      <c r="T697" s="8" t="n">
        <f aca="false">R697+S697</f>
        <v>4983.344</v>
      </c>
      <c r="U697" s="8" t="n">
        <f aca="false">T697-K697</f>
        <v>2952.474</v>
      </c>
      <c r="V697" s="8" t="n">
        <f aca="false">R697+S697-U697</f>
        <v>2030.87</v>
      </c>
      <c r="W697" s="9" t="str">
        <f aca="false">IF(ROUND(V697-K697,2)=0,"OK","ERRO")</f>
        <v>OK</v>
      </c>
      <c r="X697" s="9" t="str">
        <f aca="false">VLOOKUP(F697,DIM_SERVICO!$A$2:$D$151,3,FALSE())</f>
        <v>Funilaria</v>
      </c>
    </row>
    <row r="698" customFormat="false" ht="15" hidden="false" customHeight="false" outlineLevel="0" collapsed="false">
      <c r="A698" s="2" t="n">
        <v>697</v>
      </c>
      <c r="B698" s="2" t="n">
        <v>398</v>
      </c>
      <c r="C698" s="2" t="n">
        <v>394</v>
      </c>
      <c r="D698" s="2" t="n">
        <v>715</v>
      </c>
      <c r="E698" s="2" t="n">
        <v>259</v>
      </c>
      <c r="F698" s="2" t="n">
        <v>79</v>
      </c>
      <c r="G698" s="2" t="n">
        <v>204</v>
      </c>
      <c r="H698" s="2" t="n">
        <v>3</v>
      </c>
      <c r="I698" s="3" t="n">
        <v>1536.03</v>
      </c>
      <c r="J698" s="3" t="n">
        <v>748.05</v>
      </c>
      <c r="K698" s="3" t="n">
        <v>3298.86</v>
      </c>
      <c r="L698" s="3" t="n">
        <v>1455.04</v>
      </c>
      <c r="M698" s="2" t="n">
        <v>10.7</v>
      </c>
      <c r="N698" s="2" t="s">
        <v>24</v>
      </c>
      <c r="O698" s="4" t="n">
        <f aca="false">VLOOKUP(F698,DIM_SERVICO!$A$2:$D$151,4,FALSE())</f>
        <v>748.05</v>
      </c>
      <c r="P698" s="4" t="n">
        <f aca="false">VLOOKUP(E698,DIM_PECA!$A$2:$F$501,6,FALSE())</f>
        <v>850.27</v>
      </c>
      <c r="Q698" s="4" t="n">
        <f aca="false">VLOOKUP(E698,DIM_PECA!$A$2:$F$501,5,FALSE())</f>
        <v>512.01</v>
      </c>
      <c r="R698" s="4" t="n">
        <f aca="false">H698*P698</f>
        <v>2550.81</v>
      </c>
      <c r="S698" s="4" t="n">
        <f aca="false">O698*M698</f>
        <v>8004.135</v>
      </c>
      <c r="T698" s="4" t="n">
        <f aca="false">R698+S698</f>
        <v>10554.945</v>
      </c>
      <c r="U698" s="4" t="n">
        <f aca="false">T698-K698</f>
        <v>7256.085</v>
      </c>
      <c r="V698" s="4" t="n">
        <f aca="false">R698+S698-U698</f>
        <v>3298.86</v>
      </c>
      <c r="W698" s="5" t="str">
        <f aca="false">IF(ROUND(V698-K698,2)=0,"OK","ERRO")</f>
        <v>OK</v>
      </c>
      <c r="X698" s="5" t="str">
        <f aca="false">VLOOKUP(F698,DIM_SERVICO!$A$2:$D$151,3,FALSE())</f>
        <v>Freios</v>
      </c>
    </row>
    <row r="699" customFormat="false" ht="15" hidden="false" customHeight="false" outlineLevel="0" collapsed="false">
      <c r="A699" s="6" t="n">
        <v>698</v>
      </c>
      <c r="B699" s="6" t="n">
        <v>532</v>
      </c>
      <c r="C699" s="6" t="n">
        <v>359</v>
      </c>
      <c r="D699" s="6" t="n">
        <v>906</v>
      </c>
      <c r="E699" s="6" t="n">
        <v>12</v>
      </c>
      <c r="F699" s="6" t="n">
        <v>125</v>
      </c>
      <c r="G699" s="6" t="n">
        <v>541</v>
      </c>
      <c r="H699" s="6" t="n">
        <v>1</v>
      </c>
      <c r="I699" s="7" t="n">
        <v>448.12</v>
      </c>
      <c r="J699" s="7" t="n">
        <v>988.93</v>
      </c>
      <c r="K699" s="7" t="n">
        <v>1600.39</v>
      </c>
      <c r="L699" s="7" t="n">
        <v>612.04</v>
      </c>
      <c r="M699" s="6" t="n">
        <v>8.3</v>
      </c>
      <c r="N699" s="6" t="s">
        <v>25</v>
      </c>
      <c r="O699" s="8" t="n">
        <f aca="false">VLOOKUP(F699,DIM_SERVICO!$A$2:$D$151,4,FALSE())</f>
        <v>988.93</v>
      </c>
      <c r="P699" s="8" t="n">
        <f aca="false">VLOOKUP(E699,DIM_PECA!$A$2:$F$501,6,FALSE())</f>
        <v>611.46</v>
      </c>
      <c r="Q699" s="8" t="n">
        <f aca="false">VLOOKUP(E699,DIM_PECA!$A$2:$F$501,5,FALSE())</f>
        <v>448.12</v>
      </c>
      <c r="R699" s="8" t="n">
        <f aca="false">H699*P699</f>
        <v>611.46</v>
      </c>
      <c r="S699" s="8" t="n">
        <f aca="false">O699*M699</f>
        <v>8208.119</v>
      </c>
      <c r="T699" s="8" t="n">
        <f aca="false">R699+S699</f>
        <v>8819.579</v>
      </c>
      <c r="U699" s="8" t="n">
        <f aca="false">T699-K699</f>
        <v>7219.189</v>
      </c>
      <c r="V699" s="8" t="n">
        <f aca="false">R699+S699-U699</f>
        <v>1600.39</v>
      </c>
      <c r="W699" s="9" t="str">
        <f aca="false">IF(ROUND(V699-K699,2)=0,"OK","ERRO")</f>
        <v>OK</v>
      </c>
      <c r="X699" s="9" t="str">
        <f aca="false">VLOOKUP(F699,DIM_SERVICO!$A$2:$D$151,3,FALSE())</f>
        <v>Suspensão</v>
      </c>
    </row>
    <row r="700" customFormat="false" ht="15" hidden="false" customHeight="false" outlineLevel="0" collapsed="false">
      <c r="A700" s="2" t="n">
        <v>699</v>
      </c>
      <c r="B700" s="2" t="n">
        <v>182</v>
      </c>
      <c r="C700" s="2" t="n">
        <v>1496</v>
      </c>
      <c r="D700" s="2" t="n">
        <v>1027</v>
      </c>
      <c r="E700" s="2" t="n">
        <v>399</v>
      </c>
      <c r="F700" s="2" t="n">
        <v>4</v>
      </c>
      <c r="G700" s="2" t="n">
        <v>702</v>
      </c>
      <c r="H700" s="2" t="n">
        <v>3</v>
      </c>
      <c r="I700" s="3" t="n">
        <v>653.16</v>
      </c>
      <c r="J700" s="3" t="n">
        <v>1007.95</v>
      </c>
      <c r="K700" s="3" t="n">
        <v>2250.76</v>
      </c>
      <c r="L700" s="3" t="n">
        <v>1120.89</v>
      </c>
      <c r="M700" s="2" t="n">
        <v>11.7</v>
      </c>
      <c r="N700" s="2" t="s">
        <v>27</v>
      </c>
      <c r="O700" s="4" t="n">
        <f aca="false">VLOOKUP(F700,DIM_SERVICO!$A$2:$D$151,4,FALSE())</f>
        <v>1007.95</v>
      </c>
      <c r="P700" s="4" t="n">
        <f aca="false">VLOOKUP(E700,DIM_PECA!$A$2:$F$501,6,FALSE())</f>
        <v>414.27</v>
      </c>
      <c r="Q700" s="4" t="n">
        <f aca="false">VLOOKUP(E700,DIM_PECA!$A$2:$F$501,5,FALSE())</f>
        <v>217.72</v>
      </c>
      <c r="R700" s="4" t="n">
        <f aca="false">H700*P700</f>
        <v>1242.81</v>
      </c>
      <c r="S700" s="4" t="n">
        <f aca="false">O700*M700</f>
        <v>11793.015</v>
      </c>
      <c r="T700" s="4" t="n">
        <f aca="false">R700+S700</f>
        <v>13035.825</v>
      </c>
      <c r="U700" s="4" t="n">
        <f aca="false">T700-K700</f>
        <v>10785.065</v>
      </c>
      <c r="V700" s="4" t="n">
        <f aca="false">R700+S700-U700</f>
        <v>2250.76</v>
      </c>
      <c r="W700" s="5" t="str">
        <f aca="false">IF(ROUND(V700-K700,2)=0,"OK","ERRO")</f>
        <v>OK</v>
      </c>
      <c r="X700" s="5" t="str">
        <f aca="false">VLOOKUP(F700,DIM_SERVICO!$A$2:$D$151,3,FALSE())</f>
        <v>Revisão</v>
      </c>
    </row>
    <row r="701" customFormat="false" ht="15" hidden="false" customHeight="false" outlineLevel="0" collapsed="false">
      <c r="A701" s="6" t="n">
        <v>700</v>
      </c>
      <c r="B701" s="6" t="n">
        <v>378</v>
      </c>
      <c r="C701" s="6" t="n">
        <v>332</v>
      </c>
      <c r="D701" s="6" t="n">
        <v>943</v>
      </c>
      <c r="E701" s="6" t="n">
        <v>329</v>
      </c>
      <c r="F701" s="6" t="n">
        <v>18</v>
      </c>
      <c r="G701" s="6" t="n">
        <v>893</v>
      </c>
      <c r="H701" s="6" t="n">
        <v>2</v>
      </c>
      <c r="I701" s="7" t="n">
        <v>1042.2</v>
      </c>
      <c r="J701" s="7" t="n">
        <v>1667.15</v>
      </c>
      <c r="K701" s="7" t="n">
        <v>3426.25</v>
      </c>
      <c r="L701" s="7" t="n">
        <v>1749.73</v>
      </c>
      <c r="M701" s="6" t="n">
        <v>6.2</v>
      </c>
      <c r="N701" s="6" t="s">
        <v>24</v>
      </c>
      <c r="O701" s="8" t="n">
        <f aca="false">VLOOKUP(F701,DIM_SERVICO!$A$2:$D$151,4,FALSE())</f>
        <v>1667.15</v>
      </c>
      <c r="P701" s="8" t="n">
        <f aca="false">VLOOKUP(E701,DIM_PECA!$A$2:$F$501,6,FALSE())</f>
        <v>914.51</v>
      </c>
      <c r="Q701" s="8" t="n">
        <f aca="false">VLOOKUP(E701,DIM_PECA!$A$2:$F$501,5,FALSE())</f>
        <v>521.1</v>
      </c>
      <c r="R701" s="8" t="n">
        <f aca="false">H701*P701</f>
        <v>1829.02</v>
      </c>
      <c r="S701" s="8" t="n">
        <f aca="false">O701*M701</f>
        <v>10336.33</v>
      </c>
      <c r="T701" s="8" t="n">
        <f aca="false">R701+S701</f>
        <v>12165.35</v>
      </c>
      <c r="U701" s="8" t="n">
        <f aca="false">T701-K701</f>
        <v>8739.1</v>
      </c>
      <c r="V701" s="8" t="n">
        <f aca="false">R701+S701-U701</f>
        <v>3426.25</v>
      </c>
      <c r="W701" s="9" t="str">
        <f aca="false">IF(ROUND(V701-K701,2)=0,"OK","ERRO")</f>
        <v>OK</v>
      </c>
      <c r="X701" s="9" t="str">
        <f aca="false">VLOOKUP(F701,DIM_SERVICO!$A$2:$D$151,3,FALSE())</f>
        <v>Elétrica</v>
      </c>
    </row>
    <row r="702" customFormat="false" ht="15" hidden="false" customHeight="false" outlineLevel="0" collapsed="false">
      <c r="A702" s="2" t="n">
        <v>701</v>
      </c>
      <c r="B702" s="2" t="n">
        <v>540</v>
      </c>
      <c r="C702" s="2" t="n">
        <v>176</v>
      </c>
      <c r="D702" s="2" t="n">
        <v>53</v>
      </c>
      <c r="E702" s="2" t="n">
        <v>359</v>
      </c>
      <c r="F702" s="2" t="n">
        <v>129</v>
      </c>
      <c r="G702" s="2" t="n">
        <v>1005</v>
      </c>
      <c r="H702" s="2" t="n">
        <v>2</v>
      </c>
      <c r="I702" s="3" t="n">
        <v>1036.1</v>
      </c>
      <c r="J702" s="3" t="n">
        <v>404</v>
      </c>
      <c r="K702" s="3" t="n">
        <v>2299.53</v>
      </c>
      <c r="L702" s="3" t="n">
        <v>1098.87</v>
      </c>
      <c r="M702" s="2" t="n">
        <v>11.5</v>
      </c>
      <c r="N702" s="2" t="s">
        <v>24</v>
      </c>
      <c r="O702" s="4" t="n">
        <f aca="false">VLOOKUP(F702,DIM_SERVICO!$A$2:$D$151,4,FALSE())</f>
        <v>404</v>
      </c>
      <c r="P702" s="4" t="n">
        <f aca="false">VLOOKUP(E702,DIM_PECA!$A$2:$F$501,6,FALSE())</f>
        <v>971.23</v>
      </c>
      <c r="Q702" s="4" t="n">
        <f aca="false">VLOOKUP(E702,DIM_PECA!$A$2:$F$501,5,FALSE())</f>
        <v>518.05</v>
      </c>
      <c r="R702" s="4" t="n">
        <f aca="false">H702*P702</f>
        <v>1942.46</v>
      </c>
      <c r="S702" s="4" t="n">
        <f aca="false">O702*M702</f>
        <v>4646</v>
      </c>
      <c r="T702" s="4" t="n">
        <f aca="false">R702+S702</f>
        <v>6588.46</v>
      </c>
      <c r="U702" s="4" t="n">
        <f aca="false">T702-K702</f>
        <v>4288.93</v>
      </c>
      <c r="V702" s="4" t="n">
        <f aca="false">R702+S702-U702</f>
        <v>2299.53</v>
      </c>
      <c r="W702" s="5" t="str">
        <f aca="false">IF(ROUND(V702-K702,2)=0,"OK","ERRO")</f>
        <v>OK</v>
      </c>
      <c r="X702" s="5" t="str">
        <f aca="false">VLOOKUP(F702,DIM_SERVICO!$A$2:$D$151,3,FALSE())</f>
        <v>Diagnóstico</v>
      </c>
    </row>
    <row r="703" customFormat="false" ht="15" hidden="false" customHeight="false" outlineLevel="0" collapsed="false">
      <c r="A703" s="6" t="n">
        <v>702</v>
      </c>
      <c r="B703" s="6" t="n">
        <v>237</v>
      </c>
      <c r="C703" s="6" t="n">
        <v>764</v>
      </c>
      <c r="D703" s="6" t="n">
        <v>1048</v>
      </c>
      <c r="E703" s="6" t="n">
        <v>41</v>
      </c>
      <c r="F703" s="6" t="n">
        <v>90</v>
      </c>
      <c r="G703" s="6" t="n">
        <v>1518</v>
      </c>
      <c r="H703" s="6" t="n">
        <v>4</v>
      </c>
      <c r="I703" s="7" t="n">
        <v>4772.72</v>
      </c>
      <c r="J703" s="7" t="n">
        <v>702.32</v>
      </c>
      <c r="K703" s="7" t="n">
        <v>6629.29</v>
      </c>
      <c r="L703" s="7" t="n">
        <v>1530.33</v>
      </c>
      <c r="M703" s="6" t="n">
        <v>10.1</v>
      </c>
      <c r="N703" s="6" t="s">
        <v>27</v>
      </c>
      <c r="O703" s="8" t="n">
        <f aca="false">VLOOKUP(F703,DIM_SERVICO!$A$2:$D$151,4,FALSE())</f>
        <v>702.32</v>
      </c>
      <c r="P703" s="8" t="n">
        <f aca="false">VLOOKUP(E703,DIM_PECA!$A$2:$F$501,6,FALSE())</f>
        <v>1665.89</v>
      </c>
      <c r="Q703" s="8" t="n">
        <f aca="false">VLOOKUP(E703,DIM_PECA!$A$2:$F$501,5,FALSE())</f>
        <v>1193.18</v>
      </c>
      <c r="R703" s="8" t="n">
        <f aca="false">H703*P703</f>
        <v>6663.56</v>
      </c>
      <c r="S703" s="8" t="n">
        <f aca="false">O703*M703</f>
        <v>7093.432</v>
      </c>
      <c r="T703" s="8" t="n">
        <f aca="false">R703+S703</f>
        <v>13756.992</v>
      </c>
      <c r="U703" s="8" t="n">
        <f aca="false">T703-K703</f>
        <v>7127.702</v>
      </c>
      <c r="V703" s="8" t="n">
        <f aca="false">R703+S703-U703</f>
        <v>6629.29</v>
      </c>
      <c r="W703" s="9" t="str">
        <f aca="false">IF(ROUND(V703-K703,2)=0,"OK","ERRO")</f>
        <v>OK</v>
      </c>
      <c r="X703" s="9" t="str">
        <f aca="false">VLOOKUP(F703,DIM_SERVICO!$A$2:$D$151,3,FALSE())</f>
        <v>Diagnóstico</v>
      </c>
    </row>
    <row r="704" customFormat="false" ht="15" hidden="false" customHeight="false" outlineLevel="0" collapsed="false">
      <c r="A704" s="2" t="n">
        <v>703</v>
      </c>
      <c r="B704" s="2" t="n">
        <v>678</v>
      </c>
      <c r="C704" s="2" t="n">
        <v>173</v>
      </c>
      <c r="D704" s="2" t="n">
        <v>693</v>
      </c>
      <c r="E704" s="2" t="n">
        <v>174</v>
      </c>
      <c r="F704" s="2" t="n">
        <v>87</v>
      </c>
      <c r="G704" s="2" t="n">
        <v>187</v>
      </c>
      <c r="H704" s="2" t="n">
        <v>3</v>
      </c>
      <c r="I704" s="3" t="n">
        <v>2172.9</v>
      </c>
      <c r="J704" s="3" t="n">
        <v>1231.26</v>
      </c>
      <c r="K704" s="3" t="n">
        <v>4937.48</v>
      </c>
      <c r="L704" s="3" t="n">
        <v>2245.66</v>
      </c>
      <c r="M704" s="2" t="n">
        <v>4.7</v>
      </c>
      <c r="N704" s="2" t="s">
        <v>26</v>
      </c>
      <c r="O704" s="4" t="n">
        <f aca="false">VLOOKUP(F704,DIM_SERVICO!$A$2:$D$151,4,FALSE())</f>
        <v>1231.26</v>
      </c>
      <c r="P704" s="4" t="n">
        <f aca="false">VLOOKUP(E704,DIM_PECA!$A$2:$F$501,6,FALSE())</f>
        <v>1322.03</v>
      </c>
      <c r="Q704" s="4" t="n">
        <f aca="false">VLOOKUP(E704,DIM_PECA!$A$2:$F$501,5,FALSE())</f>
        <v>724.3</v>
      </c>
      <c r="R704" s="4" t="n">
        <f aca="false">H704*P704</f>
        <v>3966.09</v>
      </c>
      <c r="S704" s="4" t="n">
        <f aca="false">O704*M704</f>
        <v>5786.922</v>
      </c>
      <c r="T704" s="4" t="n">
        <f aca="false">R704+S704</f>
        <v>9753.012</v>
      </c>
      <c r="U704" s="4" t="n">
        <f aca="false">T704-K704</f>
        <v>4815.532</v>
      </c>
      <c r="V704" s="4" t="n">
        <f aca="false">R704+S704-U704</f>
        <v>4937.48</v>
      </c>
      <c r="W704" s="5" t="str">
        <f aca="false">IF(ROUND(V704-K704,2)=0,"OK","ERRO")</f>
        <v>OK</v>
      </c>
      <c r="X704" s="5" t="str">
        <f aca="false">VLOOKUP(F704,DIM_SERVICO!$A$2:$D$151,3,FALSE())</f>
        <v>Elétrica</v>
      </c>
    </row>
    <row r="705" customFormat="false" ht="15" hidden="false" customHeight="false" outlineLevel="0" collapsed="false">
      <c r="A705" s="6" t="n">
        <v>704</v>
      </c>
      <c r="B705" s="6" t="n">
        <v>1282</v>
      </c>
      <c r="C705" s="6" t="n">
        <v>1276</v>
      </c>
      <c r="D705" s="6" t="n">
        <v>780</v>
      </c>
      <c r="E705" s="6" t="n">
        <v>132</v>
      </c>
      <c r="F705" s="6" t="n">
        <v>64</v>
      </c>
      <c r="G705" s="6" t="n">
        <v>1284</v>
      </c>
      <c r="H705" s="6" t="n">
        <v>3</v>
      </c>
      <c r="I705" s="7" t="n">
        <v>2498.43</v>
      </c>
      <c r="J705" s="7" t="n">
        <v>1447.78</v>
      </c>
      <c r="K705" s="7" t="n">
        <v>6590.17</v>
      </c>
      <c r="L705" s="7" t="n">
        <v>3545.14</v>
      </c>
      <c r="M705" s="6" t="n">
        <v>2.8</v>
      </c>
      <c r="N705" s="6" t="s">
        <v>24</v>
      </c>
      <c r="O705" s="8" t="n">
        <f aca="false">VLOOKUP(F705,DIM_SERVICO!$A$2:$D$151,4,FALSE())</f>
        <v>1447.78</v>
      </c>
      <c r="P705" s="8" t="n">
        <f aca="false">VLOOKUP(E705,DIM_PECA!$A$2:$F$501,6,FALSE())</f>
        <v>1714.13</v>
      </c>
      <c r="Q705" s="8" t="n">
        <f aca="false">VLOOKUP(E705,DIM_PECA!$A$2:$F$501,5,FALSE())</f>
        <v>832.81</v>
      </c>
      <c r="R705" s="8" t="n">
        <f aca="false">H705*P705</f>
        <v>5142.39</v>
      </c>
      <c r="S705" s="8" t="n">
        <f aca="false">O705*M705</f>
        <v>4053.784</v>
      </c>
      <c r="T705" s="8" t="n">
        <f aca="false">R705+S705</f>
        <v>9196.174</v>
      </c>
      <c r="U705" s="8" t="n">
        <f aca="false">T705-K705</f>
        <v>2606.004</v>
      </c>
      <c r="V705" s="8" t="n">
        <f aca="false">R705+S705-U705</f>
        <v>6590.17</v>
      </c>
      <c r="W705" s="9" t="str">
        <f aca="false">IF(ROUND(V705-K705,2)=0,"OK","ERRO")</f>
        <v>OK</v>
      </c>
      <c r="X705" s="9" t="str">
        <f aca="false">VLOOKUP(F705,DIM_SERVICO!$A$2:$D$151,3,FALSE())</f>
        <v>Pintura</v>
      </c>
    </row>
    <row r="706" customFormat="false" ht="15" hidden="false" customHeight="false" outlineLevel="0" collapsed="false">
      <c r="A706" s="2" t="n">
        <v>705</v>
      </c>
      <c r="B706" s="2" t="n">
        <v>844</v>
      </c>
      <c r="C706" s="2" t="n">
        <v>1130</v>
      </c>
      <c r="D706" s="2" t="n">
        <v>549</v>
      </c>
      <c r="E706" s="2" t="n">
        <v>73</v>
      </c>
      <c r="F706" s="2" t="n">
        <v>68</v>
      </c>
      <c r="G706" s="2" t="n">
        <v>1592</v>
      </c>
      <c r="H706" s="2" t="n">
        <v>4</v>
      </c>
      <c r="I706" s="3" t="n">
        <v>1563.48</v>
      </c>
      <c r="J706" s="3" t="n">
        <v>1974.4</v>
      </c>
      <c r="K706" s="3" t="n">
        <v>4804.61</v>
      </c>
      <c r="L706" s="3" t="n">
        <v>2285.52</v>
      </c>
      <c r="M706" s="2" t="n">
        <v>6.6</v>
      </c>
      <c r="N706" s="2" t="s">
        <v>25</v>
      </c>
      <c r="O706" s="4" t="n">
        <f aca="false">VLOOKUP(F706,DIM_SERVICO!$A$2:$D$151,4,FALSE())</f>
        <v>1974.4</v>
      </c>
      <c r="P706" s="4" t="n">
        <f aca="false">VLOOKUP(E706,DIM_PECA!$A$2:$F$501,6,FALSE())</f>
        <v>812</v>
      </c>
      <c r="Q706" s="4" t="n">
        <f aca="false">VLOOKUP(E706,DIM_PECA!$A$2:$F$501,5,FALSE())</f>
        <v>390.87</v>
      </c>
      <c r="R706" s="4" t="n">
        <f aca="false">H706*P706</f>
        <v>3248</v>
      </c>
      <c r="S706" s="4" t="n">
        <f aca="false">O706*M706</f>
        <v>13031.04</v>
      </c>
      <c r="T706" s="4" t="n">
        <f aca="false">R706+S706</f>
        <v>16279.04</v>
      </c>
      <c r="U706" s="4" t="n">
        <f aca="false">T706-K706</f>
        <v>11474.43</v>
      </c>
      <c r="V706" s="4" t="n">
        <f aca="false">R706+S706-U706</f>
        <v>4804.61</v>
      </c>
      <c r="W706" s="5" t="str">
        <f aca="false">IF(ROUND(V706-K706,2)=0,"OK","ERRO")</f>
        <v>OK</v>
      </c>
      <c r="X706" s="5" t="str">
        <f aca="false">VLOOKUP(F706,DIM_SERVICO!$A$2:$D$151,3,FALSE())</f>
        <v>Suspensão</v>
      </c>
    </row>
    <row r="707" customFormat="false" ht="15" hidden="false" customHeight="false" outlineLevel="0" collapsed="false">
      <c r="A707" s="6" t="n">
        <v>706</v>
      </c>
      <c r="B707" s="6" t="n">
        <v>1317</v>
      </c>
      <c r="C707" s="6" t="n">
        <v>1359</v>
      </c>
      <c r="D707" s="6" t="n">
        <v>294</v>
      </c>
      <c r="E707" s="6" t="n">
        <v>12</v>
      </c>
      <c r="F707" s="6" t="n">
        <v>40</v>
      </c>
      <c r="G707" s="6" t="n">
        <v>1265</v>
      </c>
      <c r="H707" s="6" t="n">
        <v>1</v>
      </c>
      <c r="I707" s="7" t="n">
        <v>448.12</v>
      </c>
      <c r="J707" s="7" t="n">
        <v>1973.77</v>
      </c>
      <c r="K707" s="7" t="n">
        <v>2378.41</v>
      </c>
      <c r="L707" s="7" t="n">
        <v>872.67</v>
      </c>
      <c r="M707" s="6" t="n">
        <v>4.9</v>
      </c>
      <c r="N707" s="6" t="s">
        <v>24</v>
      </c>
      <c r="O707" s="8" t="n">
        <f aca="false">VLOOKUP(F707,DIM_SERVICO!$A$2:$D$151,4,FALSE())</f>
        <v>1973.77</v>
      </c>
      <c r="P707" s="8" t="n">
        <f aca="false">VLOOKUP(E707,DIM_PECA!$A$2:$F$501,6,FALSE())</f>
        <v>611.46</v>
      </c>
      <c r="Q707" s="8" t="n">
        <f aca="false">VLOOKUP(E707,DIM_PECA!$A$2:$F$501,5,FALSE())</f>
        <v>448.12</v>
      </c>
      <c r="R707" s="8" t="n">
        <f aca="false">H707*P707</f>
        <v>611.46</v>
      </c>
      <c r="S707" s="8" t="n">
        <f aca="false">O707*M707</f>
        <v>9671.473</v>
      </c>
      <c r="T707" s="8" t="n">
        <f aca="false">R707+S707</f>
        <v>10282.933</v>
      </c>
      <c r="U707" s="8" t="n">
        <f aca="false">T707-K707</f>
        <v>7904.523</v>
      </c>
      <c r="V707" s="8" t="n">
        <f aca="false">R707+S707-U707</f>
        <v>2378.41</v>
      </c>
      <c r="W707" s="9" t="str">
        <f aca="false">IF(ROUND(V707-K707,2)=0,"OK","ERRO")</f>
        <v>OK</v>
      </c>
      <c r="X707" s="9" t="str">
        <f aca="false">VLOOKUP(F707,DIM_SERVICO!$A$2:$D$151,3,FALSE())</f>
        <v>Elétrica</v>
      </c>
    </row>
    <row r="708" customFormat="false" ht="15" hidden="false" customHeight="false" outlineLevel="0" collapsed="false">
      <c r="A708" s="2" t="n">
        <v>707</v>
      </c>
      <c r="B708" s="2" t="n">
        <v>357</v>
      </c>
      <c r="C708" s="2" t="n">
        <v>218</v>
      </c>
      <c r="D708" s="2" t="n">
        <v>1168</v>
      </c>
      <c r="E708" s="2" t="n">
        <v>332</v>
      </c>
      <c r="F708" s="2" t="n">
        <v>63</v>
      </c>
      <c r="G708" s="2" t="n">
        <v>1473</v>
      </c>
      <c r="H708" s="2" t="n">
        <v>3</v>
      </c>
      <c r="I708" s="3" t="n">
        <v>812.01</v>
      </c>
      <c r="J708" s="3" t="n">
        <v>263.48</v>
      </c>
      <c r="K708" s="3" t="n">
        <v>1946.36</v>
      </c>
      <c r="L708" s="3" t="n">
        <v>1040.41</v>
      </c>
      <c r="M708" s="2" t="n">
        <v>4.4</v>
      </c>
      <c r="N708" s="2" t="s">
        <v>27</v>
      </c>
      <c r="O708" s="4" t="n">
        <f aca="false">VLOOKUP(F708,DIM_SERVICO!$A$2:$D$151,4,FALSE())</f>
        <v>263.48</v>
      </c>
      <c r="P708" s="4" t="n">
        <f aca="false">VLOOKUP(E708,DIM_PECA!$A$2:$F$501,6,FALSE())</f>
        <v>560.96</v>
      </c>
      <c r="Q708" s="4" t="n">
        <f aca="false">VLOOKUP(E708,DIM_PECA!$A$2:$F$501,5,FALSE())</f>
        <v>270.67</v>
      </c>
      <c r="R708" s="4" t="n">
        <f aca="false">H708*P708</f>
        <v>1682.88</v>
      </c>
      <c r="S708" s="4" t="n">
        <f aca="false">O708*M708</f>
        <v>1159.312</v>
      </c>
      <c r="T708" s="4" t="n">
        <f aca="false">R708+S708</f>
        <v>2842.192</v>
      </c>
      <c r="U708" s="4" t="n">
        <f aca="false">T708-K708</f>
        <v>895.832</v>
      </c>
      <c r="V708" s="4" t="n">
        <f aca="false">R708+S708-U708</f>
        <v>1946.36</v>
      </c>
      <c r="W708" s="5" t="str">
        <f aca="false">IF(ROUND(V708-K708,2)=0,"OK","ERRO")</f>
        <v>OK</v>
      </c>
      <c r="X708" s="5" t="str">
        <f aca="false">VLOOKUP(F708,DIM_SERVICO!$A$2:$D$151,3,FALSE())</f>
        <v>Funilaria</v>
      </c>
    </row>
    <row r="709" customFormat="false" ht="15" hidden="false" customHeight="false" outlineLevel="0" collapsed="false">
      <c r="A709" s="6" t="n">
        <v>708</v>
      </c>
      <c r="B709" s="6" t="n">
        <v>329</v>
      </c>
      <c r="C709" s="6" t="n">
        <v>1005</v>
      </c>
      <c r="D709" s="6" t="n">
        <v>927</v>
      </c>
      <c r="E709" s="6" t="n">
        <v>386</v>
      </c>
      <c r="F709" s="6" t="n">
        <v>29</v>
      </c>
      <c r="G709" s="6" t="n">
        <v>501</v>
      </c>
      <c r="H709" s="6" t="n">
        <v>1</v>
      </c>
      <c r="I709" s="7" t="n">
        <v>561.49</v>
      </c>
      <c r="J709" s="7" t="n">
        <v>223.62</v>
      </c>
      <c r="K709" s="7" t="n">
        <v>1252.35</v>
      </c>
      <c r="L709" s="7" t="n">
        <v>596.36</v>
      </c>
      <c r="M709" s="6" t="n">
        <v>10.4</v>
      </c>
      <c r="N709" s="6" t="s">
        <v>26</v>
      </c>
      <c r="O709" s="8" t="n">
        <f aca="false">VLOOKUP(F709,DIM_SERVICO!$A$2:$D$151,4,FALSE())</f>
        <v>223.62</v>
      </c>
      <c r="P709" s="8" t="n">
        <f aca="false">VLOOKUP(E709,DIM_PECA!$A$2:$F$501,6,FALSE())</f>
        <v>1028.73</v>
      </c>
      <c r="Q709" s="8" t="n">
        <f aca="false">VLOOKUP(E709,DIM_PECA!$A$2:$F$501,5,FALSE())</f>
        <v>561.49</v>
      </c>
      <c r="R709" s="8" t="n">
        <f aca="false">H709*P709</f>
        <v>1028.73</v>
      </c>
      <c r="S709" s="8" t="n">
        <f aca="false">O709*M709</f>
        <v>2325.648</v>
      </c>
      <c r="T709" s="8" t="n">
        <f aca="false">R709+S709</f>
        <v>3354.378</v>
      </c>
      <c r="U709" s="8" t="n">
        <f aca="false">T709-K709</f>
        <v>2102.028</v>
      </c>
      <c r="V709" s="8" t="n">
        <f aca="false">R709+S709-U709</f>
        <v>1252.35</v>
      </c>
      <c r="W709" s="9" t="str">
        <f aca="false">IF(ROUND(V709-K709,2)=0,"OK","ERRO")</f>
        <v>OK</v>
      </c>
      <c r="X709" s="9" t="str">
        <f aca="false">VLOOKUP(F709,DIM_SERVICO!$A$2:$D$151,3,FALSE())</f>
        <v>Diagnóstico</v>
      </c>
    </row>
    <row r="710" customFormat="false" ht="15" hidden="false" customHeight="false" outlineLevel="0" collapsed="false">
      <c r="A710" s="2" t="n">
        <v>709</v>
      </c>
      <c r="B710" s="2" t="n">
        <v>898</v>
      </c>
      <c r="C710" s="2" t="n">
        <v>281</v>
      </c>
      <c r="D710" s="2" t="n">
        <v>692</v>
      </c>
      <c r="E710" s="2" t="n">
        <v>117</v>
      </c>
      <c r="F710" s="2" t="n">
        <v>16</v>
      </c>
      <c r="G710" s="2" t="n">
        <v>448</v>
      </c>
      <c r="H710" s="2" t="n">
        <v>1</v>
      </c>
      <c r="I710" s="3" t="n">
        <v>610.1</v>
      </c>
      <c r="J710" s="3" t="n">
        <v>266.12</v>
      </c>
      <c r="K710" s="3" t="n">
        <v>1364.94</v>
      </c>
      <c r="L710" s="3" t="n">
        <v>646.76</v>
      </c>
      <c r="M710" s="2" t="n">
        <v>3</v>
      </c>
      <c r="N710" s="2" t="s">
        <v>24</v>
      </c>
      <c r="O710" s="4" t="n">
        <f aca="false">VLOOKUP(F710,DIM_SERVICO!$A$2:$D$151,4,FALSE())</f>
        <v>266.12</v>
      </c>
      <c r="P710" s="4" t="n">
        <f aca="false">VLOOKUP(E710,DIM_PECA!$A$2:$F$501,6,FALSE())</f>
        <v>1098.82</v>
      </c>
      <c r="Q710" s="4" t="n">
        <f aca="false">VLOOKUP(E710,DIM_PECA!$A$2:$F$501,5,FALSE())</f>
        <v>610.1</v>
      </c>
      <c r="R710" s="4" t="n">
        <f aca="false">H710*P710</f>
        <v>1098.82</v>
      </c>
      <c r="S710" s="4" t="n">
        <f aca="false">O710*M710</f>
        <v>798.36</v>
      </c>
      <c r="T710" s="4" t="n">
        <f aca="false">R710+S710</f>
        <v>1897.18</v>
      </c>
      <c r="U710" s="4" t="n">
        <f aca="false">T710-K710</f>
        <v>532.24</v>
      </c>
      <c r="V710" s="4" t="n">
        <f aca="false">R710+S710-U710</f>
        <v>1364.94</v>
      </c>
      <c r="W710" s="5" t="str">
        <f aca="false">IF(ROUND(V710-K710,2)=0,"OK","ERRO")</f>
        <v>OK</v>
      </c>
      <c r="X710" s="5" t="str">
        <f aca="false">VLOOKUP(F710,DIM_SERVICO!$A$2:$D$151,3,FALSE())</f>
        <v>Funilaria</v>
      </c>
    </row>
    <row r="711" customFormat="false" ht="15" hidden="false" customHeight="false" outlineLevel="0" collapsed="false">
      <c r="A711" s="6" t="n">
        <v>710</v>
      </c>
      <c r="B711" s="6" t="n">
        <v>331</v>
      </c>
      <c r="C711" s="6" t="n">
        <v>32</v>
      </c>
      <c r="D711" s="6" t="n">
        <v>207</v>
      </c>
      <c r="E711" s="6" t="n">
        <v>58</v>
      </c>
      <c r="F711" s="6" t="n">
        <v>54</v>
      </c>
      <c r="G711" s="6" t="n">
        <v>135</v>
      </c>
      <c r="H711" s="6" t="n">
        <v>3</v>
      </c>
      <c r="I711" s="7" t="n">
        <v>3326.58</v>
      </c>
      <c r="J711" s="7" t="n">
        <v>952.31</v>
      </c>
      <c r="K711" s="7" t="n">
        <v>6636.63</v>
      </c>
      <c r="L711" s="7" t="n">
        <v>2919.15</v>
      </c>
      <c r="M711" s="6" t="n">
        <v>2.6</v>
      </c>
      <c r="N711" s="6" t="s">
        <v>24</v>
      </c>
      <c r="O711" s="8" t="n">
        <f aca="false">VLOOKUP(F711,DIM_SERVICO!$A$2:$D$151,4,FALSE())</f>
        <v>952.31</v>
      </c>
      <c r="P711" s="8" t="n">
        <f aca="false">VLOOKUP(E711,DIM_PECA!$A$2:$F$501,6,FALSE())</f>
        <v>1939.92</v>
      </c>
      <c r="Q711" s="8" t="n">
        <f aca="false">VLOOKUP(E711,DIM_PECA!$A$2:$F$501,5,FALSE())</f>
        <v>1108.86</v>
      </c>
      <c r="R711" s="8" t="n">
        <f aca="false">H711*P711</f>
        <v>5819.76</v>
      </c>
      <c r="S711" s="8" t="n">
        <f aca="false">O711*M711</f>
        <v>2476.006</v>
      </c>
      <c r="T711" s="8" t="n">
        <f aca="false">R711+S711</f>
        <v>8295.766</v>
      </c>
      <c r="U711" s="8" t="n">
        <f aca="false">T711-K711</f>
        <v>1659.136</v>
      </c>
      <c r="V711" s="8" t="n">
        <f aca="false">R711+S711-U711</f>
        <v>6636.63</v>
      </c>
      <c r="W711" s="9" t="str">
        <f aca="false">IF(ROUND(V711-K711,2)=0,"OK","ERRO")</f>
        <v>OK</v>
      </c>
      <c r="X711" s="9" t="str">
        <f aca="false">VLOOKUP(F711,DIM_SERVICO!$A$2:$D$151,3,FALSE())</f>
        <v>Revisão</v>
      </c>
    </row>
    <row r="712" customFormat="false" ht="15" hidden="false" customHeight="false" outlineLevel="0" collapsed="false">
      <c r="A712" s="2" t="n">
        <v>711</v>
      </c>
      <c r="B712" s="2" t="n">
        <v>3</v>
      </c>
      <c r="C712" s="2" t="n">
        <v>578</v>
      </c>
      <c r="D712" s="2" t="n">
        <v>449</v>
      </c>
      <c r="E712" s="2" t="n">
        <v>239</v>
      </c>
      <c r="F712" s="2" t="n">
        <v>123</v>
      </c>
      <c r="G712" s="2" t="n">
        <v>1029</v>
      </c>
      <c r="H712" s="2" t="n">
        <v>1</v>
      </c>
      <c r="I712" s="3" t="n">
        <v>216.92</v>
      </c>
      <c r="J712" s="3" t="n">
        <v>2023.84</v>
      </c>
      <c r="K712" s="3" t="n">
        <v>2152.43</v>
      </c>
      <c r="L712" s="3" t="n">
        <v>1076.87</v>
      </c>
      <c r="M712" s="2" t="n">
        <v>10.9</v>
      </c>
      <c r="N712" s="2" t="s">
        <v>27</v>
      </c>
      <c r="O712" s="4" t="n">
        <f aca="false">VLOOKUP(F712,DIM_SERVICO!$A$2:$D$151,4,FALSE())</f>
        <v>2023.84</v>
      </c>
      <c r="P712" s="4" t="n">
        <f aca="false">VLOOKUP(E712,DIM_PECA!$A$2:$F$501,6,FALSE())</f>
        <v>367.75</v>
      </c>
      <c r="Q712" s="4" t="n">
        <f aca="false">VLOOKUP(E712,DIM_PECA!$A$2:$F$501,5,FALSE())</f>
        <v>216.92</v>
      </c>
      <c r="R712" s="4" t="n">
        <f aca="false">H712*P712</f>
        <v>367.75</v>
      </c>
      <c r="S712" s="4" t="n">
        <f aca="false">O712*M712</f>
        <v>22059.856</v>
      </c>
      <c r="T712" s="4" t="n">
        <f aca="false">R712+S712</f>
        <v>22427.606</v>
      </c>
      <c r="U712" s="4" t="n">
        <f aca="false">T712-K712</f>
        <v>20275.176</v>
      </c>
      <c r="V712" s="4" t="n">
        <f aca="false">R712+S712-U712</f>
        <v>2152.43</v>
      </c>
      <c r="W712" s="5" t="str">
        <f aca="false">IF(ROUND(V712-K712,2)=0,"OK","ERRO")</f>
        <v>OK</v>
      </c>
      <c r="X712" s="5" t="str">
        <f aca="false">VLOOKUP(F712,DIM_SERVICO!$A$2:$D$151,3,FALSE())</f>
        <v>Diagnóstico</v>
      </c>
    </row>
    <row r="713" customFormat="false" ht="15" hidden="false" customHeight="false" outlineLevel="0" collapsed="false">
      <c r="A713" s="6" t="n">
        <v>712</v>
      </c>
      <c r="B713" s="6" t="n">
        <v>621</v>
      </c>
      <c r="C713" s="6" t="n">
        <v>283</v>
      </c>
      <c r="D713" s="6" t="n">
        <v>237</v>
      </c>
      <c r="E713" s="6" t="n">
        <v>457</v>
      </c>
      <c r="F713" s="6" t="n">
        <v>123</v>
      </c>
      <c r="G713" s="6" t="n">
        <v>972</v>
      </c>
      <c r="H713" s="6" t="n">
        <v>1</v>
      </c>
      <c r="I713" s="7" t="n">
        <v>136.18</v>
      </c>
      <c r="J713" s="7" t="n">
        <v>2023.84</v>
      </c>
      <c r="K713" s="7" t="n">
        <v>2104.22</v>
      </c>
      <c r="L713" s="7" t="n">
        <v>1208.34</v>
      </c>
      <c r="M713" s="6" t="n">
        <v>9</v>
      </c>
      <c r="N713" s="6" t="s">
        <v>24</v>
      </c>
      <c r="O713" s="8" t="n">
        <f aca="false">VLOOKUP(F713,DIM_SERVICO!$A$2:$D$151,4,FALSE())</f>
        <v>2023.84</v>
      </c>
      <c r="P713" s="8" t="n">
        <f aca="false">VLOOKUP(E713,DIM_PECA!$A$2:$F$501,6,FALSE())</f>
        <v>263.36</v>
      </c>
      <c r="Q713" s="8" t="n">
        <f aca="false">VLOOKUP(E713,DIM_PECA!$A$2:$F$501,5,FALSE())</f>
        <v>136.18</v>
      </c>
      <c r="R713" s="8" t="n">
        <f aca="false">H713*P713</f>
        <v>263.36</v>
      </c>
      <c r="S713" s="8" t="n">
        <f aca="false">O713*M713</f>
        <v>18214.56</v>
      </c>
      <c r="T713" s="8" t="n">
        <f aca="false">R713+S713</f>
        <v>18477.92</v>
      </c>
      <c r="U713" s="8" t="n">
        <f aca="false">T713-K713</f>
        <v>16373.7</v>
      </c>
      <c r="V713" s="8" t="n">
        <f aca="false">R713+S713-U713</f>
        <v>2104.22</v>
      </c>
      <c r="W713" s="9" t="str">
        <f aca="false">IF(ROUND(V713-K713,2)=0,"OK","ERRO")</f>
        <v>OK</v>
      </c>
      <c r="X713" s="9" t="str">
        <f aca="false">VLOOKUP(F713,DIM_SERVICO!$A$2:$D$151,3,FALSE())</f>
        <v>Diagnóstico</v>
      </c>
    </row>
    <row r="714" customFormat="false" ht="15" hidden="false" customHeight="false" outlineLevel="0" collapsed="false">
      <c r="A714" s="2" t="n">
        <v>713</v>
      </c>
      <c r="B714" s="2" t="n">
        <v>296</v>
      </c>
      <c r="C714" s="2" t="n">
        <v>1154</v>
      </c>
      <c r="D714" s="2" t="n">
        <v>844</v>
      </c>
      <c r="E714" s="2" t="n">
        <v>205</v>
      </c>
      <c r="F714" s="2" t="n">
        <v>122</v>
      </c>
      <c r="G714" s="2" t="n">
        <v>1255</v>
      </c>
      <c r="H714" s="2" t="n">
        <v>4</v>
      </c>
      <c r="I714" s="3" t="n">
        <v>674.24</v>
      </c>
      <c r="J714" s="3" t="n">
        <v>1850.29</v>
      </c>
      <c r="K714" s="3" t="n">
        <v>2791.07</v>
      </c>
      <c r="L714" s="3" t="n">
        <v>1401.2</v>
      </c>
      <c r="M714" s="2" t="n">
        <v>8.2</v>
      </c>
      <c r="N714" s="2" t="s">
        <v>24</v>
      </c>
      <c r="O714" s="4" t="n">
        <f aca="false">VLOOKUP(F714,DIM_SERVICO!$A$2:$D$151,4,FALSE())</f>
        <v>1850.29</v>
      </c>
      <c r="P714" s="4" t="n">
        <f aca="false">VLOOKUP(E714,DIM_PECA!$A$2:$F$501,6,FALSE())</f>
        <v>295.87</v>
      </c>
      <c r="Q714" s="4" t="n">
        <f aca="false">VLOOKUP(E714,DIM_PECA!$A$2:$F$501,5,FALSE())</f>
        <v>168.56</v>
      </c>
      <c r="R714" s="4" t="n">
        <f aca="false">H714*P714</f>
        <v>1183.48</v>
      </c>
      <c r="S714" s="4" t="n">
        <f aca="false">O714*M714</f>
        <v>15172.378</v>
      </c>
      <c r="T714" s="4" t="n">
        <f aca="false">R714+S714</f>
        <v>16355.858</v>
      </c>
      <c r="U714" s="4" t="n">
        <f aca="false">T714-K714</f>
        <v>13564.788</v>
      </c>
      <c r="V714" s="4" t="n">
        <f aca="false">R714+S714-U714</f>
        <v>2791.07</v>
      </c>
      <c r="W714" s="5" t="str">
        <f aca="false">IF(ROUND(V714-K714,2)=0,"OK","ERRO")</f>
        <v>OK</v>
      </c>
      <c r="X714" s="5" t="str">
        <f aca="false">VLOOKUP(F714,DIM_SERVICO!$A$2:$D$151,3,FALSE())</f>
        <v>Freios</v>
      </c>
    </row>
    <row r="715" customFormat="false" ht="15" hidden="false" customHeight="false" outlineLevel="0" collapsed="false">
      <c r="A715" s="6" t="n">
        <v>714</v>
      </c>
      <c r="B715" s="6" t="n">
        <v>219</v>
      </c>
      <c r="C715" s="6" t="n">
        <v>894</v>
      </c>
      <c r="D715" s="6" t="n">
        <v>1160</v>
      </c>
      <c r="E715" s="6" t="n">
        <v>400</v>
      </c>
      <c r="F715" s="6" t="n">
        <v>79</v>
      </c>
      <c r="G715" s="6" t="n">
        <v>160</v>
      </c>
      <c r="H715" s="6" t="n">
        <v>1</v>
      </c>
      <c r="I715" s="7" t="n">
        <v>310.72</v>
      </c>
      <c r="J715" s="7" t="n">
        <v>748.05</v>
      </c>
      <c r="K715" s="7" t="n">
        <v>1310.8</v>
      </c>
      <c r="L715" s="7" t="n">
        <v>686.25</v>
      </c>
      <c r="M715" s="6" t="n">
        <v>5.7</v>
      </c>
      <c r="N715" s="6" t="s">
        <v>26</v>
      </c>
      <c r="O715" s="8" t="n">
        <f aca="false">VLOOKUP(F715,DIM_SERVICO!$A$2:$D$151,4,FALSE())</f>
        <v>748.05</v>
      </c>
      <c r="P715" s="8" t="n">
        <f aca="false">VLOOKUP(E715,DIM_PECA!$A$2:$F$501,6,FALSE())</f>
        <v>562.75</v>
      </c>
      <c r="Q715" s="8" t="n">
        <f aca="false">VLOOKUP(E715,DIM_PECA!$A$2:$F$501,5,FALSE())</f>
        <v>310.72</v>
      </c>
      <c r="R715" s="8" t="n">
        <f aca="false">H715*P715</f>
        <v>562.75</v>
      </c>
      <c r="S715" s="8" t="n">
        <f aca="false">O715*M715</f>
        <v>4263.885</v>
      </c>
      <c r="T715" s="8" t="n">
        <f aca="false">R715+S715</f>
        <v>4826.635</v>
      </c>
      <c r="U715" s="8" t="n">
        <f aca="false">T715-K715</f>
        <v>3515.835</v>
      </c>
      <c r="V715" s="8" t="n">
        <f aca="false">R715+S715-U715</f>
        <v>1310.8</v>
      </c>
      <c r="W715" s="9" t="str">
        <f aca="false">IF(ROUND(V715-K715,2)=0,"OK","ERRO")</f>
        <v>OK</v>
      </c>
      <c r="X715" s="9" t="str">
        <f aca="false">VLOOKUP(F715,DIM_SERVICO!$A$2:$D$151,3,FALSE())</f>
        <v>Freios</v>
      </c>
    </row>
    <row r="716" customFormat="false" ht="15" hidden="false" customHeight="false" outlineLevel="0" collapsed="false">
      <c r="A716" s="2" t="n">
        <v>715</v>
      </c>
      <c r="B716" s="2" t="n">
        <v>19</v>
      </c>
      <c r="C716" s="2" t="n">
        <v>890</v>
      </c>
      <c r="D716" s="2" t="n">
        <v>524</v>
      </c>
      <c r="E716" s="2" t="n">
        <v>317</v>
      </c>
      <c r="F716" s="2" t="n">
        <v>98</v>
      </c>
      <c r="G716" s="2" t="n">
        <v>926</v>
      </c>
      <c r="H716" s="2" t="n">
        <v>2</v>
      </c>
      <c r="I716" s="3" t="n">
        <v>103.74</v>
      </c>
      <c r="J716" s="3" t="n">
        <v>951.01</v>
      </c>
      <c r="K716" s="3" t="n">
        <v>1055.4</v>
      </c>
      <c r="L716" s="3" t="n">
        <v>533.74</v>
      </c>
      <c r="M716" s="2" t="n">
        <v>2.7</v>
      </c>
      <c r="N716" s="2" t="s">
        <v>24</v>
      </c>
      <c r="O716" s="4" t="n">
        <f aca="false">VLOOKUP(F716,DIM_SERVICO!$A$2:$D$151,4,FALSE())</f>
        <v>951.01</v>
      </c>
      <c r="P716" s="4" t="n">
        <f aca="false">VLOOKUP(E716,DIM_PECA!$A$2:$F$501,6,FALSE())</f>
        <v>98.08</v>
      </c>
      <c r="Q716" s="4" t="n">
        <f aca="false">VLOOKUP(E716,DIM_PECA!$A$2:$F$501,5,FALSE())</f>
        <v>51.87</v>
      </c>
      <c r="R716" s="4" t="n">
        <f aca="false">H716*P716</f>
        <v>196.16</v>
      </c>
      <c r="S716" s="4" t="n">
        <f aca="false">O716*M716</f>
        <v>2567.727</v>
      </c>
      <c r="T716" s="4" t="n">
        <f aca="false">R716+S716</f>
        <v>2763.887</v>
      </c>
      <c r="U716" s="4" t="n">
        <f aca="false">T716-K716</f>
        <v>1708.487</v>
      </c>
      <c r="V716" s="4" t="n">
        <f aca="false">R716+S716-U716</f>
        <v>1055.4</v>
      </c>
      <c r="W716" s="5" t="str">
        <f aca="false">IF(ROUND(V716-K716,2)=0,"OK","ERRO")</f>
        <v>OK</v>
      </c>
      <c r="X716" s="5" t="str">
        <f aca="false">VLOOKUP(F716,DIM_SERVICO!$A$2:$D$151,3,FALSE())</f>
        <v>Revisão</v>
      </c>
    </row>
    <row r="717" customFormat="false" ht="15" hidden="false" customHeight="false" outlineLevel="0" collapsed="false">
      <c r="A717" s="6" t="n">
        <v>716</v>
      </c>
      <c r="B717" s="6" t="n">
        <v>1397</v>
      </c>
      <c r="C717" s="6" t="n">
        <v>1157</v>
      </c>
      <c r="D717" s="6" t="n">
        <v>754</v>
      </c>
      <c r="E717" s="6" t="n">
        <v>260</v>
      </c>
      <c r="F717" s="6" t="n">
        <v>7</v>
      </c>
      <c r="G717" s="6" t="n">
        <v>83</v>
      </c>
      <c r="H717" s="6" t="n">
        <v>4</v>
      </c>
      <c r="I717" s="7" t="n">
        <v>2936.88</v>
      </c>
      <c r="J717" s="7" t="n">
        <v>2158.23</v>
      </c>
      <c r="K717" s="7" t="n">
        <v>8018.03</v>
      </c>
      <c r="L717" s="7" t="n">
        <v>3932.65</v>
      </c>
      <c r="M717" s="6" t="n">
        <v>10.4</v>
      </c>
      <c r="N717" s="6" t="s">
        <v>25</v>
      </c>
      <c r="O717" s="8" t="n">
        <f aca="false">VLOOKUP(F717,DIM_SERVICO!$A$2:$D$151,4,FALSE())</f>
        <v>2158.23</v>
      </c>
      <c r="P717" s="8" t="n">
        <f aca="false">VLOOKUP(E717,DIM_PECA!$A$2:$F$501,6,FALSE())</f>
        <v>1464.95</v>
      </c>
      <c r="Q717" s="8" t="n">
        <f aca="false">VLOOKUP(E717,DIM_PECA!$A$2:$F$501,5,FALSE())</f>
        <v>734.22</v>
      </c>
      <c r="R717" s="8" t="n">
        <f aca="false">H717*P717</f>
        <v>5859.8</v>
      </c>
      <c r="S717" s="8" t="n">
        <f aca="false">O717*M717</f>
        <v>22445.592</v>
      </c>
      <c r="T717" s="8" t="n">
        <f aca="false">R717+S717</f>
        <v>28305.392</v>
      </c>
      <c r="U717" s="8" t="n">
        <f aca="false">T717-K717</f>
        <v>20287.362</v>
      </c>
      <c r="V717" s="8" t="n">
        <f aca="false">R717+S717-U717</f>
        <v>8018.03</v>
      </c>
      <c r="W717" s="9" t="str">
        <f aca="false">IF(ROUND(V717-K717,2)=0,"OK","ERRO")</f>
        <v>OK</v>
      </c>
      <c r="X717" s="9" t="str">
        <f aca="false">VLOOKUP(F717,DIM_SERVICO!$A$2:$D$151,3,FALSE())</f>
        <v>Revisão</v>
      </c>
    </row>
    <row r="718" customFormat="false" ht="15" hidden="false" customHeight="false" outlineLevel="0" collapsed="false">
      <c r="A718" s="2" t="n">
        <v>717</v>
      </c>
      <c r="B718" s="2" t="n">
        <v>1123</v>
      </c>
      <c r="C718" s="2" t="n">
        <v>1023</v>
      </c>
      <c r="D718" s="2" t="n">
        <v>567</v>
      </c>
      <c r="E718" s="2" t="n">
        <v>25</v>
      </c>
      <c r="F718" s="2" t="n">
        <v>92</v>
      </c>
      <c r="G718" s="2" t="n">
        <v>1301</v>
      </c>
      <c r="H718" s="2" t="n">
        <v>2</v>
      </c>
      <c r="I718" s="3" t="n">
        <v>1657.18</v>
      </c>
      <c r="J718" s="3" t="n">
        <v>1754.32</v>
      </c>
      <c r="K718" s="3" t="n">
        <v>4283.18</v>
      </c>
      <c r="L718" s="3" t="n">
        <v>1996.03</v>
      </c>
      <c r="M718" s="2" t="n">
        <v>2.2</v>
      </c>
      <c r="N718" s="2" t="s">
        <v>24</v>
      </c>
      <c r="O718" s="4" t="n">
        <f aca="false">VLOOKUP(F718,DIM_SERVICO!$A$2:$D$151,4,FALSE())</f>
        <v>1754.32</v>
      </c>
      <c r="P718" s="4" t="n">
        <f aca="false">VLOOKUP(E718,DIM_PECA!$A$2:$F$501,6,FALSE())</f>
        <v>1264.43</v>
      </c>
      <c r="Q718" s="4" t="n">
        <f aca="false">VLOOKUP(E718,DIM_PECA!$A$2:$F$501,5,FALSE())</f>
        <v>828.59</v>
      </c>
      <c r="R718" s="4" t="n">
        <f aca="false">H718*P718</f>
        <v>2528.86</v>
      </c>
      <c r="S718" s="4" t="n">
        <f aca="false">O718*M718</f>
        <v>3859.504</v>
      </c>
      <c r="T718" s="4" t="n">
        <f aca="false">R718+S718</f>
        <v>6388.364</v>
      </c>
      <c r="U718" s="4" t="n">
        <f aca="false">T718-K718</f>
        <v>2105.184</v>
      </c>
      <c r="V718" s="4" t="n">
        <f aca="false">R718+S718-U718</f>
        <v>4283.18</v>
      </c>
      <c r="W718" s="5" t="str">
        <f aca="false">IF(ROUND(V718-K718,2)=0,"OK","ERRO")</f>
        <v>OK</v>
      </c>
      <c r="X718" s="5" t="str">
        <f aca="false">VLOOKUP(F718,DIM_SERVICO!$A$2:$D$151,3,FALSE())</f>
        <v>Revisão</v>
      </c>
    </row>
    <row r="719" customFormat="false" ht="15" hidden="false" customHeight="false" outlineLevel="0" collapsed="false">
      <c r="A719" s="6" t="n">
        <v>718</v>
      </c>
      <c r="B719" s="6" t="n">
        <v>1145</v>
      </c>
      <c r="C719" s="6" t="n">
        <v>991</v>
      </c>
      <c r="D719" s="6" t="n">
        <v>16</v>
      </c>
      <c r="E719" s="6" t="n">
        <v>375</v>
      </c>
      <c r="F719" s="6" t="n">
        <v>73</v>
      </c>
      <c r="G719" s="6" t="n">
        <v>292</v>
      </c>
      <c r="H719" s="6" t="n">
        <v>2</v>
      </c>
      <c r="I719" s="7" t="n">
        <v>272.42</v>
      </c>
      <c r="J719" s="7" t="n">
        <v>2131.99</v>
      </c>
      <c r="K719" s="7" t="n">
        <v>2314.49</v>
      </c>
      <c r="L719" s="7" t="n">
        <v>1138.39</v>
      </c>
      <c r="M719" s="6" t="n">
        <v>8.8</v>
      </c>
      <c r="N719" s="6" t="s">
        <v>25</v>
      </c>
      <c r="O719" s="8" t="n">
        <f aca="false">VLOOKUP(F719,DIM_SERVICO!$A$2:$D$151,4,FALSE())</f>
        <v>2131.99</v>
      </c>
      <c r="P719" s="8" t="n">
        <f aca="false">VLOOKUP(E719,DIM_PECA!$A$2:$F$501,6,FALSE())</f>
        <v>191.88</v>
      </c>
      <c r="Q719" s="8" t="n">
        <f aca="false">VLOOKUP(E719,DIM_PECA!$A$2:$F$501,5,FALSE())</f>
        <v>136.21</v>
      </c>
      <c r="R719" s="8" t="n">
        <f aca="false">H719*P719</f>
        <v>383.76</v>
      </c>
      <c r="S719" s="8" t="n">
        <f aca="false">O719*M719</f>
        <v>18761.512</v>
      </c>
      <c r="T719" s="8" t="n">
        <f aca="false">R719+S719</f>
        <v>19145.272</v>
      </c>
      <c r="U719" s="8" t="n">
        <f aca="false">T719-K719</f>
        <v>16830.782</v>
      </c>
      <c r="V719" s="8" t="n">
        <f aca="false">R719+S719-U719</f>
        <v>2314.49</v>
      </c>
      <c r="W719" s="9" t="str">
        <f aca="false">IF(ROUND(V719-K719,2)=0,"OK","ERRO")</f>
        <v>OK</v>
      </c>
      <c r="X719" s="9" t="str">
        <f aca="false">VLOOKUP(F719,DIM_SERVICO!$A$2:$D$151,3,FALSE())</f>
        <v>Suspensão</v>
      </c>
    </row>
    <row r="720" customFormat="false" ht="15" hidden="false" customHeight="false" outlineLevel="0" collapsed="false">
      <c r="A720" s="2" t="n">
        <v>719</v>
      </c>
      <c r="B720" s="2" t="n">
        <v>332</v>
      </c>
      <c r="C720" s="2" t="n">
        <v>483</v>
      </c>
      <c r="D720" s="2" t="n">
        <v>1162</v>
      </c>
      <c r="E720" s="2" t="n">
        <v>368</v>
      </c>
      <c r="F720" s="2" t="n">
        <v>36</v>
      </c>
      <c r="G720" s="2" t="n">
        <v>431</v>
      </c>
      <c r="H720" s="2" t="n">
        <v>1</v>
      </c>
      <c r="I720" s="3" t="n">
        <v>1104.4</v>
      </c>
      <c r="J720" s="3" t="n">
        <v>1564.33</v>
      </c>
      <c r="K720" s="3" t="n">
        <v>2820.26</v>
      </c>
      <c r="L720" s="3" t="n">
        <v>1073.07</v>
      </c>
      <c r="M720" s="2" t="n">
        <v>1.8</v>
      </c>
      <c r="N720" s="2" t="s">
        <v>24</v>
      </c>
      <c r="O720" s="4" t="n">
        <f aca="false">VLOOKUP(F720,DIM_SERVICO!$A$2:$D$151,4,FALSE())</f>
        <v>1564.33</v>
      </c>
      <c r="P720" s="4" t="n">
        <f aca="false">VLOOKUP(E720,DIM_PECA!$A$2:$F$501,6,FALSE())</f>
        <v>1569.29</v>
      </c>
      <c r="Q720" s="4" t="n">
        <f aca="false">VLOOKUP(E720,DIM_PECA!$A$2:$F$501,5,FALSE())</f>
        <v>1104.4</v>
      </c>
      <c r="R720" s="4" t="n">
        <f aca="false">H720*P720</f>
        <v>1569.29</v>
      </c>
      <c r="S720" s="4" t="n">
        <f aca="false">O720*M720</f>
        <v>2815.794</v>
      </c>
      <c r="T720" s="4" t="n">
        <f aca="false">R720+S720</f>
        <v>4385.084</v>
      </c>
      <c r="U720" s="4" t="n">
        <f aca="false">T720-K720</f>
        <v>1564.824</v>
      </c>
      <c r="V720" s="4" t="n">
        <f aca="false">R720+S720-U720</f>
        <v>2820.26</v>
      </c>
      <c r="W720" s="5" t="str">
        <f aca="false">IF(ROUND(V720-K720,2)=0,"OK","ERRO")</f>
        <v>OK</v>
      </c>
      <c r="X720" s="5" t="str">
        <f aca="false">VLOOKUP(F720,DIM_SERVICO!$A$2:$D$151,3,FALSE())</f>
        <v>Pintura</v>
      </c>
    </row>
    <row r="721" customFormat="false" ht="15" hidden="false" customHeight="false" outlineLevel="0" collapsed="false">
      <c r="A721" s="6" t="n">
        <v>720</v>
      </c>
      <c r="B721" s="6" t="n">
        <v>615</v>
      </c>
      <c r="C721" s="6" t="n">
        <v>153</v>
      </c>
      <c r="D721" s="6" t="n">
        <v>788</v>
      </c>
      <c r="E721" s="6" t="n">
        <v>208</v>
      </c>
      <c r="F721" s="6" t="n">
        <v>121</v>
      </c>
      <c r="G721" s="6" t="n">
        <v>630</v>
      </c>
      <c r="H721" s="6" t="n">
        <v>3</v>
      </c>
      <c r="I721" s="7" t="n">
        <v>1744.95</v>
      </c>
      <c r="J721" s="7" t="n">
        <v>599.74</v>
      </c>
      <c r="K721" s="7" t="n">
        <v>3110.62</v>
      </c>
      <c r="L721" s="7" t="n">
        <v>1085.93</v>
      </c>
      <c r="M721" s="6" t="n">
        <v>6.1</v>
      </c>
      <c r="N721" s="6" t="s">
        <v>24</v>
      </c>
      <c r="O721" s="8" t="n">
        <f aca="false">VLOOKUP(F721,DIM_SERVICO!$A$2:$D$151,4,FALSE())</f>
        <v>599.74</v>
      </c>
      <c r="P721" s="8" t="n">
        <f aca="false">VLOOKUP(E721,DIM_PECA!$A$2:$F$501,6,FALSE())</f>
        <v>858.12</v>
      </c>
      <c r="Q721" s="8" t="n">
        <f aca="false">VLOOKUP(E721,DIM_PECA!$A$2:$F$501,5,FALSE())</f>
        <v>581.65</v>
      </c>
      <c r="R721" s="8" t="n">
        <f aca="false">H721*P721</f>
        <v>2574.36</v>
      </c>
      <c r="S721" s="8" t="n">
        <f aca="false">O721*M721</f>
        <v>3658.414</v>
      </c>
      <c r="T721" s="8" t="n">
        <f aca="false">R721+S721</f>
        <v>6232.774</v>
      </c>
      <c r="U721" s="8" t="n">
        <f aca="false">T721-K721</f>
        <v>3122.154</v>
      </c>
      <c r="V721" s="8" t="n">
        <f aca="false">R721+S721-U721</f>
        <v>3110.62</v>
      </c>
      <c r="W721" s="9" t="str">
        <f aca="false">IF(ROUND(V721-K721,2)=0,"OK","ERRO")</f>
        <v>OK</v>
      </c>
      <c r="X721" s="9" t="str">
        <f aca="false">VLOOKUP(F721,DIM_SERVICO!$A$2:$D$151,3,FALSE())</f>
        <v>Revisão</v>
      </c>
    </row>
    <row r="722" customFormat="false" ht="15" hidden="false" customHeight="false" outlineLevel="0" collapsed="false">
      <c r="A722" s="2" t="n">
        <v>721</v>
      </c>
      <c r="B722" s="2" t="n">
        <v>635</v>
      </c>
      <c r="C722" s="2" t="n">
        <v>230</v>
      </c>
      <c r="D722" s="2" t="n">
        <v>1084</v>
      </c>
      <c r="E722" s="2" t="n">
        <v>270</v>
      </c>
      <c r="F722" s="2" t="n">
        <v>149</v>
      </c>
      <c r="G722" s="2" t="n">
        <v>677</v>
      </c>
      <c r="H722" s="2" t="n">
        <v>1</v>
      </c>
      <c r="I722" s="3" t="n">
        <v>1068.55</v>
      </c>
      <c r="J722" s="3" t="n">
        <v>142.63</v>
      </c>
      <c r="K722" s="3" t="n">
        <v>1896.22</v>
      </c>
      <c r="L722" s="3" t="n">
        <v>774.61</v>
      </c>
      <c r="M722" s="2" t="n">
        <v>6.2</v>
      </c>
      <c r="N722" s="2" t="s">
        <v>24</v>
      </c>
      <c r="O722" s="4" t="n">
        <f aca="false">VLOOKUP(F722,DIM_SERVICO!$A$2:$D$151,4,FALSE())</f>
        <v>142.63</v>
      </c>
      <c r="P722" s="4" t="n">
        <f aca="false">VLOOKUP(E722,DIM_PECA!$A$2:$F$501,6,FALSE())</f>
        <v>1964.28</v>
      </c>
      <c r="Q722" s="4" t="n">
        <f aca="false">VLOOKUP(E722,DIM_PECA!$A$2:$F$501,5,FALSE())</f>
        <v>1068.55</v>
      </c>
      <c r="R722" s="4" t="n">
        <f aca="false">H722*P722</f>
        <v>1964.28</v>
      </c>
      <c r="S722" s="4" t="n">
        <f aca="false">O722*M722</f>
        <v>884.306</v>
      </c>
      <c r="T722" s="4" t="n">
        <f aca="false">R722+S722</f>
        <v>2848.586</v>
      </c>
      <c r="U722" s="4" t="n">
        <f aca="false">T722-K722</f>
        <v>952.366</v>
      </c>
      <c r="V722" s="4" t="n">
        <f aca="false">R722+S722-U722</f>
        <v>1896.22</v>
      </c>
      <c r="W722" s="5" t="str">
        <f aca="false">IF(ROUND(V722-K722,2)=0,"OK","ERRO")</f>
        <v>OK</v>
      </c>
      <c r="X722" s="5" t="str">
        <f aca="false">VLOOKUP(F722,DIM_SERVICO!$A$2:$D$151,3,FALSE())</f>
        <v>Motor</v>
      </c>
    </row>
    <row r="723" customFormat="false" ht="15" hidden="false" customHeight="false" outlineLevel="0" collapsed="false">
      <c r="A723" s="6" t="n">
        <v>722</v>
      </c>
      <c r="B723" s="6" t="n">
        <v>840</v>
      </c>
      <c r="C723" s="6" t="n">
        <v>930</v>
      </c>
      <c r="D723" s="6" t="n">
        <v>223</v>
      </c>
      <c r="E723" s="6" t="n">
        <v>123</v>
      </c>
      <c r="F723" s="6" t="n">
        <v>150</v>
      </c>
      <c r="G723" s="6" t="n">
        <v>123</v>
      </c>
      <c r="H723" s="6" t="n">
        <v>2</v>
      </c>
      <c r="I723" s="7" t="n">
        <v>1745.1</v>
      </c>
      <c r="J723" s="7" t="n">
        <v>1370.46</v>
      </c>
      <c r="K723" s="7" t="n">
        <v>4958.15</v>
      </c>
      <c r="L723" s="7" t="n">
        <v>2701.2</v>
      </c>
      <c r="M723" s="6" t="n">
        <v>4.7</v>
      </c>
      <c r="N723" s="6" t="s">
        <v>27</v>
      </c>
      <c r="O723" s="8" t="n">
        <f aca="false">VLOOKUP(F723,DIM_SERVICO!$A$2:$D$151,4,FALSE())</f>
        <v>1370.46</v>
      </c>
      <c r="P723" s="8" t="n">
        <f aca="false">VLOOKUP(E723,DIM_PECA!$A$2:$F$501,6,FALSE())</f>
        <v>1844.44</v>
      </c>
      <c r="Q723" s="8" t="n">
        <f aca="false">VLOOKUP(E723,DIM_PECA!$A$2:$F$501,5,FALSE())</f>
        <v>872.55</v>
      </c>
      <c r="R723" s="8" t="n">
        <f aca="false">H723*P723</f>
        <v>3688.88</v>
      </c>
      <c r="S723" s="8" t="n">
        <f aca="false">O723*M723</f>
        <v>6441.162</v>
      </c>
      <c r="T723" s="8" t="n">
        <f aca="false">R723+S723</f>
        <v>10130.042</v>
      </c>
      <c r="U723" s="8" t="n">
        <f aca="false">T723-K723</f>
        <v>5171.892</v>
      </c>
      <c r="V723" s="8" t="n">
        <f aca="false">R723+S723-U723</f>
        <v>4958.15</v>
      </c>
      <c r="W723" s="9" t="str">
        <f aca="false">IF(ROUND(V723-K723,2)=0,"OK","ERRO")</f>
        <v>OK</v>
      </c>
      <c r="X723" s="9" t="str">
        <f aca="false">VLOOKUP(F723,DIM_SERVICO!$A$2:$D$151,3,FALSE())</f>
        <v>Revisão</v>
      </c>
    </row>
    <row r="724" customFormat="false" ht="15" hidden="false" customHeight="false" outlineLevel="0" collapsed="false">
      <c r="A724" s="2" t="n">
        <v>723</v>
      </c>
      <c r="B724" s="2" t="n">
        <v>793</v>
      </c>
      <c r="C724" s="2" t="n">
        <v>1057</v>
      </c>
      <c r="D724" s="2" t="n">
        <v>736</v>
      </c>
      <c r="E724" s="2" t="n">
        <v>6</v>
      </c>
      <c r="F724" s="2" t="n">
        <v>47</v>
      </c>
      <c r="G724" s="2" t="n">
        <v>824</v>
      </c>
      <c r="H724" s="2" t="n">
        <v>3</v>
      </c>
      <c r="I724" s="3" t="n">
        <v>348.3</v>
      </c>
      <c r="J724" s="3" t="n">
        <v>399.81</v>
      </c>
      <c r="K724" s="3" t="n">
        <v>1029</v>
      </c>
      <c r="L724" s="3" t="n">
        <v>523.96</v>
      </c>
      <c r="M724" s="2" t="n">
        <v>2.5</v>
      </c>
      <c r="N724" s="2" t="s">
        <v>26</v>
      </c>
      <c r="O724" s="4" t="n">
        <f aca="false">VLOOKUP(F724,DIM_SERVICO!$A$2:$D$151,4,FALSE())</f>
        <v>399.81</v>
      </c>
      <c r="P724" s="4" t="n">
        <f aca="false">VLOOKUP(E724,DIM_PECA!$A$2:$F$501,6,FALSE())</f>
        <v>209.73</v>
      </c>
      <c r="Q724" s="4" t="n">
        <f aca="false">VLOOKUP(E724,DIM_PECA!$A$2:$F$501,5,FALSE())</f>
        <v>116.1</v>
      </c>
      <c r="R724" s="4" t="n">
        <f aca="false">H724*P724</f>
        <v>629.19</v>
      </c>
      <c r="S724" s="4" t="n">
        <f aca="false">O724*M724</f>
        <v>999.525</v>
      </c>
      <c r="T724" s="4" t="n">
        <f aca="false">R724+S724</f>
        <v>1628.715</v>
      </c>
      <c r="U724" s="4" t="n">
        <f aca="false">T724-K724</f>
        <v>599.715</v>
      </c>
      <c r="V724" s="4" t="n">
        <f aca="false">R724+S724-U724</f>
        <v>1029</v>
      </c>
      <c r="W724" s="5" t="str">
        <f aca="false">IF(ROUND(V724-K724,2)=0,"OK","ERRO")</f>
        <v>OK</v>
      </c>
      <c r="X724" s="5" t="str">
        <f aca="false">VLOOKUP(F724,DIM_SERVICO!$A$2:$D$151,3,FALSE())</f>
        <v>Funilaria</v>
      </c>
    </row>
    <row r="725" customFormat="false" ht="15" hidden="false" customHeight="false" outlineLevel="0" collapsed="false">
      <c r="A725" s="6" t="n">
        <v>724</v>
      </c>
      <c r="B725" s="6" t="n">
        <v>1471</v>
      </c>
      <c r="C725" s="6" t="n">
        <v>620</v>
      </c>
      <c r="D725" s="6" t="n">
        <v>613</v>
      </c>
      <c r="E725" s="6" t="n">
        <v>409</v>
      </c>
      <c r="F725" s="6" t="n">
        <v>131</v>
      </c>
      <c r="G725" s="6" t="n">
        <v>1102</v>
      </c>
      <c r="H725" s="6" t="n">
        <v>3</v>
      </c>
      <c r="I725" s="7" t="n">
        <v>2202.72</v>
      </c>
      <c r="J725" s="7" t="n">
        <v>419.61</v>
      </c>
      <c r="K725" s="7" t="n">
        <v>3840.35</v>
      </c>
      <c r="L725" s="7" t="n">
        <v>1459.18</v>
      </c>
      <c r="M725" s="6" t="n">
        <v>10.3</v>
      </c>
      <c r="N725" s="6" t="s">
        <v>25</v>
      </c>
      <c r="O725" s="8" t="n">
        <f aca="false">VLOOKUP(F725,DIM_SERVICO!$A$2:$D$151,4,FALSE())</f>
        <v>419.61</v>
      </c>
      <c r="P725" s="8" t="n">
        <f aca="false">VLOOKUP(E725,DIM_PECA!$A$2:$F$501,6,FALSE())</f>
        <v>1251.56</v>
      </c>
      <c r="Q725" s="8" t="n">
        <f aca="false">VLOOKUP(E725,DIM_PECA!$A$2:$F$501,5,FALSE())</f>
        <v>734.24</v>
      </c>
      <c r="R725" s="8" t="n">
        <f aca="false">H725*P725</f>
        <v>3754.68</v>
      </c>
      <c r="S725" s="8" t="n">
        <f aca="false">O725*M725</f>
        <v>4321.983</v>
      </c>
      <c r="T725" s="8" t="n">
        <f aca="false">R725+S725</f>
        <v>8076.663</v>
      </c>
      <c r="U725" s="8" t="n">
        <f aca="false">T725-K725</f>
        <v>4236.313</v>
      </c>
      <c r="V725" s="8" t="n">
        <f aca="false">R725+S725-U725</f>
        <v>3840.35</v>
      </c>
      <c r="W725" s="9" t="str">
        <f aca="false">IF(ROUND(V725-K725,2)=0,"OK","ERRO")</f>
        <v>OK</v>
      </c>
      <c r="X725" s="9" t="str">
        <f aca="false">VLOOKUP(F725,DIM_SERVICO!$A$2:$D$151,3,FALSE())</f>
        <v>Freios</v>
      </c>
    </row>
    <row r="726" customFormat="false" ht="15" hidden="false" customHeight="false" outlineLevel="0" collapsed="false">
      <c r="A726" s="2" t="n">
        <v>725</v>
      </c>
      <c r="B726" s="2" t="n">
        <v>31</v>
      </c>
      <c r="C726" s="2" t="n">
        <v>914</v>
      </c>
      <c r="D726" s="2" t="n">
        <v>125</v>
      </c>
      <c r="E726" s="2" t="n">
        <v>416</v>
      </c>
      <c r="F726" s="2" t="n">
        <v>72</v>
      </c>
      <c r="G726" s="2" t="n">
        <v>946</v>
      </c>
      <c r="H726" s="2" t="n">
        <v>4</v>
      </c>
      <c r="I726" s="3" t="n">
        <v>4101.96</v>
      </c>
      <c r="J726" s="3" t="n">
        <v>710.66</v>
      </c>
      <c r="K726" s="3" t="n">
        <v>9315.9</v>
      </c>
      <c r="L726" s="3" t="n">
        <v>4842.36</v>
      </c>
      <c r="M726" s="2" t="n">
        <v>8.2</v>
      </c>
      <c r="N726" s="2" t="s">
        <v>25</v>
      </c>
      <c r="O726" s="4" t="n">
        <f aca="false">VLOOKUP(F726,DIM_SERVICO!$A$2:$D$151,4,FALSE())</f>
        <v>710.66</v>
      </c>
      <c r="P726" s="4" t="n">
        <f aca="false">VLOOKUP(E726,DIM_PECA!$A$2:$F$501,6,FALSE())</f>
        <v>2151.31</v>
      </c>
      <c r="Q726" s="4" t="n">
        <f aca="false">VLOOKUP(E726,DIM_PECA!$A$2:$F$501,5,FALSE())</f>
        <v>1025.49</v>
      </c>
      <c r="R726" s="4" t="n">
        <f aca="false">H726*P726</f>
        <v>8605.24</v>
      </c>
      <c r="S726" s="4" t="n">
        <f aca="false">O726*M726</f>
        <v>5827.412</v>
      </c>
      <c r="T726" s="4" t="n">
        <f aca="false">R726+S726</f>
        <v>14432.652</v>
      </c>
      <c r="U726" s="4" t="n">
        <f aca="false">T726-K726</f>
        <v>5116.752</v>
      </c>
      <c r="V726" s="4" t="n">
        <f aca="false">R726+S726-U726</f>
        <v>9315.9</v>
      </c>
      <c r="W726" s="5" t="str">
        <f aca="false">IF(ROUND(V726-K726,2)=0,"OK","ERRO")</f>
        <v>OK</v>
      </c>
      <c r="X726" s="5" t="str">
        <f aca="false">VLOOKUP(F726,DIM_SERVICO!$A$2:$D$151,3,FALSE())</f>
        <v>Motor</v>
      </c>
    </row>
    <row r="727" customFormat="false" ht="15" hidden="false" customHeight="false" outlineLevel="0" collapsed="false">
      <c r="A727" s="6" t="n">
        <v>726</v>
      </c>
      <c r="B727" s="6" t="n">
        <v>1157</v>
      </c>
      <c r="C727" s="6" t="n">
        <v>732</v>
      </c>
      <c r="D727" s="6" t="n">
        <v>1157</v>
      </c>
      <c r="E727" s="6" t="n">
        <v>356</v>
      </c>
      <c r="F727" s="6" t="n">
        <v>118</v>
      </c>
      <c r="G727" s="6" t="n">
        <v>1285</v>
      </c>
      <c r="H727" s="6" t="n">
        <v>1</v>
      </c>
      <c r="I727" s="7" t="n">
        <v>954.57</v>
      </c>
      <c r="J727" s="7" t="n">
        <v>114.25</v>
      </c>
      <c r="K727" s="7" t="n">
        <v>2210.61</v>
      </c>
      <c r="L727" s="7" t="n">
        <v>1195.74</v>
      </c>
      <c r="M727" s="6" t="n">
        <v>10.2</v>
      </c>
      <c r="N727" s="6" t="s">
        <v>26</v>
      </c>
      <c r="O727" s="8" t="n">
        <f aca="false">VLOOKUP(F727,DIM_SERVICO!$A$2:$D$151,4,FALSE())</f>
        <v>114.25</v>
      </c>
      <c r="P727" s="8" t="n">
        <f aca="false">VLOOKUP(E727,DIM_PECA!$A$2:$F$501,6,FALSE())</f>
        <v>2096.36</v>
      </c>
      <c r="Q727" s="8" t="n">
        <f aca="false">VLOOKUP(E727,DIM_PECA!$A$2:$F$501,5,FALSE())</f>
        <v>954.57</v>
      </c>
      <c r="R727" s="8" t="n">
        <f aca="false">H727*P727</f>
        <v>2096.36</v>
      </c>
      <c r="S727" s="8" t="n">
        <f aca="false">O727*M727</f>
        <v>1165.35</v>
      </c>
      <c r="T727" s="8" t="n">
        <f aca="false">R727+S727</f>
        <v>3261.71</v>
      </c>
      <c r="U727" s="8" t="n">
        <f aca="false">T727-K727</f>
        <v>1051.1</v>
      </c>
      <c r="V727" s="8" t="n">
        <f aca="false">R727+S727-U727</f>
        <v>2210.61</v>
      </c>
      <c r="W727" s="9" t="str">
        <f aca="false">IF(ROUND(V727-K727,2)=0,"OK","ERRO")</f>
        <v>OK</v>
      </c>
      <c r="X727" s="9" t="str">
        <f aca="false">VLOOKUP(F727,DIM_SERVICO!$A$2:$D$151,3,FALSE())</f>
        <v>Elétrica</v>
      </c>
    </row>
    <row r="728" customFormat="false" ht="15" hidden="false" customHeight="false" outlineLevel="0" collapsed="false">
      <c r="A728" s="2" t="n">
        <v>727</v>
      </c>
      <c r="B728" s="2" t="n">
        <v>1045</v>
      </c>
      <c r="C728" s="2" t="n">
        <v>1083</v>
      </c>
      <c r="D728" s="2" t="n">
        <v>463</v>
      </c>
      <c r="E728" s="2" t="n">
        <v>324</v>
      </c>
      <c r="F728" s="2" t="n">
        <v>79</v>
      </c>
      <c r="G728" s="2" t="n">
        <v>572</v>
      </c>
      <c r="H728" s="2" t="n">
        <v>1</v>
      </c>
      <c r="I728" s="3" t="n">
        <v>512.79</v>
      </c>
      <c r="J728" s="3" t="n">
        <v>748.05</v>
      </c>
      <c r="K728" s="3" t="n">
        <v>1565.82</v>
      </c>
      <c r="L728" s="3" t="n">
        <v>767.85</v>
      </c>
      <c r="M728" s="2" t="n">
        <v>10</v>
      </c>
      <c r="N728" s="2" t="s">
        <v>24</v>
      </c>
      <c r="O728" s="4" t="n">
        <f aca="false">VLOOKUP(F728,DIM_SERVICO!$A$2:$D$151,4,FALSE())</f>
        <v>748.05</v>
      </c>
      <c r="P728" s="4" t="n">
        <f aca="false">VLOOKUP(E728,DIM_PECA!$A$2:$F$501,6,FALSE())</f>
        <v>817.77</v>
      </c>
      <c r="Q728" s="4" t="n">
        <f aca="false">VLOOKUP(E728,DIM_PECA!$A$2:$F$501,5,FALSE())</f>
        <v>512.79</v>
      </c>
      <c r="R728" s="4" t="n">
        <f aca="false">H728*P728</f>
        <v>817.77</v>
      </c>
      <c r="S728" s="4" t="n">
        <f aca="false">O728*M728</f>
        <v>7480.5</v>
      </c>
      <c r="T728" s="4" t="n">
        <f aca="false">R728+S728</f>
        <v>8298.27</v>
      </c>
      <c r="U728" s="4" t="n">
        <f aca="false">T728-K728</f>
        <v>6732.45</v>
      </c>
      <c r="V728" s="4" t="n">
        <f aca="false">R728+S728-U728</f>
        <v>1565.82</v>
      </c>
      <c r="W728" s="5" t="str">
        <f aca="false">IF(ROUND(V728-K728,2)=0,"OK","ERRO")</f>
        <v>OK</v>
      </c>
      <c r="X728" s="5" t="str">
        <f aca="false">VLOOKUP(F728,DIM_SERVICO!$A$2:$D$151,3,FALSE())</f>
        <v>Freios</v>
      </c>
    </row>
    <row r="729" customFormat="false" ht="15" hidden="false" customHeight="false" outlineLevel="0" collapsed="false">
      <c r="A729" s="6" t="n">
        <v>728</v>
      </c>
      <c r="B729" s="6" t="n">
        <v>908</v>
      </c>
      <c r="C729" s="6" t="n">
        <v>1043</v>
      </c>
      <c r="D729" s="6" t="n">
        <v>1082</v>
      </c>
      <c r="E729" s="6" t="n">
        <v>131</v>
      </c>
      <c r="F729" s="6" t="n">
        <v>44</v>
      </c>
      <c r="G729" s="6" t="n">
        <v>566</v>
      </c>
      <c r="H729" s="6" t="n">
        <v>3</v>
      </c>
      <c r="I729" s="7" t="n">
        <v>1772.88</v>
      </c>
      <c r="J729" s="7" t="n">
        <v>1855.21</v>
      </c>
      <c r="K729" s="7" t="n">
        <v>4455.04</v>
      </c>
      <c r="L729" s="7" t="n">
        <v>1869</v>
      </c>
      <c r="M729" s="6" t="n">
        <v>2.9</v>
      </c>
      <c r="N729" s="6" t="s">
        <v>26</v>
      </c>
      <c r="O729" s="8" t="n">
        <f aca="false">VLOOKUP(F729,DIM_SERVICO!$A$2:$D$151,4,FALSE())</f>
        <v>1855.21</v>
      </c>
      <c r="P729" s="8" t="n">
        <f aca="false">VLOOKUP(E729,DIM_PECA!$A$2:$F$501,6,FALSE())</f>
        <v>866.61</v>
      </c>
      <c r="Q729" s="8" t="n">
        <f aca="false">VLOOKUP(E729,DIM_PECA!$A$2:$F$501,5,FALSE())</f>
        <v>590.96</v>
      </c>
      <c r="R729" s="8" t="n">
        <f aca="false">H729*P729</f>
        <v>2599.83</v>
      </c>
      <c r="S729" s="8" t="n">
        <f aca="false">O729*M729</f>
        <v>5380.109</v>
      </c>
      <c r="T729" s="8" t="n">
        <f aca="false">R729+S729</f>
        <v>7979.939</v>
      </c>
      <c r="U729" s="8" t="n">
        <f aca="false">T729-K729</f>
        <v>3524.899</v>
      </c>
      <c r="V729" s="8" t="n">
        <f aca="false">R729+S729-U729</f>
        <v>4455.04</v>
      </c>
      <c r="W729" s="9" t="str">
        <f aca="false">IF(ROUND(V729-K729,2)=0,"OK","ERRO")</f>
        <v>OK</v>
      </c>
      <c r="X729" s="9" t="str">
        <f aca="false">VLOOKUP(F729,DIM_SERVICO!$A$2:$D$151,3,FALSE())</f>
        <v>Funilaria</v>
      </c>
    </row>
    <row r="730" customFormat="false" ht="15" hidden="false" customHeight="false" outlineLevel="0" collapsed="false">
      <c r="A730" s="2" t="n">
        <v>729</v>
      </c>
      <c r="B730" s="2" t="n">
        <v>1448</v>
      </c>
      <c r="C730" s="2" t="n">
        <v>799</v>
      </c>
      <c r="D730" s="2" t="n">
        <v>785</v>
      </c>
      <c r="E730" s="2" t="n">
        <v>490</v>
      </c>
      <c r="F730" s="2" t="n">
        <v>14</v>
      </c>
      <c r="G730" s="2" t="n">
        <v>587</v>
      </c>
      <c r="H730" s="2" t="n">
        <v>3</v>
      </c>
      <c r="I730" s="3" t="n">
        <v>2356.14</v>
      </c>
      <c r="J730" s="3" t="n">
        <v>1939.75</v>
      </c>
      <c r="K730" s="3" t="n">
        <v>5652.36</v>
      </c>
      <c r="L730" s="3" t="n">
        <v>2324.1</v>
      </c>
      <c r="M730" s="2" t="n">
        <v>12</v>
      </c>
      <c r="N730" s="2" t="s">
        <v>26</v>
      </c>
      <c r="O730" s="4" t="n">
        <f aca="false">VLOOKUP(F730,DIM_SERVICO!$A$2:$D$151,4,FALSE())</f>
        <v>1939.75</v>
      </c>
      <c r="P730" s="4" t="n">
        <f aca="false">VLOOKUP(E730,DIM_PECA!$A$2:$F$501,6,FALSE())</f>
        <v>1336.7</v>
      </c>
      <c r="Q730" s="4" t="n">
        <f aca="false">VLOOKUP(E730,DIM_PECA!$A$2:$F$501,5,FALSE())</f>
        <v>785.38</v>
      </c>
      <c r="R730" s="4" t="n">
        <f aca="false">H730*P730</f>
        <v>4010.1</v>
      </c>
      <c r="S730" s="4" t="n">
        <f aca="false">O730*M730</f>
        <v>23277</v>
      </c>
      <c r="T730" s="4" t="n">
        <f aca="false">R730+S730</f>
        <v>27287.1</v>
      </c>
      <c r="U730" s="4" t="n">
        <f aca="false">T730-K730</f>
        <v>21634.74</v>
      </c>
      <c r="V730" s="4" t="n">
        <f aca="false">R730+S730-U730</f>
        <v>5652.36</v>
      </c>
      <c r="W730" s="5" t="str">
        <f aca="false">IF(ROUND(V730-K730,2)=0,"OK","ERRO")</f>
        <v>OK</v>
      </c>
      <c r="X730" s="5" t="str">
        <f aca="false">VLOOKUP(F730,DIM_SERVICO!$A$2:$D$151,3,FALSE())</f>
        <v>Funilaria</v>
      </c>
    </row>
    <row r="731" customFormat="false" ht="15" hidden="false" customHeight="false" outlineLevel="0" collapsed="false">
      <c r="A731" s="6" t="n">
        <v>730</v>
      </c>
      <c r="B731" s="6" t="n">
        <v>41</v>
      </c>
      <c r="C731" s="6" t="n">
        <v>940</v>
      </c>
      <c r="D731" s="6" t="n">
        <v>208</v>
      </c>
      <c r="E731" s="6" t="n">
        <v>62</v>
      </c>
      <c r="F731" s="6" t="n">
        <v>138</v>
      </c>
      <c r="G731" s="6" t="n">
        <v>1074</v>
      </c>
      <c r="H731" s="6" t="n">
        <v>1</v>
      </c>
      <c r="I731" s="7" t="n">
        <v>578.57</v>
      </c>
      <c r="J731" s="7" t="n">
        <v>836.68</v>
      </c>
      <c r="K731" s="7" t="n">
        <v>1977.88</v>
      </c>
      <c r="L731" s="7" t="n">
        <v>1095.12</v>
      </c>
      <c r="M731" s="6" t="n">
        <v>9</v>
      </c>
      <c r="N731" s="6" t="s">
        <v>24</v>
      </c>
      <c r="O731" s="8" t="n">
        <f aca="false">VLOOKUP(F731,DIM_SERVICO!$A$2:$D$151,4,FALSE())</f>
        <v>836.68</v>
      </c>
      <c r="P731" s="8" t="n">
        <f aca="false">VLOOKUP(E731,DIM_PECA!$A$2:$F$501,6,FALSE())</f>
        <v>1181.57</v>
      </c>
      <c r="Q731" s="8" t="n">
        <f aca="false">VLOOKUP(E731,DIM_PECA!$A$2:$F$501,5,FALSE())</f>
        <v>578.57</v>
      </c>
      <c r="R731" s="8" t="n">
        <f aca="false">H731*P731</f>
        <v>1181.57</v>
      </c>
      <c r="S731" s="8" t="n">
        <f aca="false">O731*M731</f>
        <v>7530.12</v>
      </c>
      <c r="T731" s="8" t="n">
        <f aca="false">R731+S731</f>
        <v>8711.69</v>
      </c>
      <c r="U731" s="8" t="n">
        <f aca="false">T731-K731</f>
        <v>6733.81</v>
      </c>
      <c r="V731" s="8" t="n">
        <f aca="false">R731+S731-U731</f>
        <v>1977.88</v>
      </c>
      <c r="W731" s="9" t="str">
        <f aca="false">IF(ROUND(V731-K731,2)=0,"OK","ERRO")</f>
        <v>OK</v>
      </c>
      <c r="X731" s="9" t="str">
        <f aca="false">VLOOKUP(F731,DIM_SERVICO!$A$2:$D$151,3,FALSE())</f>
        <v>Funilaria</v>
      </c>
    </row>
    <row r="732" customFormat="false" ht="15" hidden="false" customHeight="false" outlineLevel="0" collapsed="false">
      <c r="A732" s="2" t="n">
        <v>731</v>
      </c>
      <c r="B732" s="2" t="n">
        <v>748</v>
      </c>
      <c r="C732" s="2" t="n">
        <v>1469</v>
      </c>
      <c r="D732" s="2" t="n">
        <v>806</v>
      </c>
      <c r="E732" s="2" t="n">
        <v>331</v>
      </c>
      <c r="F732" s="2" t="n">
        <v>57</v>
      </c>
      <c r="G732" s="2" t="n">
        <v>606</v>
      </c>
      <c r="H732" s="2" t="n">
        <v>4</v>
      </c>
      <c r="I732" s="3" t="n">
        <v>3235.28</v>
      </c>
      <c r="J732" s="3" t="n">
        <v>719.54</v>
      </c>
      <c r="K732" s="3" t="n">
        <v>5042.39</v>
      </c>
      <c r="L732" s="3" t="n">
        <v>1513.79</v>
      </c>
      <c r="M732" s="2" t="n">
        <v>5.5</v>
      </c>
      <c r="N732" s="2" t="s">
        <v>24</v>
      </c>
      <c r="O732" s="4" t="n">
        <f aca="false">VLOOKUP(F732,DIM_SERVICO!$A$2:$D$151,4,FALSE())</f>
        <v>719.54</v>
      </c>
      <c r="P732" s="4" t="n">
        <f aca="false">VLOOKUP(E732,DIM_PECA!$A$2:$F$501,6,FALSE())</f>
        <v>1106.44</v>
      </c>
      <c r="Q732" s="4" t="n">
        <f aca="false">VLOOKUP(E732,DIM_PECA!$A$2:$F$501,5,FALSE())</f>
        <v>808.82</v>
      </c>
      <c r="R732" s="4" t="n">
        <f aca="false">H732*P732</f>
        <v>4425.76</v>
      </c>
      <c r="S732" s="4" t="n">
        <f aca="false">O732*M732</f>
        <v>3957.47</v>
      </c>
      <c r="T732" s="4" t="n">
        <f aca="false">R732+S732</f>
        <v>8383.23</v>
      </c>
      <c r="U732" s="4" t="n">
        <f aca="false">T732-K732</f>
        <v>3340.84</v>
      </c>
      <c r="V732" s="4" t="n">
        <f aca="false">R732+S732-U732</f>
        <v>5042.39</v>
      </c>
      <c r="W732" s="5" t="str">
        <f aca="false">IF(ROUND(V732-K732,2)=0,"OK","ERRO")</f>
        <v>OK</v>
      </c>
      <c r="X732" s="5" t="str">
        <f aca="false">VLOOKUP(F732,DIM_SERVICO!$A$2:$D$151,3,FALSE())</f>
        <v>Diagnóstico</v>
      </c>
    </row>
    <row r="733" customFormat="false" ht="15" hidden="false" customHeight="false" outlineLevel="0" collapsed="false">
      <c r="A733" s="6" t="n">
        <v>732</v>
      </c>
      <c r="B733" s="6" t="n">
        <v>1068</v>
      </c>
      <c r="C733" s="6" t="n">
        <v>1061</v>
      </c>
      <c r="D733" s="6" t="n">
        <v>527</v>
      </c>
      <c r="E733" s="6" t="n">
        <v>192</v>
      </c>
      <c r="F733" s="6" t="n">
        <v>33</v>
      </c>
      <c r="G733" s="6" t="n">
        <v>948</v>
      </c>
      <c r="H733" s="6" t="n">
        <v>2</v>
      </c>
      <c r="I733" s="7" t="n">
        <v>1792.1</v>
      </c>
      <c r="J733" s="7" t="n">
        <v>538.49</v>
      </c>
      <c r="K733" s="7" t="n">
        <v>3346.58</v>
      </c>
      <c r="L733" s="7" t="n">
        <v>1259.64</v>
      </c>
      <c r="M733" s="6" t="n">
        <v>7.8</v>
      </c>
      <c r="N733" s="6" t="s">
        <v>27</v>
      </c>
      <c r="O733" s="8" t="n">
        <f aca="false">VLOOKUP(F733,DIM_SERVICO!$A$2:$D$151,4,FALSE())</f>
        <v>538.49</v>
      </c>
      <c r="P733" s="8" t="n">
        <f aca="false">VLOOKUP(E733,DIM_PECA!$A$2:$F$501,6,FALSE())</f>
        <v>1549.55</v>
      </c>
      <c r="Q733" s="8" t="n">
        <f aca="false">VLOOKUP(E733,DIM_PECA!$A$2:$F$501,5,FALSE())</f>
        <v>896.05</v>
      </c>
      <c r="R733" s="8" t="n">
        <f aca="false">H733*P733</f>
        <v>3099.1</v>
      </c>
      <c r="S733" s="8" t="n">
        <f aca="false">O733*M733</f>
        <v>4200.222</v>
      </c>
      <c r="T733" s="8" t="n">
        <f aca="false">R733+S733</f>
        <v>7299.322</v>
      </c>
      <c r="U733" s="8" t="n">
        <f aca="false">T733-K733</f>
        <v>3952.742</v>
      </c>
      <c r="V733" s="8" t="n">
        <f aca="false">R733+S733-U733</f>
        <v>3346.58</v>
      </c>
      <c r="W733" s="9" t="str">
        <f aca="false">IF(ROUND(V733-K733,2)=0,"OK","ERRO")</f>
        <v>OK</v>
      </c>
      <c r="X733" s="9" t="str">
        <f aca="false">VLOOKUP(F733,DIM_SERVICO!$A$2:$D$151,3,FALSE())</f>
        <v>Suspensão</v>
      </c>
    </row>
    <row r="734" customFormat="false" ht="15" hidden="false" customHeight="false" outlineLevel="0" collapsed="false">
      <c r="A734" s="2" t="n">
        <v>733</v>
      </c>
      <c r="B734" s="2" t="n">
        <v>64</v>
      </c>
      <c r="C734" s="2" t="n">
        <v>210</v>
      </c>
      <c r="D734" s="2" t="n">
        <v>1148</v>
      </c>
      <c r="E734" s="2" t="n">
        <v>265</v>
      </c>
      <c r="F734" s="2" t="n">
        <v>134</v>
      </c>
      <c r="G734" s="2" t="n">
        <v>215</v>
      </c>
      <c r="H734" s="2" t="n">
        <v>3</v>
      </c>
      <c r="I734" s="3" t="n">
        <v>2464.89</v>
      </c>
      <c r="J734" s="3" t="n">
        <v>1364.67</v>
      </c>
      <c r="K734" s="3" t="n">
        <v>6174.15</v>
      </c>
      <c r="L734" s="3" t="n">
        <v>3096.38</v>
      </c>
      <c r="M734" s="2" t="n">
        <v>3.8</v>
      </c>
      <c r="N734" s="2" t="s">
        <v>26</v>
      </c>
      <c r="O734" s="4" t="n">
        <f aca="false">VLOOKUP(F734,DIM_SERVICO!$A$2:$D$151,4,FALSE())</f>
        <v>1364.67</v>
      </c>
      <c r="P734" s="4" t="n">
        <f aca="false">VLOOKUP(E734,DIM_PECA!$A$2:$F$501,6,FALSE())</f>
        <v>1645.16</v>
      </c>
      <c r="Q734" s="4" t="n">
        <f aca="false">VLOOKUP(E734,DIM_PECA!$A$2:$F$501,5,FALSE())</f>
        <v>821.63</v>
      </c>
      <c r="R734" s="4" t="n">
        <f aca="false">H734*P734</f>
        <v>4935.48</v>
      </c>
      <c r="S734" s="4" t="n">
        <f aca="false">O734*M734</f>
        <v>5185.746</v>
      </c>
      <c r="T734" s="4" t="n">
        <f aca="false">R734+S734</f>
        <v>10121.226</v>
      </c>
      <c r="U734" s="4" t="n">
        <f aca="false">T734-K734</f>
        <v>3947.076</v>
      </c>
      <c r="V734" s="4" t="n">
        <f aca="false">R734+S734-U734</f>
        <v>6174.15</v>
      </c>
      <c r="W734" s="5" t="str">
        <f aca="false">IF(ROUND(V734-K734,2)=0,"OK","ERRO")</f>
        <v>OK</v>
      </c>
      <c r="X734" s="5" t="str">
        <f aca="false">VLOOKUP(F734,DIM_SERVICO!$A$2:$D$151,3,FALSE())</f>
        <v>Elétrica</v>
      </c>
    </row>
    <row r="735" customFormat="false" ht="15" hidden="false" customHeight="false" outlineLevel="0" collapsed="false">
      <c r="A735" s="6" t="n">
        <v>734</v>
      </c>
      <c r="B735" s="6" t="n">
        <v>399</v>
      </c>
      <c r="C735" s="6" t="n">
        <v>438</v>
      </c>
      <c r="D735" s="6" t="n">
        <v>605</v>
      </c>
      <c r="E735" s="6" t="n">
        <v>142</v>
      </c>
      <c r="F735" s="6" t="n">
        <v>91</v>
      </c>
      <c r="G735" s="6" t="n">
        <v>704</v>
      </c>
      <c r="H735" s="6" t="n">
        <v>4</v>
      </c>
      <c r="I735" s="7" t="n">
        <v>590.56</v>
      </c>
      <c r="J735" s="7" t="n">
        <v>1566.63</v>
      </c>
      <c r="K735" s="7" t="n">
        <v>2555.41</v>
      </c>
      <c r="L735" s="7" t="n">
        <v>1273.41</v>
      </c>
      <c r="M735" s="6" t="n">
        <v>0.8</v>
      </c>
      <c r="N735" s="6" t="s">
        <v>26</v>
      </c>
      <c r="O735" s="8" t="n">
        <f aca="false">VLOOKUP(F735,DIM_SERVICO!$A$2:$D$151,4,FALSE())</f>
        <v>1566.63</v>
      </c>
      <c r="P735" s="8" t="n">
        <f aca="false">VLOOKUP(E735,DIM_PECA!$A$2:$F$501,6,FALSE())</f>
        <v>280.82</v>
      </c>
      <c r="Q735" s="8" t="n">
        <f aca="false">VLOOKUP(E735,DIM_PECA!$A$2:$F$501,5,FALSE())</f>
        <v>147.64</v>
      </c>
      <c r="R735" s="8" t="n">
        <f aca="false">H735*P735</f>
        <v>1123.28</v>
      </c>
      <c r="S735" s="8" t="n">
        <f aca="false">O735*M735</f>
        <v>1253.304</v>
      </c>
      <c r="T735" s="8" t="n">
        <f aca="false">R735+S735</f>
        <v>2376.584</v>
      </c>
      <c r="U735" s="8" t="n">
        <f aca="false">T735-K735</f>
        <v>-178.826</v>
      </c>
      <c r="V735" s="8" t="n">
        <f aca="false">R735+S735-U735</f>
        <v>2555.41</v>
      </c>
      <c r="W735" s="9" t="str">
        <f aca="false">IF(ROUND(V735-K735,2)=0,"OK","ERRO")</f>
        <v>OK</v>
      </c>
      <c r="X735" s="9" t="str">
        <f aca="false">VLOOKUP(F735,DIM_SERVICO!$A$2:$D$151,3,FALSE())</f>
        <v>Funilaria</v>
      </c>
    </row>
    <row r="736" customFormat="false" ht="15" hidden="false" customHeight="false" outlineLevel="0" collapsed="false">
      <c r="A736" s="2" t="n">
        <v>735</v>
      </c>
      <c r="B736" s="2" t="n">
        <v>462</v>
      </c>
      <c r="C736" s="2" t="n">
        <v>943</v>
      </c>
      <c r="D736" s="2" t="n">
        <v>1080</v>
      </c>
      <c r="E736" s="2" t="n">
        <v>402</v>
      </c>
      <c r="F736" s="2" t="n">
        <v>16</v>
      </c>
      <c r="G736" s="2" t="n">
        <v>976</v>
      </c>
      <c r="H736" s="2" t="n">
        <v>4</v>
      </c>
      <c r="I736" s="3" t="n">
        <v>2700.72</v>
      </c>
      <c r="J736" s="3" t="n">
        <v>266.12</v>
      </c>
      <c r="K736" s="3" t="n">
        <v>5401.5</v>
      </c>
      <c r="L736" s="3" t="n">
        <v>2604.7</v>
      </c>
      <c r="M736" s="2" t="n">
        <v>7.8</v>
      </c>
      <c r="N736" s="2" t="s">
        <v>24</v>
      </c>
      <c r="O736" s="4" t="n">
        <f aca="false">VLOOKUP(F736,DIM_SERVICO!$A$2:$D$151,4,FALSE())</f>
        <v>266.12</v>
      </c>
      <c r="P736" s="4" t="n">
        <f aca="false">VLOOKUP(E736,DIM_PECA!$A$2:$F$501,6,FALSE())</f>
        <v>1401.27</v>
      </c>
      <c r="Q736" s="4" t="n">
        <f aca="false">VLOOKUP(E736,DIM_PECA!$A$2:$F$501,5,FALSE())</f>
        <v>675.18</v>
      </c>
      <c r="R736" s="4" t="n">
        <f aca="false">H736*P736</f>
        <v>5605.08</v>
      </c>
      <c r="S736" s="4" t="n">
        <f aca="false">O736*M736</f>
        <v>2075.736</v>
      </c>
      <c r="T736" s="4" t="n">
        <f aca="false">R736+S736</f>
        <v>7680.816</v>
      </c>
      <c r="U736" s="4" t="n">
        <f aca="false">T736-K736</f>
        <v>2279.316</v>
      </c>
      <c r="V736" s="4" t="n">
        <f aca="false">R736+S736-U736</f>
        <v>5401.5</v>
      </c>
      <c r="W736" s="5" t="str">
        <f aca="false">IF(ROUND(V736-K736,2)=0,"OK","ERRO")</f>
        <v>OK</v>
      </c>
      <c r="X736" s="5" t="str">
        <f aca="false">VLOOKUP(F736,DIM_SERVICO!$A$2:$D$151,3,FALSE())</f>
        <v>Funilaria</v>
      </c>
    </row>
    <row r="737" customFormat="false" ht="15" hidden="false" customHeight="false" outlineLevel="0" collapsed="false">
      <c r="A737" s="6" t="n">
        <v>736</v>
      </c>
      <c r="B737" s="6" t="n">
        <v>1228</v>
      </c>
      <c r="C737" s="6" t="n">
        <v>765</v>
      </c>
      <c r="D737" s="6" t="n">
        <v>608</v>
      </c>
      <c r="E737" s="6" t="n">
        <v>496</v>
      </c>
      <c r="F737" s="6" t="n">
        <v>54</v>
      </c>
      <c r="G737" s="6" t="n">
        <v>55</v>
      </c>
      <c r="H737" s="6" t="n">
        <v>1</v>
      </c>
      <c r="I737" s="7" t="n">
        <v>672.02</v>
      </c>
      <c r="J737" s="7" t="n">
        <v>952.31</v>
      </c>
      <c r="K737" s="7" t="n">
        <v>1998.1</v>
      </c>
      <c r="L737" s="7" t="n">
        <v>900.41</v>
      </c>
      <c r="M737" s="6" t="n">
        <v>9.4</v>
      </c>
      <c r="N737" s="6" t="s">
        <v>24</v>
      </c>
      <c r="O737" s="8" t="n">
        <f aca="false">VLOOKUP(F737,DIM_SERVICO!$A$2:$D$151,4,FALSE())</f>
        <v>952.31</v>
      </c>
      <c r="P737" s="8" t="n">
        <f aca="false">VLOOKUP(E737,DIM_PECA!$A$2:$F$501,6,FALSE())</f>
        <v>1045.79</v>
      </c>
      <c r="Q737" s="8" t="n">
        <f aca="false">VLOOKUP(E737,DIM_PECA!$A$2:$F$501,5,FALSE())</f>
        <v>672.02</v>
      </c>
      <c r="R737" s="8" t="n">
        <f aca="false">H737*P737</f>
        <v>1045.79</v>
      </c>
      <c r="S737" s="8" t="n">
        <f aca="false">O737*M737</f>
        <v>8951.714</v>
      </c>
      <c r="T737" s="8" t="n">
        <f aca="false">R737+S737</f>
        <v>9997.504</v>
      </c>
      <c r="U737" s="8" t="n">
        <f aca="false">T737-K737</f>
        <v>7999.404</v>
      </c>
      <c r="V737" s="8" t="n">
        <f aca="false">R737+S737-U737</f>
        <v>1998.1</v>
      </c>
      <c r="W737" s="9" t="str">
        <f aca="false">IF(ROUND(V737-K737,2)=0,"OK","ERRO")</f>
        <v>OK</v>
      </c>
      <c r="X737" s="9" t="str">
        <f aca="false">VLOOKUP(F737,DIM_SERVICO!$A$2:$D$151,3,FALSE())</f>
        <v>Revisão</v>
      </c>
    </row>
    <row r="738" customFormat="false" ht="15" hidden="false" customHeight="false" outlineLevel="0" collapsed="false">
      <c r="A738" s="2" t="n">
        <v>737</v>
      </c>
      <c r="B738" s="2" t="n">
        <v>1058</v>
      </c>
      <c r="C738" s="2" t="n">
        <v>537</v>
      </c>
      <c r="D738" s="2" t="n">
        <v>190</v>
      </c>
      <c r="E738" s="2" t="n">
        <v>78</v>
      </c>
      <c r="F738" s="2" t="n">
        <v>121</v>
      </c>
      <c r="G738" s="2" t="n">
        <v>353</v>
      </c>
      <c r="H738" s="2" t="n">
        <v>3</v>
      </c>
      <c r="I738" s="3" t="n">
        <v>3552.81</v>
      </c>
      <c r="J738" s="3" t="n">
        <v>599.74</v>
      </c>
      <c r="K738" s="3" t="n">
        <v>5326.23</v>
      </c>
      <c r="L738" s="3" t="n">
        <v>1542.47</v>
      </c>
      <c r="M738" s="2" t="n">
        <v>2.6</v>
      </c>
      <c r="N738" s="2" t="s">
        <v>27</v>
      </c>
      <c r="O738" s="4" t="n">
        <f aca="false">VLOOKUP(F738,DIM_SERVICO!$A$2:$D$151,4,FALSE())</f>
        <v>599.74</v>
      </c>
      <c r="P738" s="4" t="n">
        <f aca="false">VLOOKUP(E738,DIM_PECA!$A$2:$F$501,6,FALSE())</f>
        <v>1668.94</v>
      </c>
      <c r="Q738" s="4" t="n">
        <f aca="false">VLOOKUP(E738,DIM_PECA!$A$2:$F$501,5,FALSE())</f>
        <v>1184.27</v>
      </c>
      <c r="R738" s="4" t="n">
        <f aca="false">H738*P738</f>
        <v>5006.82</v>
      </c>
      <c r="S738" s="4" t="n">
        <f aca="false">O738*M738</f>
        <v>1559.324</v>
      </c>
      <c r="T738" s="4" t="n">
        <f aca="false">R738+S738</f>
        <v>6566.144</v>
      </c>
      <c r="U738" s="4" t="n">
        <f aca="false">T738-K738</f>
        <v>1239.914</v>
      </c>
      <c r="V738" s="4" t="n">
        <f aca="false">R738+S738-U738</f>
        <v>5326.23</v>
      </c>
      <c r="W738" s="5" t="str">
        <f aca="false">IF(ROUND(V738-K738,2)=0,"OK","ERRO")</f>
        <v>OK</v>
      </c>
      <c r="X738" s="5" t="str">
        <f aca="false">VLOOKUP(F738,DIM_SERVICO!$A$2:$D$151,3,FALSE())</f>
        <v>Revisão</v>
      </c>
    </row>
    <row r="739" customFormat="false" ht="15" hidden="false" customHeight="false" outlineLevel="0" collapsed="false">
      <c r="A739" s="6" t="n">
        <v>738</v>
      </c>
      <c r="B739" s="6" t="n">
        <v>1291</v>
      </c>
      <c r="C739" s="6" t="n">
        <v>1283</v>
      </c>
      <c r="D739" s="6" t="n">
        <v>993</v>
      </c>
      <c r="E739" s="6" t="n">
        <v>183</v>
      </c>
      <c r="F739" s="6" t="n">
        <v>98</v>
      </c>
      <c r="G739" s="6" t="n">
        <v>918</v>
      </c>
      <c r="H739" s="6" t="n">
        <v>2</v>
      </c>
      <c r="I739" s="7" t="n">
        <v>514.58</v>
      </c>
      <c r="J739" s="7" t="n">
        <v>951.01</v>
      </c>
      <c r="K739" s="7" t="n">
        <v>1761.07</v>
      </c>
      <c r="L739" s="7" t="n">
        <v>903.7</v>
      </c>
      <c r="M739" s="6" t="n">
        <v>4.4</v>
      </c>
      <c r="N739" s="6" t="s">
        <v>24</v>
      </c>
      <c r="O739" s="8" t="n">
        <f aca="false">VLOOKUP(F739,DIM_SERVICO!$A$2:$D$151,4,FALSE())</f>
        <v>951.01</v>
      </c>
      <c r="P739" s="8" t="n">
        <f aca="false">VLOOKUP(E739,DIM_PECA!$A$2:$F$501,6,FALSE())</f>
        <v>405.03</v>
      </c>
      <c r="Q739" s="8" t="n">
        <f aca="false">VLOOKUP(E739,DIM_PECA!$A$2:$F$501,5,FALSE())</f>
        <v>257.29</v>
      </c>
      <c r="R739" s="8" t="n">
        <f aca="false">H739*P739</f>
        <v>810.06</v>
      </c>
      <c r="S739" s="8" t="n">
        <f aca="false">O739*M739</f>
        <v>4184.444</v>
      </c>
      <c r="T739" s="8" t="n">
        <f aca="false">R739+S739</f>
        <v>4994.504</v>
      </c>
      <c r="U739" s="8" t="n">
        <f aca="false">T739-K739</f>
        <v>3233.434</v>
      </c>
      <c r="V739" s="8" t="n">
        <f aca="false">R739+S739-U739</f>
        <v>1761.07</v>
      </c>
      <c r="W739" s="9" t="str">
        <f aca="false">IF(ROUND(V739-K739,2)=0,"OK","ERRO")</f>
        <v>OK</v>
      </c>
      <c r="X739" s="9" t="str">
        <f aca="false">VLOOKUP(F739,DIM_SERVICO!$A$2:$D$151,3,FALSE())</f>
        <v>Revisão</v>
      </c>
    </row>
    <row r="740" customFormat="false" ht="15" hidden="false" customHeight="false" outlineLevel="0" collapsed="false">
      <c r="A740" s="2" t="n">
        <v>739</v>
      </c>
      <c r="B740" s="2" t="n">
        <v>1241</v>
      </c>
      <c r="C740" s="2" t="n">
        <v>1323</v>
      </c>
      <c r="D740" s="2" t="n">
        <v>1117</v>
      </c>
      <c r="E740" s="2" t="n">
        <v>84</v>
      </c>
      <c r="F740" s="2" t="n">
        <v>84</v>
      </c>
      <c r="G740" s="2" t="n">
        <v>1744</v>
      </c>
      <c r="H740" s="2" t="n">
        <v>1</v>
      </c>
      <c r="I740" s="3" t="n">
        <v>620.79</v>
      </c>
      <c r="J740" s="3" t="n">
        <v>1250.08</v>
      </c>
      <c r="K740" s="3" t="n">
        <v>2253.4</v>
      </c>
      <c r="L740" s="3" t="n">
        <v>1077.79</v>
      </c>
      <c r="M740" s="2" t="n">
        <v>6.6</v>
      </c>
      <c r="N740" s="2" t="s">
        <v>27</v>
      </c>
      <c r="O740" s="4" t="n">
        <f aca="false">VLOOKUP(F740,DIM_SERVICO!$A$2:$D$151,4,FALSE())</f>
        <v>1250.08</v>
      </c>
      <c r="P740" s="4" t="n">
        <f aca="false">VLOOKUP(E740,DIM_PECA!$A$2:$F$501,6,FALSE())</f>
        <v>1049.31</v>
      </c>
      <c r="Q740" s="4" t="n">
        <f aca="false">VLOOKUP(E740,DIM_PECA!$A$2:$F$501,5,FALSE())</f>
        <v>620.79</v>
      </c>
      <c r="R740" s="4" t="n">
        <f aca="false">H740*P740</f>
        <v>1049.31</v>
      </c>
      <c r="S740" s="4" t="n">
        <f aca="false">O740*M740</f>
        <v>8250.528</v>
      </c>
      <c r="T740" s="4" t="n">
        <f aca="false">R740+S740</f>
        <v>9299.838</v>
      </c>
      <c r="U740" s="4" t="n">
        <f aca="false">T740-K740</f>
        <v>7046.438</v>
      </c>
      <c r="V740" s="4" t="n">
        <f aca="false">R740+S740-U740</f>
        <v>2253.4</v>
      </c>
      <c r="W740" s="5" t="str">
        <f aca="false">IF(ROUND(V740-K740,2)=0,"OK","ERRO")</f>
        <v>OK</v>
      </c>
      <c r="X740" s="5" t="str">
        <f aca="false">VLOOKUP(F740,DIM_SERVICO!$A$2:$D$151,3,FALSE())</f>
        <v>Freios</v>
      </c>
    </row>
    <row r="741" customFormat="false" ht="15" hidden="false" customHeight="false" outlineLevel="0" collapsed="false">
      <c r="A741" s="6" t="n">
        <v>740</v>
      </c>
      <c r="B741" s="6" t="n">
        <v>468</v>
      </c>
      <c r="C741" s="6" t="n">
        <v>883</v>
      </c>
      <c r="D741" s="6" t="n">
        <v>582</v>
      </c>
      <c r="E741" s="6" t="n">
        <v>80</v>
      </c>
      <c r="F741" s="6" t="n">
        <v>104</v>
      </c>
      <c r="G741" s="6" t="n">
        <v>631</v>
      </c>
      <c r="H741" s="6" t="n">
        <v>2</v>
      </c>
      <c r="I741" s="7" t="n">
        <v>967.94</v>
      </c>
      <c r="J741" s="7" t="n">
        <v>409.99</v>
      </c>
      <c r="K741" s="7" t="n">
        <v>1868.25</v>
      </c>
      <c r="L741" s="7" t="n">
        <v>684.72</v>
      </c>
      <c r="M741" s="6" t="n">
        <v>3</v>
      </c>
      <c r="N741" s="6" t="s">
        <v>24</v>
      </c>
      <c r="O741" s="8" t="n">
        <f aca="false">VLOOKUP(F741,DIM_SERVICO!$A$2:$D$151,4,FALSE())</f>
        <v>409.99</v>
      </c>
      <c r="P741" s="8" t="n">
        <f aca="false">VLOOKUP(E741,DIM_PECA!$A$2:$F$501,6,FALSE())</f>
        <v>832.92</v>
      </c>
      <c r="Q741" s="8" t="n">
        <f aca="false">VLOOKUP(E741,DIM_PECA!$A$2:$F$501,5,FALSE())</f>
        <v>483.97</v>
      </c>
      <c r="R741" s="8" t="n">
        <f aca="false">H741*P741</f>
        <v>1665.84</v>
      </c>
      <c r="S741" s="8" t="n">
        <f aca="false">O741*M741</f>
        <v>1229.97</v>
      </c>
      <c r="T741" s="8" t="n">
        <f aca="false">R741+S741</f>
        <v>2895.81</v>
      </c>
      <c r="U741" s="8" t="n">
        <f aca="false">T741-K741</f>
        <v>1027.56</v>
      </c>
      <c r="V741" s="8" t="n">
        <f aca="false">R741+S741-U741</f>
        <v>1868.25</v>
      </c>
      <c r="W741" s="9" t="str">
        <f aca="false">IF(ROUND(V741-K741,2)=0,"OK","ERRO")</f>
        <v>OK</v>
      </c>
      <c r="X741" s="9" t="str">
        <f aca="false">VLOOKUP(F741,DIM_SERVICO!$A$2:$D$151,3,FALSE())</f>
        <v>Diagnóstico</v>
      </c>
    </row>
    <row r="742" customFormat="false" ht="15" hidden="false" customHeight="false" outlineLevel="0" collapsed="false">
      <c r="A742" s="2" t="n">
        <v>741</v>
      </c>
      <c r="B742" s="2" t="n">
        <v>1266</v>
      </c>
      <c r="C742" s="2" t="n">
        <v>631</v>
      </c>
      <c r="D742" s="2" t="n">
        <v>282</v>
      </c>
      <c r="E742" s="2" t="n">
        <v>259</v>
      </c>
      <c r="F742" s="2" t="n">
        <v>35</v>
      </c>
      <c r="G742" s="2" t="n">
        <v>1602</v>
      </c>
      <c r="H742" s="2" t="n">
        <v>2</v>
      </c>
      <c r="I742" s="3" t="n">
        <v>1024.02</v>
      </c>
      <c r="J742" s="3" t="n">
        <v>1082.38</v>
      </c>
      <c r="K742" s="3" t="n">
        <v>2782.92</v>
      </c>
      <c r="L742" s="3" t="n">
        <v>1340.05</v>
      </c>
      <c r="M742" s="2" t="n">
        <v>3.7</v>
      </c>
      <c r="N742" s="2" t="s">
        <v>24</v>
      </c>
      <c r="O742" s="4" t="n">
        <f aca="false">VLOOKUP(F742,DIM_SERVICO!$A$2:$D$151,4,FALSE())</f>
        <v>1082.38</v>
      </c>
      <c r="P742" s="4" t="n">
        <f aca="false">VLOOKUP(E742,DIM_PECA!$A$2:$F$501,6,FALSE())</f>
        <v>850.27</v>
      </c>
      <c r="Q742" s="4" t="n">
        <f aca="false">VLOOKUP(E742,DIM_PECA!$A$2:$F$501,5,FALSE())</f>
        <v>512.01</v>
      </c>
      <c r="R742" s="4" t="n">
        <f aca="false">H742*P742</f>
        <v>1700.54</v>
      </c>
      <c r="S742" s="4" t="n">
        <f aca="false">O742*M742</f>
        <v>4004.806</v>
      </c>
      <c r="T742" s="4" t="n">
        <f aca="false">R742+S742</f>
        <v>5705.346</v>
      </c>
      <c r="U742" s="4" t="n">
        <f aca="false">T742-K742</f>
        <v>2922.426</v>
      </c>
      <c r="V742" s="4" t="n">
        <f aca="false">R742+S742-U742</f>
        <v>2782.92</v>
      </c>
      <c r="W742" s="5" t="str">
        <f aca="false">IF(ROUND(V742-K742,2)=0,"OK","ERRO")</f>
        <v>OK</v>
      </c>
      <c r="X742" s="5" t="str">
        <f aca="false">VLOOKUP(F742,DIM_SERVICO!$A$2:$D$151,3,FALSE())</f>
        <v>Diagnóstico</v>
      </c>
    </row>
    <row r="743" customFormat="false" ht="15" hidden="false" customHeight="false" outlineLevel="0" collapsed="false">
      <c r="A743" s="6" t="n">
        <v>742</v>
      </c>
      <c r="B743" s="6" t="n">
        <v>472</v>
      </c>
      <c r="C743" s="6" t="n">
        <v>8</v>
      </c>
      <c r="D743" s="6" t="n">
        <v>768</v>
      </c>
      <c r="E743" s="6" t="n">
        <v>150</v>
      </c>
      <c r="F743" s="6" t="n">
        <v>147</v>
      </c>
      <c r="G743" s="6" t="n">
        <v>832</v>
      </c>
      <c r="H743" s="6" t="n">
        <v>1</v>
      </c>
      <c r="I743" s="7" t="n">
        <v>365.03</v>
      </c>
      <c r="J743" s="7" t="n">
        <v>1891.42</v>
      </c>
      <c r="K743" s="7" t="n">
        <v>2574.82</v>
      </c>
      <c r="L743" s="7" t="n">
        <v>1486.54</v>
      </c>
      <c r="M743" s="6" t="n">
        <v>2.3</v>
      </c>
      <c r="N743" s="6" t="s">
        <v>24</v>
      </c>
      <c r="O743" s="8" t="n">
        <f aca="false">VLOOKUP(F743,DIM_SERVICO!$A$2:$D$151,4,FALSE())</f>
        <v>1891.42</v>
      </c>
      <c r="P743" s="8" t="n">
        <f aca="false">VLOOKUP(E743,DIM_PECA!$A$2:$F$501,6,FALSE())</f>
        <v>735.95</v>
      </c>
      <c r="Q743" s="8" t="n">
        <f aca="false">VLOOKUP(E743,DIM_PECA!$A$2:$F$501,5,FALSE())</f>
        <v>365.03</v>
      </c>
      <c r="R743" s="8" t="n">
        <f aca="false">H743*P743</f>
        <v>735.95</v>
      </c>
      <c r="S743" s="8" t="n">
        <f aca="false">O743*M743</f>
        <v>4350.266</v>
      </c>
      <c r="T743" s="8" t="n">
        <f aca="false">R743+S743</f>
        <v>5086.216</v>
      </c>
      <c r="U743" s="8" t="n">
        <f aca="false">T743-K743</f>
        <v>2511.396</v>
      </c>
      <c r="V743" s="8" t="n">
        <f aca="false">R743+S743-U743</f>
        <v>2574.82</v>
      </c>
      <c r="W743" s="9" t="str">
        <f aca="false">IF(ROUND(V743-K743,2)=0,"OK","ERRO")</f>
        <v>OK</v>
      </c>
      <c r="X743" s="9" t="str">
        <f aca="false">VLOOKUP(F743,DIM_SERVICO!$A$2:$D$151,3,FALSE())</f>
        <v>Motor</v>
      </c>
    </row>
    <row r="744" customFormat="false" ht="15" hidden="false" customHeight="false" outlineLevel="0" collapsed="false">
      <c r="A744" s="2" t="n">
        <v>743</v>
      </c>
      <c r="B744" s="2" t="n">
        <v>1141</v>
      </c>
      <c r="C744" s="2" t="n">
        <v>127</v>
      </c>
      <c r="D744" s="2" t="n">
        <v>193</v>
      </c>
      <c r="E744" s="2" t="n">
        <v>371</v>
      </c>
      <c r="F744" s="2" t="n">
        <v>72</v>
      </c>
      <c r="G744" s="2" t="n">
        <v>1052</v>
      </c>
      <c r="H744" s="2" t="n">
        <v>4</v>
      </c>
      <c r="I744" s="3" t="n">
        <v>925.72</v>
      </c>
      <c r="J744" s="3" t="n">
        <v>710.66</v>
      </c>
      <c r="K744" s="3" t="n">
        <v>2499.02</v>
      </c>
      <c r="L744" s="3" t="n">
        <v>1317.87</v>
      </c>
      <c r="M744" s="2" t="n">
        <v>5.7</v>
      </c>
      <c r="N744" s="2" t="s">
        <v>24</v>
      </c>
      <c r="O744" s="4" t="n">
        <f aca="false">VLOOKUP(F744,DIM_SERVICO!$A$2:$D$151,4,FALSE())</f>
        <v>710.66</v>
      </c>
      <c r="P744" s="4" t="n">
        <f aca="false">VLOOKUP(E744,DIM_PECA!$A$2:$F$501,6,FALSE())</f>
        <v>459.84</v>
      </c>
      <c r="Q744" s="4" t="n">
        <f aca="false">VLOOKUP(E744,DIM_PECA!$A$2:$F$501,5,FALSE())</f>
        <v>231.43</v>
      </c>
      <c r="R744" s="4" t="n">
        <f aca="false">H744*P744</f>
        <v>1839.36</v>
      </c>
      <c r="S744" s="4" t="n">
        <f aca="false">O744*M744</f>
        <v>4050.762</v>
      </c>
      <c r="T744" s="4" t="n">
        <f aca="false">R744+S744</f>
        <v>5890.122</v>
      </c>
      <c r="U744" s="4" t="n">
        <f aca="false">T744-K744</f>
        <v>3391.102</v>
      </c>
      <c r="V744" s="4" t="n">
        <f aca="false">R744+S744-U744</f>
        <v>2499.02</v>
      </c>
      <c r="W744" s="5" t="str">
        <f aca="false">IF(ROUND(V744-K744,2)=0,"OK","ERRO")</f>
        <v>OK</v>
      </c>
      <c r="X744" s="5" t="str">
        <f aca="false">VLOOKUP(F744,DIM_SERVICO!$A$2:$D$151,3,FALSE())</f>
        <v>Motor</v>
      </c>
    </row>
    <row r="745" customFormat="false" ht="15" hidden="false" customHeight="false" outlineLevel="0" collapsed="false">
      <c r="A745" s="6" t="n">
        <v>744</v>
      </c>
      <c r="B745" s="6" t="n">
        <v>236</v>
      </c>
      <c r="C745" s="6" t="n">
        <v>475</v>
      </c>
      <c r="D745" s="6" t="n">
        <v>802</v>
      </c>
      <c r="E745" s="6" t="n">
        <v>88</v>
      </c>
      <c r="F745" s="6" t="n">
        <v>96</v>
      </c>
      <c r="G745" s="6" t="n">
        <v>69</v>
      </c>
      <c r="H745" s="6" t="n">
        <v>1</v>
      </c>
      <c r="I745" s="7" t="n">
        <v>189.03</v>
      </c>
      <c r="J745" s="7" t="n">
        <v>1247.25</v>
      </c>
      <c r="K745" s="7" t="n">
        <v>1556.38</v>
      </c>
      <c r="L745" s="7" t="n">
        <v>871.29</v>
      </c>
      <c r="M745" s="6" t="n">
        <v>11.7</v>
      </c>
      <c r="N745" s="6" t="s">
        <v>24</v>
      </c>
      <c r="O745" s="8" t="n">
        <f aca="false">VLOOKUP(F745,DIM_SERVICO!$A$2:$D$151,4,FALSE())</f>
        <v>1247.25</v>
      </c>
      <c r="P745" s="8" t="n">
        <f aca="false">VLOOKUP(E745,DIM_PECA!$A$2:$F$501,6,FALSE())</f>
        <v>391.04</v>
      </c>
      <c r="Q745" s="8" t="n">
        <f aca="false">VLOOKUP(E745,DIM_PECA!$A$2:$F$501,5,FALSE())</f>
        <v>189.03</v>
      </c>
      <c r="R745" s="8" t="n">
        <f aca="false">H745*P745</f>
        <v>391.04</v>
      </c>
      <c r="S745" s="8" t="n">
        <f aca="false">O745*M745</f>
        <v>14592.825</v>
      </c>
      <c r="T745" s="8" t="n">
        <f aca="false">R745+S745</f>
        <v>14983.865</v>
      </c>
      <c r="U745" s="8" t="n">
        <f aca="false">T745-K745</f>
        <v>13427.485</v>
      </c>
      <c r="V745" s="8" t="n">
        <f aca="false">R745+S745-U745</f>
        <v>1556.38</v>
      </c>
      <c r="W745" s="9" t="str">
        <f aca="false">IF(ROUND(V745-K745,2)=0,"OK","ERRO")</f>
        <v>OK</v>
      </c>
      <c r="X745" s="9" t="str">
        <f aca="false">VLOOKUP(F745,DIM_SERVICO!$A$2:$D$151,3,FALSE())</f>
        <v>Suspensão</v>
      </c>
    </row>
    <row r="746" customFormat="false" ht="15" hidden="false" customHeight="false" outlineLevel="0" collapsed="false">
      <c r="A746" s="2" t="n">
        <v>745</v>
      </c>
      <c r="B746" s="2" t="n">
        <v>338</v>
      </c>
      <c r="C746" s="2" t="n">
        <v>1174</v>
      </c>
      <c r="D746" s="2" t="n">
        <v>622</v>
      </c>
      <c r="E746" s="2" t="n">
        <v>200</v>
      </c>
      <c r="F746" s="2" t="n">
        <v>50</v>
      </c>
      <c r="G746" s="2" t="n">
        <v>1617</v>
      </c>
      <c r="H746" s="2" t="n">
        <v>2</v>
      </c>
      <c r="I746" s="3" t="n">
        <v>1653.88</v>
      </c>
      <c r="J746" s="3" t="n">
        <v>1357.79</v>
      </c>
      <c r="K746" s="3" t="n">
        <v>3914.37</v>
      </c>
      <c r="L746" s="3" t="n">
        <v>1683.57</v>
      </c>
      <c r="M746" s="2" t="n">
        <v>5.4</v>
      </c>
      <c r="N746" s="2" t="s">
        <v>24</v>
      </c>
      <c r="O746" s="4" t="n">
        <f aca="false">VLOOKUP(F746,DIM_SERVICO!$A$2:$D$151,4,FALSE())</f>
        <v>1357.79</v>
      </c>
      <c r="P746" s="4" t="n">
        <f aca="false">VLOOKUP(E746,DIM_PECA!$A$2:$F$501,6,FALSE())</f>
        <v>1278.29</v>
      </c>
      <c r="Q746" s="4" t="n">
        <f aca="false">VLOOKUP(E746,DIM_PECA!$A$2:$F$501,5,FALSE())</f>
        <v>826.94</v>
      </c>
      <c r="R746" s="4" t="n">
        <f aca="false">H746*P746</f>
        <v>2556.58</v>
      </c>
      <c r="S746" s="4" t="n">
        <f aca="false">O746*M746</f>
        <v>7332.066</v>
      </c>
      <c r="T746" s="4" t="n">
        <f aca="false">R746+S746</f>
        <v>9888.646</v>
      </c>
      <c r="U746" s="4" t="n">
        <f aca="false">T746-K746</f>
        <v>5974.276</v>
      </c>
      <c r="V746" s="4" t="n">
        <f aca="false">R746+S746-U746</f>
        <v>3914.37</v>
      </c>
      <c r="W746" s="5" t="str">
        <f aca="false">IF(ROUND(V746-K746,2)=0,"OK","ERRO")</f>
        <v>OK</v>
      </c>
      <c r="X746" s="5" t="str">
        <f aca="false">VLOOKUP(F746,DIM_SERVICO!$A$2:$D$151,3,FALSE())</f>
        <v>Pintura</v>
      </c>
    </row>
    <row r="747" customFormat="false" ht="15" hidden="false" customHeight="false" outlineLevel="0" collapsed="false">
      <c r="A747" s="6" t="n">
        <v>746</v>
      </c>
      <c r="B747" s="6" t="n">
        <v>401</v>
      </c>
      <c r="C747" s="6" t="n">
        <v>712</v>
      </c>
      <c r="D747" s="6" t="n">
        <v>76</v>
      </c>
      <c r="E747" s="6" t="n">
        <v>204</v>
      </c>
      <c r="F747" s="6" t="n">
        <v>146</v>
      </c>
      <c r="G747" s="6" t="n">
        <v>796</v>
      </c>
      <c r="H747" s="6" t="n">
        <v>1</v>
      </c>
      <c r="I747" s="7" t="n">
        <v>75.25</v>
      </c>
      <c r="J747" s="7" t="n">
        <v>482.6</v>
      </c>
      <c r="K747" s="7" t="n">
        <v>538.31</v>
      </c>
      <c r="L747" s="7" t="n">
        <v>224.58</v>
      </c>
      <c r="M747" s="6" t="n">
        <v>11</v>
      </c>
      <c r="N747" s="6" t="s">
        <v>24</v>
      </c>
      <c r="O747" s="8" t="n">
        <f aca="false">VLOOKUP(F747,DIM_SERVICO!$A$2:$D$151,4,FALSE())</f>
        <v>482.6</v>
      </c>
      <c r="P747" s="8" t="n">
        <f aca="false">VLOOKUP(E747,DIM_PECA!$A$2:$F$501,6,FALSE())</f>
        <v>102.52</v>
      </c>
      <c r="Q747" s="8" t="n">
        <f aca="false">VLOOKUP(E747,DIM_PECA!$A$2:$F$501,5,FALSE())</f>
        <v>75.25</v>
      </c>
      <c r="R747" s="8" t="n">
        <f aca="false">H747*P747</f>
        <v>102.52</v>
      </c>
      <c r="S747" s="8" t="n">
        <f aca="false">O747*M747</f>
        <v>5308.6</v>
      </c>
      <c r="T747" s="8" t="n">
        <f aca="false">R747+S747</f>
        <v>5411.12</v>
      </c>
      <c r="U747" s="8" t="n">
        <f aca="false">T747-K747</f>
        <v>4872.81</v>
      </c>
      <c r="V747" s="8" t="n">
        <f aca="false">R747+S747-U747</f>
        <v>538.31</v>
      </c>
      <c r="W747" s="9" t="str">
        <f aca="false">IF(ROUND(V747-K747,2)=0,"OK","ERRO")</f>
        <v>OK</v>
      </c>
      <c r="X747" s="9" t="str">
        <f aca="false">VLOOKUP(F747,DIM_SERVICO!$A$2:$D$151,3,FALSE())</f>
        <v>Funilaria</v>
      </c>
    </row>
    <row r="748" customFormat="false" ht="15" hidden="false" customHeight="false" outlineLevel="0" collapsed="false">
      <c r="A748" s="2" t="n">
        <v>747</v>
      </c>
      <c r="B748" s="2" t="n">
        <v>93</v>
      </c>
      <c r="C748" s="2" t="n">
        <v>1065</v>
      </c>
      <c r="D748" s="2" t="n">
        <v>455</v>
      </c>
      <c r="E748" s="2" t="n">
        <v>140</v>
      </c>
      <c r="F748" s="2" t="n">
        <v>90</v>
      </c>
      <c r="G748" s="2" t="n">
        <v>260</v>
      </c>
      <c r="H748" s="2" t="n">
        <v>2</v>
      </c>
      <c r="I748" s="3" t="n">
        <v>388.02</v>
      </c>
      <c r="J748" s="3" t="n">
        <v>702.32</v>
      </c>
      <c r="K748" s="3" t="n">
        <v>1398.54</v>
      </c>
      <c r="L748" s="3" t="n">
        <v>729.59</v>
      </c>
      <c r="M748" s="2" t="n">
        <v>1.3</v>
      </c>
      <c r="N748" s="2" t="s">
        <v>24</v>
      </c>
      <c r="O748" s="4" t="n">
        <f aca="false">VLOOKUP(F748,DIM_SERVICO!$A$2:$D$151,4,FALSE())</f>
        <v>702.32</v>
      </c>
      <c r="P748" s="4" t="n">
        <f aca="false">VLOOKUP(E748,DIM_PECA!$A$2:$F$501,6,FALSE())</f>
        <v>362.38</v>
      </c>
      <c r="Q748" s="4" t="n">
        <f aca="false">VLOOKUP(E748,DIM_PECA!$A$2:$F$501,5,FALSE())</f>
        <v>194.01</v>
      </c>
      <c r="R748" s="4" t="n">
        <f aca="false">H748*P748</f>
        <v>724.76</v>
      </c>
      <c r="S748" s="4" t="n">
        <f aca="false">O748*M748</f>
        <v>913.016</v>
      </c>
      <c r="T748" s="4" t="n">
        <f aca="false">R748+S748</f>
        <v>1637.776</v>
      </c>
      <c r="U748" s="4" t="n">
        <f aca="false">T748-K748</f>
        <v>239.236</v>
      </c>
      <c r="V748" s="4" t="n">
        <f aca="false">R748+S748-U748</f>
        <v>1398.54</v>
      </c>
      <c r="W748" s="5" t="str">
        <f aca="false">IF(ROUND(V748-K748,2)=0,"OK","ERRO")</f>
        <v>OK</v>
      </c>
      <c r="X748" s="5" t="str">
        <f aca="false">VLOOKUP(F748,DIM_SERVICO!$A$2:$D$151,3,FALSE())</f>
        <v>Diagnóstico</v>
      </c>
    </row>
    <row r="749" customFormat="false" ht="15" hidden="false" customHeight="false" outlineLevel="0" collapsed="false">
      <c r="A749" s="6" t="n">
        <v>748</v>
      </c>
      <c r="B749" s="6" t="n">
        <v>1220</v>
      </c>
      <c r="C749" s="6" t="n">
        <v>56</v>
      </c>
      <c r="D749" s="6" t="n">
        <v>62</v>
      </c>
      <c r="E749" s="6" t="n">
        <v>407</v>
      </c>
      <c r="F749" s="6" t="n">
        <v>44</v>
      </c>
      <c r="G749" s="6" t="n">
        <v>68</v>
      </c>
      <c r="H749" s="6" t="n">
        <v>4</v>
      </c>
      <c r="I749" s="7" t="n">
        <v>2906</v>
      </c>
      <c r="J749" s="7" t="n">
        <v>1855.21</v>
      </c>
      <c r="K749" s="7" t="n">
        <v>6123.99</v>
      </c>
      <c r="L749" s="7" t="n">
        <v>2418.8</v>
      </c>
      <c r="M749" s="6" t="n">
        <v>3.9</v>
      </c>
      <c r="N749" s="6" t="s">
        <v>24</v>
      </c>
      <c r="O749" s="8" t="n">
        <f aca="false">VLOOKUP(F749,DIM_SERVICO!$A$2:$D$151,4,FALSE())</f>
        <v>1855.21</v>
      </c>
      <c r="P749" s="8" t="n">
        <f aca="false">VLOOKUP(E749,DIM_PECA!$A$2:$F$501,6,FALSE())</f>
        <v>1098.44</v>
      </c>
      <c r="Q749" s="8" t="n">
        <f aca="false">VLOOKUP(E749,DIM_PECA!$A$2:$F$501,5,FALSE())</f>
        <v>726.5</v>
      </c>
      <c r="R749" s="8" t="n">
        <f aca="false">H749*P749</f>
        <v>4393.76</v>
      </c>
      <c r="S749" s="8" t="n">
        <f aca="false">O749*M749</f>
        <v>7235.319</v>
      </c>
      <c r="T749" s="8" t="n">
        <f aca="false">R749+S749</f>
        <v>11629.079</v>
      </c>
      <c r="U749" s="8" t="n">
        <f aca="false">T749-K749</f>
        <v>5505.089</v>
      </c>
      <c r="V749" s="8" t="n">
        <f aca="false">R749+S749-U749</f>
        <v>6123.99</v>
      </c>
      <c r="W749" s="9" t="str">
        <f aca="false">IF(ROUND(V749-K749,2)=0,"OK","ERRO")</f>
        <v>OK</v>
      </c>
      <c r="X749" s="9" t="str">
        <f aca="false">VLOOKUP(F749,DIM_SERVICO!$A$2:$D$151,3,FALSE())</f>
        <v>Funilaria</v>
      </c>
    </row>
    <row r="750" customFormat="false" ht="15" hidden="false" customHeight="false" outlineLevel="0" collapsed="false">
      <c r="A750" s="2" t="n">
        <v>749</v>
      </c>
      <c r="B750" s="2" t="n">
        <v>1285</v>
      </c>
      <c r="C750" s="2" t="n">
        <v>844</v>
      </c>
      <c r="D750" s="2" t="n">
        <v>256</v>
      </c>
      <c r="E750" s="2" t="n">
        <v>126</v>
      </c>
      <c r="F750" s="2" t="n">
        <v>48</v>
      </c>
      <c r="G750" s="2" t="n">
        <v>198</v>
      </c>
      <c r="H750" s="2" t="n">
        <v>3</v>
      </c>
      <c r="I750" s="3" t="n">
        <v>2377.53</v>
      </c>
      <c r="J750" s="3" t="n">
        <v>863.62</v>
      </c>
      <c r="K750" s="3" t="n">
        <v>4869.01</v>
      </c>
      <c r="L750" s="3" t="n">
        <v>2068.91</v>
      </c>
      <c r="M750" s="2" t="n">
        <v>5.9</v>
      </c>
      <c r="N750" s="2" t="s">
        <v>26</v>
      </c>
      <c r="O750" s="4" t="n">
        <f aca="false">VLOOKUP(F750,DIM_SERVICO!$A$2:$D$151,4,FALSE())</f>
        <v>863.62</v>
      </c>
      <c r="P750" s="4" t="n">
        <f aca="false">VLOOKUP(E750,DIM_PECA!$A$2:$F$501,6,FALSE())</f>
        <v>1335.13</v>
      </c>
      <c r="Q750" s="4" t="n">
        <f aca="false">VLOOKUP(E750,DIM_PECA!$A$2:$F$501,5,FALSE())</f>
        <v>792.51</v>
      </c>
      <c r="R750" s="4" t="n">
        <f aca="false">H750*P750</f>
        <v>4005.39</v>
      </c>
      <c r="S750" s="4" t="n">
        <f aca="false">O750*M750</f>
        <v>5095.358</v>
      </c>
      <c r="T750" s="4" t="n">
        <f aca="false">R750+S750</f>
        <v>9100.748</v>
      </c>
      <c r="U750" s="4" t="n">
        <f aca="false">T750-K750</f>
        <v>4231.738</v>
      </c>
      <c r="V750" s="4" t="n">
        <f aca="false">R750+S750-U750</f>
        <v>4869.01</v>
      </c>
      <c r="W750" s="5" t="str">
        <f aca="false">IF(ROUND(V750-K750,2)=0,"OK","ERRO")</f>
        <v>OK</v>
      </c>
      <c r="X750" s="5" t="str">
        <f aca="false">VLOOKUP(F750,DIM_SERVICO!$A$2:$D$151,3,FALSE())</f>
        <v>Elétrica</v>
      </c>
    </row>
    <row r="751" customFormat="false" ht="15" hidden="false" customHeight="false" outlineLevel="0" collapsed="false">
      <c r="A751" s="6" t="n">
        <v>750</v>
      </c>
      <c r="B751" s="6" t="n">
        <v>1279</v>
      </c>
      <c r="C751" s="6" t="n">
        <v>256</v>
      </c>
      <c r="D751" s="6" t="n">
        <v>1082</v>
      </c>
      <c r="E751" s="6" t="n">
        <v>193</v>
      </c>
      <c r="F751" s="6" t="n">
        <v>122</v>
      </c>
      <c r="G751" s="6" t="n">
        <v>1209</v>
      </c>
      <c r="H751" s="6" t="n">
        <v>2</v>
      </c>
      <c r="I751" s="7" t="n">
        <v>1003.98</v>
      </c>
      <c r="J751" s="7" t="n">
        <v>1850.29</v>
      </c>
      <c r="K751" s="7" t="n">
        <v>3597.53</v>
      </c>
      <c r="L751" s="7" t="n">
        <v>1795.06</v>
      </c>
      <c r="M751" s="6" t="n">
        <v>6.5</v>
      </c>
      <c r="N751" s="6" t="s">
        <v>24</v>
      </c>
      <c r="O751" s="8" t="n">
        <f aca="false">VLOOKUP(F751,DIM_SERVICO!$A$2:$D$151,4,FALSE())</f>
        <v>1850.29</v>
      </c>
      <c r="P751" s="8" t="n">
        <f aca="false">VLOOKUP(E751,DIM_PECA!$A$2:$F$501,6,FALSE())</f>
        <v>968.29</v>
      </c>
      <c r="Q751" s="8" t="n">
        <f aca="false">VLOOKUP(E751,DIM_PECA!$A$2:$F$501,5,FALSE())</f>
        <v>501.99</v>
      </c>
      <c r="R751" s="8" t="n">
        <f aca="false">H751*P751</f>
        <v>1936.58</v>
      </c>
      <c r="S751" s="8" t="n">
        <f aca="false">O751*M751</f>
        <v>12026.885</v>
      </c>
      <c r="T751" s="8" t="n">
        <f aca="false">R751+S751</f>
        <v>13963.465</v>
      </c>
      <c r="U751" s="8" t="n">
        <f aca="false">T751-K751</f>
        <v>10365.935</v>
      </c>
      <c r="V751" s="8" t="n">
        <f aca="false">R751+S751-U751</f>
        <v>3597.53</v>
      </c>
      <c r="W751" s="9" t="str">
        <f aca="false">IF(ROUND(V751-K751,2)=0,"OK","ERRO")</f>
        <v>OK</v>
      </c>
      <c r="X751" s="9" t="str">
        <f aca="false">VLOOKUP(F751,DIM_SERVICO!$A$2:$D$151,3,FALSE())</f>
        <v>Freios</v>
      </c>
    </row>
    <row r="752" customFormat="false" ht="15" hidden="false" customHeight="false" outlineLevel="0" collapsed="false">
      <c r="A752" s="2" t="n">
        <v>751</v>
      </c>
      <c r="B752" s="2" t="n">
        <v>823</v>
      </c>
      <c r="C752" s="2" t="n">
        <v>725</v>
      </c>
      <c r="D752" s="2" t="n">
        <v>424</v>
      </c>
      <c r="E752" s="2" t="n">
        <v>42</v>
      </c>
      <c r="F752" s="2" t="n">
        <v>70</v>
      </c>
      <c r="G752" s="2" t="n">
        <v>1391</v>
      </c>
      <c r="H752" s="2" t="n">
        <v>2</v>
      </c>
      <c r="I752" s="3" t="n">
        <v>1789.7</v>
      </c>
      <c r="J752" s="3" t="n">
        <v>688.79</v>
      </c>
      <c r="K752" s="3" t="n">
        <v>3137.89</v>
      </c>
      <c r="L752" s="3" t="n">
        <v>983.29</v>
      </c>
      <c r="M752" s="2" t="n">
        <v>0.9</v>
      </c>
      <c r="N752" s="2" t="s">
        <v>24</v>
      </c>
      <c r="O752" s="4" t="n">
        <f aca="false">VLOOKUP(F752,DIM_SERVICO!$A$2:$D$151,4,FALSE())</f>
        <v>688.79</v>
      </c>
      <c r="P752" s="4" t="n">
        <f aca="false">VLOOKUP(E752,DIM_PECA!$A$2:$F$501,6,FALSE())</f>
        <v>1224.55</v>
      </c>
      <c r="Q752" s="4" t="n">
        <f aca="false">VLOOKUP(E752,DIM_PECA!$A$2:$F$501,5,FALSE())</f>
        <v>894.85</v>
      </c>
      <c r="R752" s="4" t="n">
        <f aca="false">H752*P752</f>
        <v>2449.1</v>
      </c>
      <c r="S752" s="4" t="n">
        <f aca="false">O752*M752</f>
        <v>619.911</v>
      </c>
      <c r="T752" s="4" t="n">
        <f aca="false">R752+S752</f>
        <v>3069.011</v>
      </c>
      <c r="U752" s="4" t="n">
        <f aca="false">T752-K752</f>
        <v>-68.8789999999999</v>
      </c>
      <c r="V752" s="4" t="n">
        <f aca="false">R752+S752-U752</f>
        <v>3137.89</v>
      </c>
      <c r="W752" s="5" t="str">
        <f aca="false">IF(ROUND(V752-K752,2)=0,"OK","ERRO")</f>
        <v>OK</v>
      </c>
      <c r="X752" s="5" t="str">
        <f aca="false">VLOOKUP(F752,DIM_SERVICO!$A$2:$D$151,3,FALSE())</f>
        <v>Freios</v>
      </c>
    </row>
    <row r="753" customFormat="false" ht="15" hidden="false" customHeight="false" outlineLevel="0" collapsed="false">
      <c r="A753" s="6" t="n">
        <v>752</v>
      </c>
      <c r="B753" s="6" t="n">
        <v>1256</v>
      </c>
      <c r="C753" s="6" t="n">
        <v>96</v>
      </c>
      <c r="D753" s="6" t="n">
        <v>521</v>
      </c>
      <c r="E753" s="6" t="n">
        <v>112</v>
      </c>
      <c r="F753" s="6" t="n">
        <v>21</v>
      </c>
      <c r="G753" s="6" t="n">
        <v>1618</v>
      </c>
      <c r="H753" s="6" t="n">
        <v>1</v>
      </c>
      <c r="I753" s="7" t="n">
        <v>629.23</v>
      </c>
      <c r="J753" s="7" t="n">
        <v>126.78</v>
      </c>
      <c r="K753" s="7" t="n">
        <v>1282.41</v>
      </c>
      <c r="L753" s="7" t="n">
        <v>597.21</v>
      </c>
      <c r="M753" s="6" t="n">
        <v>2.1</v>
      </c>
      <c r="N753" s="6" t="s">
        <v>24</v>
      </c>
      <c r="O753" s="8" t="n">
        <f aca="false">VLOOKUP(F753,DIM_SERVICO!$A$2:$D$151,4,FALSE())</f>
        <v>126.78</v>
      </c>
      <c r="P753" s="8" t="n">
        <f aca="false">VLOOKUP(E753,DIM_PECA!$A$2:$F$501,6,FALSE())</f>
        <v>1181.8</v>
      </c>
      <c r="Q753" s="8" t="n">
        <f aca="false">VLOOKUP(E753,DIM_PECA!$A$2:$F$501,5,FALSE())</f>
        <v>629.23</v>
      </c>
      <c r="R753" s="8" t="n">
        <f aca="false">H753*P753</f>
        <v>1181.8</v>
      </c>
      <c r="S753" s="8" t="n">
        <f aca="false">O753*M753</f>
        <v>266.238</v>
      </c>
      <c r="T753" s="8" t="n">
        <f aca="false">R753+S753</f>
        <v>1448.038</v>
      </c>
      <c r="U753" s="8" t="n">
        <f aca="false">T753-K753</f>
        <v>165.628</v>
      </c>
      <c r="V753" s="8" t="n">
        <f aca="false">R753+S753-U753</f>
        <v>1282.41</v>
      </c>
      <c r="W753" s="9" t="str">
        <f aca="false">IF(ROUND(V753-K753,2)=0,"OK","ERRO")</f>
        <v>OK</v>
      </c>
      <c r="X753" s="9" t="str">
        <f aca="false">VLOOKUP(F753,DIM_SERVICO!$A$2:$D$151,3,FALSE())</f>
        <v>Suspensão</v>
      </c>
    </row>
    <row r="754" customFormat="false" ht="15" hidden="false" customHeight="false" outlineLevel="0" collapsed="false">
      <c r="A754" s="2" t="n">
        <v>753</v>
      </c>
      <c r="B754" s="2" t="n">
        <v>45</v>
      </c>
      <c r="C754" s="2" t="n">
        <v>956</v>
      </c>
      <c r="D754" s="2" t="n">
        <v>455</v>
      </c>
      <c r="E754" s="2" t="n">
        <v>317</v>
      </c>
      <c r="F754" s="2" t="n">
        <v>86</v>
      </c>
      <c r="G754" s="2" t="n">
        <v>1038</v>
      </c>
      <c r="H754" s="2" t="n">
        <v>2</v>
      </c>
      <c r="I754" s="3" t="n">
        <v>103.74</v>
      </c>
      <c r="J754" s="3" t="n">
        <v>147.26</v>
      </c>
      <c r="K754" s="3" t="n">
        <v>315.95</v>
      </c>
      <c r="L754" s="3" t="n">
        <v>148.88</v>
      </c>
      <c r="M754" s="2" t="n">
        <v>2.4</v>
      </c>
      <c r="N754" s="2" t="s">
        <v>24</v>
      </c>
      <c r="O754" s="4" t="n">
        <f aca="false">VLOOKUP(F754,DIM_SERVICO!$A$2:$D$151,4,FALSE())</f>
        <v>147.26</v>
      </c>
      <c r="P754" s="4" t="n">
        <f aca="false">VLOOKUP(E754,DIM_PECA!$A$2:$F$501,6,FALSE())</f>
        <v>98.08</v>
      </c>
      <c r="Q754" s="4" t="n">
        <f aca="false">VLOOKUP(E754,DIM_PECA!$A$2:$F$501,5,FALSE())</f>
        <v>51.87</v>
      </c>
      <c r="R754" s="4" t="n">
        <f aca="false">H754*P754</f>
        <v>196.16</v>
      </c>
      <c r="S754" s="4" t="n">
        <f aca="false">O754*M754</f>
        <v>353.424</v>
      </c>
      <c r="T754" s="4" t="n">
        <f aca="false">R754+S754</f>
        <v>549.584</v>
      </c>
      <c r="U754" s="4" t="n">
        <f aca="false">T754-K754</f>
        <v>233.634</v>
      </c>
      <c r="V754" s="4" t="n">
        <f aca="false">R754+S754-U754</f>
        <v>315.95</v>
      </c>
      <c r="W754" s="5" t="str">
        <f aca="false">IF(ROUND(V754-K754,2)=0,"OK","ERRO")</f>
        <v>OK</v>
      </c>
      <c r="X754" s="5" t="str">
        <f aca="false">VLOOKUP(F754,DIM_SERVICO!$A$2:$D$151,3,FALSE())</f>
        <v>Suspensão</v>
      </c>
    </row>
    <row r="755" customFormat="false" ht="15" hidden="false" customHeight="false" outlineLevel="0" collapsed="false">
      <c r="A755" s="6" t="n">
        <v>754</v>
      </c>
      <c r="B755" s="6" t="n">
        <v>1187</v>
      </c>
      <c r="C755" s="6" t="n">
        <v>1491</v>
      </c>
      <c r="D755" s="6" t="n">
        <v>732</v>
      </c>
      <c r="E755" s="6" t="n">
        <v>17</v>
      </c>
      <c r="F755" s="6" t="n">
        <v>22</v>
      </c>
      <c r="G755" s="6" t="n">
        <v>996</v>
      </c>
      <c r="H755" s="6" t="n">
        <v>4</v>
      </c>
      <c r="I755" s="7" t="n">
        <v>428.8</v>
      </c>
      <c r="J755" s="7" t="n">
        <v>1591.95</v>
      </c>
      <c r="K755" s="7" t="n">
        <v>2073.3</v>
      </c>
      <c r="L755" s="7" t="n">
        <v>883.18</v>
      </c>
      <c r="M755" s="6" t="n">
        <v>10.5</v>
      </c>
      <c r="N755" s="6" t="s">
        <v>27</v>
      </c>
      <c r="O755" s="8" t="n">
        <f aca="false">VLOOKUP(F755,DIM_SERVICO!$A$2:$D$151,4,FALSE())</f>
        <v>1591.95</v>
      </c>
      <c r="P755" s="8" t="n">
        <f aca="false">VLOOKUP(E755,DIM_PECA!$A$2:$F$501,6,FALSE())</f>
        <v>165.41</v>
      </c>
      <c r="Q755" s="8" t="n">
        <f aca="false">VLOOKUP(E755,DIM_PECA!$A$2:$F$501,5,FALSE())</f>
        <v>107.2</v>
      </c>
      <c r="R755" s="8" t="n">
        <f aca="false">H755*P755</f>
        <v>661.64</v>
      </c>
      <c r="S755" s="8" t="n">
        <f aca="false">O755*M755</f>
        <v>16715.475</v>
      </c>
      <c r="T755" s="8" t="n">
        <f aca="false">R755+S755</f>
        <v>17377.115</v>
      </c>
      <c r="U755" s="8" t="n">
        <f aca="false">T755-K755</f>
        <v>15303.815</v>
      </c>
      <c r="V755" s="8" t="n">
        <f aca="false">R755+S755-U755</f>
        <v>2073.3</v>
      </c>
      <c r="W755" s="9" t="str">
        <f aca="false">IF(ROUND(V755-K755,2)=0,"OK","ERRO")</f>
        <v>OK</v>
      </c>
      <c r="X755" s="9" t="str">
        <f aca="false">VLOOKUP(F755,DIM_SERVICO!$A$2:$D$151,3,FALSE())</f>
        <v>Motor</v>
      </c>
    </row>
    <row r="756" customFormat="false" ht="15" hidden="false" customHeight="false" outlineLevel="0" collapsed="false">
      <c r="A756" s="2" t="n">
        <v>755</v>
      </c>
      <c r="B756" s="2" t="n">
        <v>1144</v>
      </c>
      <c r="C756" s="2" t="n">
        <v>923</v>
      </c>
      <c r="D756" s="2" t="n">
        <v>396</v>
      </c>
      <c r="E756" s="2" t="n">
        <v>464</v>
      </c>
      <c r="F756" s="2" t="n">
        <v>129</v>
      </c>
      <c r="G756" s="2" t="n">
        <v>1563</v>
      </c>
      <c r="H756" s="2" t="n">
        <v>1</v>
      </c>
      <c r="I756" s="3" t="n">
        <v>677.83</v>
      </c>
      <c r="J756" s="3" t="n">
        <v>404</v>
      </c>
      <c r="K756" s="3" t="n">
        <v>1341.14</v>
      </c>
      <c r="L756" s="3" t="n">
        <v>513.52</v>
      </c>
      <c r="M756" s="2" t="n">
        <v>2.9</v>
      </c>
      <c r="N756" s="2" t="s">
        <v>26</v>
      </c>
      <c r="O756" s="4" t="n">
        <f aca="false">VLOOKUP(F756,DIM_SERVICO!$A$2:$D$151,4,FALSE())</f>
        <v>404</v>
      </c>
      <c r="P756" s="4" t="n">
        <f aca="false">VLOOKUP(E756,DIM_PECA!$A$2:$F$501,6,FALSE())</f>
        <v>937.14</v>
      </c>
      <c r="Q756" s="4" t="n">
        <f aca="false">VLOOKUP(E756,DIM_PECA!$A$2:$F$501,5,FALSE())</f>
        <v>677.83</v>
      </c>
      <c r="R756" s="4" t="n">
        <f aca="false">H756*P756</f>
        <v>937.14</v>
      </c>
      <c r="S756" s="4" t="n">
        <f aca="false">O756*M756</f>
        <v>1171.6</v>
      </c>
      <c r="T756" s="4" t="n">
        <f aca="false">R756+S756</f>
        <v>2108.74</v>
      </c>
      <c r="U756" s="4" t="n">
        <f aca="false">T756-K756</f>
        <v>767.6</v>
      </c>
      <c r="V756" s="4" t="n">
        <f aca="false">R756+S756-U756</f>
        <v>1341.14</v>
      </c>
      <c r="W756" s="5" t="str">
        <f aca="false">IF(ROUND(V756-K756,2)=0,"OK","ERRO")</f>
        <v>OK</v>
      </c>
      <c r="X756" s="5" t="str">
        <f aca="false">VLOOKUP(F756,DIM_SERVICO!$A$2:$D$151,3,FALSE())</f>
        <v>Diagnóstico</v>
      </c>
    </row>
    <row r="757" customFormat="false" ht="15" hidden="false" customHeight="false" outlineLevel="0" collapsed="false">
      <c r="A757" s="6" t="n">
        <v>756</v>
      </c>
      <c r="B757" s="6" t="n">
        <v>433</v>
      </c>
      <c r="C757" s="6" t="n">
        <v>1338</v>
      </c>
      <c r="D757" s="6" t="n">
        <v>645</v>
      </c>
      <c r="E757" s="6" t="n">
        <v>89</v>
      </c>
      <c r="F757" s="6" t="n">
        <v>149</v>
      </c>
      <c r="G757" s="6" t="n">
        <v>309</v>
      </c>
      <c r="H757" s="6" t="n">
        <v>2</v>
      </c>
      <c r="I757" s="7" t="n">
        <v>1036.52</v>
      </c>
      <c r="J757" s="7" t="n">
        <v>142.63</v>
      </c>
      <c r="K757" s="7" t="n">
        <v>1736.65</v>
      </c>
      <c r="L757" s="7" t="n">
        <v>643.86</v>
      </c>
      <c r="M757" s="6" t="n">
        <v>2.2</v>
      </c>
      <c r="N757" s="6" t="s">
        <v>24</v>
      </c>
      <c r="O757" s="8" t="n">
        <f aca="false">VLOOKUP(F757,DIM_SERVICO!$A$2:$D$151,4,FALSE())</f>
        <v>142.63</v>
      </c>
      <c r="P757" s="8" t="n">
        <f aca="false">VLOOKUP(E757,DIM_PECA!$A$2:$F$501,6,FALSE())</f>
        <v>842.71</v>
      </c>
      <c r="Q757" s="8" t="n">
        <f aca="false">VLOOKUP(E757,DIM_PECA!$A$2:$F$501,5,FALSE())</f>
        <v>518.26</v>
      </c>
      <c r="R757" s="8" t="n">
        <f aca="false">H757*P757</f>
        <v>1685.42</v>
      </c>
      <c r="S757" s="8" t="n">
        <f aca="false">O757*M757</f>
        <v>313.786</v>
      </c>
      <c r="T757" s="8" t="n">
        <f aca="false">R757+S757</f>
        <v>1999.206</v>
      </c>
      <c r="U757" s="8" t="n">
        <f aca="false">T757-K757</f>
        <v>262.556</v>
      </c>
      <c r="V757" s="8" t="n">
        <f aca="false">R757+S757-U757</f>
        <v>1736.65</v>
      </c>
      <c r="W757" s="9" t="str">
        <f aca="false">IF(ROUND(V757-K757,2)=0,"OK","ERRO")</f>
        <v>OK</v>
      </c>
      <c r="X757" s="9" t="str">
        <f aca="false">VLOOKUP(F757,DIM_SERVICO!$A$2:$D$151,3,FALSE())</f>
        <v>Motor</v>
      </c>
    </row>
    <row r="758" customFormat="false" ht="15" hidden="false" customHeight="false" outlineLevel="0" collapsed="false">
      <c r="A758" s="2" t="n">
        <v>757</v>
      </c>
      <c r="B758" s="2" t="n">
        <v>674</v>
      </c>
      <c r="C758" s="2" t="n">
        <v>954</v>
      </c>
      <c r="D758" s="2" t="n">
        <v>886</v>
      </c>
      <c r="E758" s="2" t="n">
        <v>172</v>
      </c>
      <c r="F758" s="2" t="n">
        <v>12</v>
      </c>
      <c r="G758" s="2" t="n">
        <v>553</v>
      </c>
      <c r="H758" s="2" t="n">
        <v>3</v>
      </c>
      <c r="I758" s="3" t="n">
        <v>1368.81</v>
      </c>
      <c r="J758" s="3" t="n">
        <v>1399.41</v>
      </c>
      <c r="K758" s="3" t="n">
        <v>3576.61</v>
      </c>
      <c r="L758" s="3" t="n">
        <v>1571.27</v>
      </c>
      <c r="M758" s="2" t="n">
        <v>5.1</v>
      </c>
      <c r="N758" s="2" t="s">
        <v>24</v>
      </c>
      <c r="O758" s="4" t="n">
        <f aca="false">VLOOKUP(F758,DIM_SERVICO!$A$2:$D$151,4,FALSE())</f>
        <v>1399.41</v>
      </c>
      <c r="P758" s="4" t="n">
        <f aca="false">VLOOKUP(E758,DIM_PECA!$A$2:$F$501,6,FALSE())</f>
        <v>858.2</v>
      </c>
      <c r="Q758" s="4" t="n">
        <f aca="false">VLOOKUP(E758,DIM_PECA!$A$2:$F$501,5,FALSE())</f>
        <v>456.27</v>
      </c>
      <c r="R758" s="4" t="n">
        <f aca="false">H758*P758</f>
        <v>2574.6</v>
      </c>
      <c r="S758" s="4" t="n">
        <f aca="false">O758*M758</f>
        <v>7136.991</v>
      </c>
      <c r="T758" s="4" t="n">
        <f aca="false">R758+S758</f>
        <v>9711.591</v>
      </c>
      <c r="U758" s="4" t="n">
        <f aca="false">T758-K758</f>
        <v>6134.981</v>
      </c>
      <c r="V758" s="4" t="n">
        <f aca="false">R758+S758-U758</f>
        <v>3576.61</v>
      </c>
      <c r="W758" s="5" t="str">
        <f aca="false">IF(ROUND(V758-K758,2)=0,"OK","ERRO")</f>
        <v>OK</v>
      </c>
      <c r="X758" s="5" t="str">
        <f aca="false">VLOOKUP(F758,DIM_SERVICO!$A$2:$D$151,3,FALSE())</f>
        <v>Revisão</v>
      </c>
    </row>
    <row r="759" customFormat="false" ht="15" hidden="false" customHeight="false" outlineLevel="0" collapsed="false">
      <c r="A759" s="6" t="n">
        <v>758</v>
      </c>
      <c r="B759" s="6" t="n">
        <v>139</v>
      </c>
      <c r="C759" s="6" t="n">
        <v>496</v>
      </c>
      <c r="D759" s="6" t="n">
        <v>1124</v>
      </c>
      <c r="E759" s="6" t="n">
        <v>96</v>
      </c>
      <c r="F759" s="6" t="n">
        <v>68</v>
      </c>
      <c r="G759" s="6" t="n">
        <v>571</v>
      </c>
      <c r="H759" s="6" t="n">
        <v>4</v>
      </c>
      <c r="I759" s="7" t="n">
        <v>558.6</v>
      </c>
      <c r="J759" s="7" t="n">
        <v>1974.4</v>
      </c>
      <c r="K759" s="7" t="n">
        <v>2900.43</v>
      </c>
      <c r="L759" s="7" t="n">
        <v>1551.93</v>
      </c>
      <c r="M759" s="6" t="n">
        <v>3.7</v>
      </c>
      <c r="N759" s="6" t="s">
        <v>24</v>
      </c>
      <c r="O759" s="8" t="n">
        <f aca="false">VLOOKUP(F759,DIM_SERVICO!$A$2:$D$151,4,FALSE())</f>
        <v>1974.4</v>
      </c>
      <c r="P759" s="8" t="n">
        <f aca="false">VLOOKUP(E759,DIM_PECA!$A$2:$F$501,6,FALSE())</f>
        <v>269.67</v>
      </c>
      <c r="Q759" s="8" t="n">
        <f aca="false">VLOOKUP(E759,DIM_PECA!$A$2:$F$501,5,FALSE())</f>
        <v>139.65</v>
      </c>
      <c r="R759" s="8" t="n">
        <f aca="false">H759*P759</f>
        <v>1078.68</v>
      </c>
      <c r="S759" s="8" t="n">
        <f aca="false">O759*M759</f>
        <v>7305.28</v>
      </c>
      <c r="T759" s="8" t="n">
        <f aca="false">R759+S759</f>
        <v>8383.96</v>
      </c>
      <c r="U759" s="8" t="n">
        <f aca="false">T759-K759</f>
        <v>5483.53</v>
      </c>
      <c r="V759" s="8" t="n">
        <f aca="false">R759+S759-U759</f>
        <v>2900.43</v>
      </c>
      <c r="W759" s="9" t="str">
        <f aca="false">IF(ROUND(V759-K759,2)=0,"OK","ERRO")</f>
        <v>OK</v>
      </c>
      <c r="X759" s="9" t="str">
        <f aca="false">VLOOKUP(F759,DIM_SERVICO!$A$2:$D$151,3,FALSE())</f>
        <v>Suspensão</v>
      </c>
    </row>
    <row r="760" customFormat="false" ht="15" hidden="false" customHeight="false" outlineLevel="0" collapsed="false">
      <c r="A760" s="2" t="n">
        <v>759</v>
      </c>
      <c r="B760" s="2" t="n">
        <v>248</v>
      </c>
      <c r="C760" s="2" t="n">
        <v>225</v>
      </c>
      <c r="D760" s="2" t="n">
        <v>309</v>
      </c>
      <c r="E760" s="2" t="n">
        <v>215</v>
      </c>
      <c r="F760" s="2" t="n">
        <v>27</v>
      </c>
      <c r="G760" s="2" t="n">
        <v>812</v>
      </c>
      <c r="H760" s="2" t="n">
        <v>3</v>
      </c>
      <c r="I760" s="3" t="n">
        <v>125.67</v>
      </c>
      <c r="J760" s="3" t="n">
        <v>662.68</v>
      </c>
      <c r="K760" s="3" t="n">
        <v>857.35</v>
      </c>
      <c r="L760" s="3" t="n">
        <v>416.11</v>
      </c>
      <c r="M760" s="2" t="n">
        <v>5.9</v>
      </c>
      <c r="N760" s="2" t="s">
        <v>24</v>
      </c>
      <c r="O760" s="4" t="n">
        <f aca="false">VLOOKUP(F760,DIM_SERVICO!$A$2:$D$151,4,FALSE())</f>
        <v>662.68</v>
      </c>
      <c r="P760" s="4" t="n">
        <f aca="false">VLOOKUP(E760,DIM_PECA!$A$2:$F$501,6,FALSE())</f>
        <v>64.89</v>
      </c>
      <c r="Q760" s="4" t="n">
        <f aca="false">VLOOKUP(E760,DIM_PECA!$A$2:$F$501,5,FALSE())</f>
        <v>41.89</v>
      </c>
      <c r="R760" s="4" t="n">
        <f aca="false">H760*P760</f>
        <v>194.67</v>
      </c>
      <c r="S760" s="4" t="n">
        <f aca="false">O760*M760</f>
        <v>3909.812</v>
      </c>
      <c r="T760" s="4" t="n">
        <f aca="false">R760+S760</f>
        <v>4104.482</v>
      </c>
      <c r="U760" s="4" t="n">
        <f aca="false">T760-K760</f>
        <v>3247.132</v>
      </c>
      <c r="V760" s="4" t="n">
        <f aca="false">R760+S760-U760</f>
        <v>857.35</v>
      </c>
      <c r="W760" s="5" t="str">
        <f aca="false">IF(ROUND(V760-K760,2)=0,"OK","ERRO")</f>
        <v>OK</v>
      </c>
      <c r="X760" s="5" t="str">
        <f aca="false">VLOOKUP(F760,DIM_SERVICO!$A$2:$D$151,3,FALSE())</f>
        <v>Revisão</v>
      </c>
    </row>
    <row r="761" customFormat="false" ht="15" hidden="false" customHeight="false" outlineLevel="0" collapsed="false">
      <c r="A761" s="6" t="n">
        <v>760</v>
      </c>
      <c r="B761" s="6" t="n">
        <v>970</v>
      </c>
      <c r="C761" s="6" t="n">
        <v>508</v>
      </c>
      <c r="D761" s="6" t="n">
        <v>365</v>
      </c>
      <c r="E761" s="6" t="n">
        <v>338</v>
      </c>
      <c r="F761" s="6" t="n">
        <v>147</v>
      </c>
      <c r="G761" s="6" t="n">
        <v>961</v>
      </c>
      <c r="H761" s="6" t="n">
        <v>1</v>
      </c>
      <c r="I761" s="7" t="n">
        <v>738.8</v>
      </c>
      <c r="J761" s="7" t="n">
        <v>1891.42</v>
      </c>
      <c r="K761" s="7" t="n">
        <v>2962.79</v>
      </c>
      <c r="L761" s="7" t="n">
        <v>1516.31</v>
      </c>
      <c r="M761" s="6" t="n">
        <v>8.2</v>
      </c>
      <c r="N761" s="6" t="s">
        <v>24</v>
      </c>
      <c r="O761" s="8" t="n">
        <f aca="false">VLOOKUP(F761,DIM_SERVICO!$A$2:$D$151,4,FALSE())</f>
        <v>1891.42</v>
      </c>
      <c r="P761" s="8" t="n">
        <f aca="false">VLOOKUP(E761,DIM_PECA!$A$2:$F$501,6,FALSE())</f>
        <v>1071.37</v>
      </c>
      <c r="Q761" s="8" t="n">
        <f aca="false">VLOOKUP(E761,DIM_PECA!$A$2:$F$501,5,FALSE())</f>
        <v>738.8</v>
      </c>
      <c r="R761" s="8" t="n">
        <f aca="false">H761*P761</f>
        <v>1071.37</v>
      </c>
      <c r="S761" s="8" t="n">
        <f aca="false">O761*M761</f>
        <v>15509.644</v>
      </c>
      <c r="T761" s="8" t="n">
        <f aca="false">R761+S761</f>
        <v>16581.014</v>
      </c>
      <c r="U761" s="8" t="n">
        <f aca="false">T761-K761</f>
        <v>13618.224</v>
      </c>
      <c r="V761" s="8" t="n">
        <f aca="false">R761+S761-U761</f>
        <v>2962.79</v>
      </c>
      <c r="W761" s="9" t="str">
        <f aca="false">IF(ROUND(V761-K761,2)=0,"OK","ERRO")</f>
        <v>OK</v>
      </c>
      <c r="X761" s="9" t="str">
        <f aca="false">VLOOKUP(F761,DIM_SERVICO!$A$2:$D$151,3,FALSE())</f>
        <v>Motor</v>
      </c>
    </row>
    <row r="762" customFormat="false" ht="15" hidden="false" customHeight="false" outlineLevel="0" collapsed="false">
      <c r="A762" s="2" t="n">
        <v>761</v>
      </c>
      <c r="B762" s="2" t="n">
        <v>504</v>
      </c>
      <c r="C762" s="2" t="n">
        <v>159</v>
      </c>
      <c r="D762" s="2" t="n">
        <v>710</v>
      </c>
      <c r="E762" s="2" t="n">
        <v>314</v>
      </c>
      <c r="F762" s="2" t="n">
        <v>9</v>
      </c>
      <c r="G762" s="2" t="n">
        <v>639</v>
      </c>
      <c r="H762" s="2" t="n">
        <v>4</v>
      </c>
      <c r="I762" s="3" t="n">
        <v>4048.68</v>
      </c>
      <c r="J762" s="3" t="n">
        <v>1605.45</v>
      </c>
      <c r="K762" s="3" t="n">
        <v>9238.91</v>
      </c>
      <c r="L762" s="3" t="n">
        <v>4506.29</v>
      </c>
      <c r="M762" s="2" t="n">
        <v>2.2</v>
      </c>
      <c r="N762" s="2" t="s">
        <v>24</v>
      </c>
      <c r="O762" s="4" t="n">
        <f aca="false">VLOOKUP(F762,DIM_SERVICO!$A$2:$D$151,4,FALSE())</f>
        <v>1605.45</v>
      </c>
      <c r="P762" s="4" t="n">
        <f aca="false">VLOOKUP(E762,DIM_PECA!$A$2:$F$501,6,FALSE())</f>
        <v>2109.21</v>
      </c>
      <c r="Q762" s="4" t="n">
        <f aca="false">VLOOKUP(E762,DIM_PECA!$A$2:$F$501,5,FALSE())</f>
        <v>1012.17</v>
      </c>
      <c r="R762" s="4" t="n">
        <f aca="false">H762*P762</f>
        <v>8436.84</v>
      </c>
      <c r="S762" s="4" t="n">
        <f aca="false">O762*M762</f>
        <v>3531.99</v>
      </c>
      <c r="T762" s="4" t="n">
        <f aca="false">R762+S762</f>
        <v>11968.83</v>
      </c>
      <c r="U762" s="4" t="n">
        <f aca="false">T762-K762</f>
        <v>2729.92</v>
      </c>
      <c r="V762" s="4" t="n">
        <f aca="false">R762+S762-U762</f>
        <v>9238.91</v>
      </c>
      <c r="W762" s="5" t="str">
        <f aca="false">IF(ROUND(V762-K762,2)=0,"OK","ERRO")</f>
        <v>OK</v>
      </c>
      <c r="X762" s="5" t="str">
        <f aca="false">VLOOKUP(F762,DIM_SERVICO!$A$2:$D$151,3,FALSE())</f>
        <v>Revisão</v>
      </c>
    </row>
    <row r="763" customFormat="false" ht="15" hidden="false" customHeight="false" outlineLevel="0" collapsed="false">
      <c r="A763" s="6" t="n">
        <v>762</v>
      </c>
      <c r="B763" s="6" t="n">
        <v>183</v>
      </c>
      <c r="C763" s="6" t="n">
        <v>1251</v>
      </c>
      <c r="D763" s="6" t="n">
        <v>784</v>
      </c>
      <c r="E763" s="6" t="n">
        <v>339</v>
      </c>
      <c r="F763" s="6" t="n">
        <v>94</v>
      </c>
      <c r="G763" s="6" t="n">
        <v>540</v>
      </c>
      <c r="H763" s="6" t="n">
        <v>3</v>
      </c>
      <c r="I763" s="7" t="n">
        <v>665.52</v>
      </c>
      <c r="J763" s="7" t="n">
        <v>308.51</v>
      </c>
      <c r="K763" s="7" t="n">
        <v>1686.14</v>
      </c>
      <c r="L763" s="7" t="n">
        <v>876.42</v>
      </c>
      <c r="M763" s="6" t="n">
        <v>9.2</v>
      </c>
      <c r="N763" s="6" t="s">
        <v>24</v>
      </c>
      <c r="O763" s="8" t="n">
        <f aca="false">VLOOKUP(F763,DIM_SERVICO!$A$2:$D$151,4,FALSE())</f>
        <v>308.51</v>
      </c>
      <c r="P763" s="8" t="n">
        <f aca="false">VLOOKUP(E763,DIM_PECA!$A$2:$F$501,6,FALSE())</f>
        <v>459.21</v>
      </c>
      <c r="Q763" s="8" t="n">
        <f aca="false">VLOOKUP(E763,DIM_PECA!$A$2:$F$501,5,FALSE())</f>
        <v>221.84</v>
      </c>
      <c r="R763" s="8" t="n">
        <f aca="false">H763*P763</f>
        <v>1377.63</v>
      </c>
      <c r="S763" s="8" t="n">
        <f aca="false">O763*M763</f>
        <v>2838.292</v>
      </c>
      <c r="T763" s="8" t="n">
        <f aca="false">R763+S763</f>
        <v>4215.922</v>
      </c>
      <c r="U763" s="8" t="n">
        <f aca="false">T763-K763</f>
        <v>2529.782</v>
      </c>
      <c r="V763" s="8" t="n">
        <f aca="false">R763+S763-U763</f>
        <v>1686.14</v>
      </c>
      <c r="W763" s="9" t="str">
        <f aca="false">IF(ROUND(V763-K763,2)=0,"OK","ERRO")</f>
        <v>OK</v>
      </c>
      <c r="X763" s="9" t="str">
        <f aca="false">VLOOKUP(F763,DIM_SERVICO!$A$2:$D$151,3,FALSE())</f>
        <v>Funilaria</v>
      </c>
    </row>
    <row r="764" customFormat="false" ht="15" hidden="false" customHeight="false" outlineLevel="0" collapsed="false">
      <c r="A764" s="2" t="n">
        <v>763</v>
      </c>
      <c r="B764" s="2" t="n">
        <v>816</v>
      </c>
      <c r="C764" s="2" t="n">
        <v>544</v>
      </c>
      <c r="D764" s="2" t="n">
        <v>369</v>
      </c>
      <c r="E764" s="2" t="n">
        <v>251</v>
      </c>
      <c r="F764" s="2" t="n">
        <v>120</v>
      </c>
      <c r="G764" s="2" t="n">
        <v>1776</v>
      </c>
      <c r="H764" s="2" t="n">
        <v>1</v>
      </c>
      <c r="I764" s="3" t="n">
        <v>340.31</v>
      </c>
      <c r="J764" s="3" t="n">
        <v>1729.81</v>
      </c>
      <c r="K764" s="3" t="n">
        <v>2463.86</v>
      </c>
      <c r="L764" s="3" t="n">
        <v>1304.33</v>
      </c>
      <c r="M764" s="2" t="n">
        <v>5.8</v>
      </c>
      <c r="N764" s="2" t="s">
        <v>24</v>
      </c>
      <c r="O764" s="4" t="n">
        <f aca="false">VLOOKUP(F764,DIM_SERVICO!$A$2:$D$151,4,FALSE())</f>
        <v>1729.81</v>
      </c>
      <c r="P764" s="4" t="n">
        <f aca="false">VLOOKUP(E764,DIM_PECA!$A$2:$F$501,6,FALSE())</f>
        <v>734.05</v>
      </c>
      <c r="Q764" s="4" t="n">
        <f aca="false">VLOOKUP(E764,DIM_PECA!$A$2:$F$501,5,FALSE())</f>
        <v>340.31</v>
      </c>
      <c r="R764" s="4" t="n">
        <f aca="false">H764*P764</f>
        <v>734.05</v>
      </c>
      <c r="S764" s="4" t="n">
        <f aca="false">O764*M764</f>
        <v>10032.898</v>
      </c>
      <c r="T764" s="4" t="n">
        <f aca="false">R764+S764</f>
        <v>10766.948</v>
      </c>
      <c r="U764" s="4" t="n">
        <f aca="false">T764-K764</f>
        <v>8303.088</v>
      </c>
      <c r="V764" s="4" t="n">
        <f aca="false">R764+S764-U764</f>
        <v>2463.86</v>
      </c>
      <c r="W764" s="5" t="str">
        <f aca="false">IF(ROUND(V764-K764,2)=0,"OK","ERRO")</f>
        <v>OK</v>
      </c>
      <c r="X764" s="5" t="str">
        <f aca="false">VLOOKUP(F764,DIM_SERVICO!$A$2:$D$151,3,FALSE())</f>
        <v>Suspensão</v>
      </c>
    </row>
    <row r="765" customFormat="false" ht="15" hidden="false" customHeight="false" outlineLevel="0" collapsed="false">
      <c r="A765" s="6" t="n">
        <v>764</v>
      </c>
      <c r="B765" s="6" t="n">
        <v>568</v>
      </c>
      <c r="C765" s="6" t="n">
        <v>68</v>
      </c>
      <c r="D765" s="6" t="n">
        <v>596</v>
      </c>
      <c r="E765" s="6" t="n">
        <v>6</v>
      </c>
      <c r="F765" s="6" t="n">
        <v>53</v>
      </c>
      <c r="G765" s="6" t="n">
        <v>659</v>
      </c>
      <c r="H765" s="6" t="n">
        <v>4</v>
      </c>
      <c r="I765" s="7" t="n">
        <v>464.4</v>
      </c>
      <c r="J765" s="7" t="n">
        <v>955.09</v>
      </c>
      <c r="K765" s="7" t="n">
        <v>1614.61</v>
      </c>
      <c r="L765" s="7" t="n">
        <v>657.96</v>
      </c>
      <c r="M765" s="6" t="n">
        <v>3.2</v>
      </c>
      <c r="N765" s="6" t="s">
        <v>24</v>
      </c>
      <c r="O765" s="8" t="n">
        <f aca="false">VLOOKUP(F765,DIM_SERVICO!$A$2:$D$151,4,FALSE())</f>
        <v>955.09</v>
      </c>
      <c r="P765" s="8" t="n">
        <f aca="false">VLOOKUP(E765,DIM_PECA!$A$2:$F$501,6,FALSE())</f>
        <v>209.73</v>
      </c>
      <c r="Q765" s="8" t="n">
        <f aca="false">VLOOKUP(E765,DIM_PECA!$A$2:$F$501,5,FALSE())</f>
        <v>116.1</v>
      </c>
      <c r="R765" s="8" t="n">
        <f aca="false">H765*P765</f>
        <v>838.92</v>
      </c>
      <c r="S765" s="8" t="n">
        <f aca="false">O765*M765</f>
        <v>3056.288</v>
      </c>
      <c r="T765" s="8" t="n">
        <f aca="false">R765+S765</f>
        <v>3895.208</v>
      </c>
      <c r="U765" s="8" t="n">
        <f aca="false">T765-K765</f>
        <v>2280.598</v>
      </c>
      <c r="V765" s="8" t="n">
        <f aca="false">R765+S765-U765</f>
        <v>1614.61</v>
      </c>
      <c r="W765" s="9" t="str">
        <f aca="false">IF(ROUND(V765-K765,2)=0,"OK","ERRO")</f>
        <v>OK</v>
      </c>
      <c r="X765" s="9" t="str">
        <f aca="false">VLOOKUP(F765,DIM_SERVICO!$A$2:$D$151,3,FALSE())</f>
        <v>Motor</v>
      </c>
    </row>
    <row r="766" customFormat="false" ht="15" hidden="false" customHeight="false" outlineLevel="0" collapsed="false">
      <c r="A766" s="2" t="n">
        <v>765</v>
      </c>
      <c r="B766" s="2" t="n">
        <v>564</v>
      </c>
      <c r="C766" s="2" t="n">
        <v>924</v>
      </c>
      <c r="D766" s="2" t="n">
        <v>346</v>
      </c>
      <c r="E766" s="2" t="n">
        <v>386</v>
      </c>
      <c r="F766" s="2" t="n">
        <v>71</v>
      </c>
      <c r="G766" s="2" t="n">
        <v>814</v>
      </c>
      <c r="H766" s="2" t="n">
        <v>3</v>
      </c>
      <c r="I766" s="3" t="n">
        <v>1684.47</v>
      </c>
      <c r="J766" s="3" t="n">
        <v>482.15</v>
      </c>
      <c r="K766" s="3" t="n">
        <v>3211.51</v>
      </c>
      <c r="L766" s="3" t="n">
        <v>1326.9</v>
      </c>
      <c r="M766" s="2" t="n">
        <v>5.1</v>
      </c>
      <c r="N766" s="2" t="s">
        <v>26</v>
      </c>
      <c r="O766" s="4" t="n">
        <f aca="false">VLOOKUP(F766,DIM_SERVICO!$A$2:$D$151,4,FALSE())</f>
        <v>482.15</v>
      </c>
      <c r="P766" s="4" t="n">
        <f aca="false">VLOOKUP(E766,DIM_PECA!$A$2:$F$501,6,FALSE())</f>
        <v>1028.73</v>
      </c>
      <c r="Q766" s="4" t="n">
        <f aca="false">VLOOKUP(E766,DIM_PECA!$A$2:$F$501,5,FALSE())</f>
        <v>561.49</v>
      </c>
      <c r="R766" s="4" t="n">
        <f aca="false">H766*P766</f>
        <v>3086.19</v>
      </c>
      <c r="S766" s="4" t="n">
        <f aca="false">O766*M766</f>
        <v>2458.965</v>
      </c>
      <c r="T766" s="4" t="n">
        <f aca="false">R766+S766</f>
        <v>5545.155</v>
      </c>
      <c r="U766" s="4" t="n">
        <f aca="false">T766-K766</f>
        <v>2333.645</v>
      </c>
      <c r="V766" s="4" t="n">
        <f aca="false">R766+S766-U766</f>
        <v>3211.51</v>
      </c>
      <c r="W766" s="5" t="str">
        <f aca="false">IF(ROUND(V766-K766,2)=0,"OK","ERRO")</f>
        <v>OK</v>
      </c>
      <c r="X766" s="5" t="str">
        <f aca="false">VLOOKUP(F766,DIM_SERVICO!$A$2:$D$151,3,FALSE())</f>
        <v>Elétrica</v>
      </c>
    </row>
    <row r="767" customFormat="false" ht="15" hidden="false" customHeight="false" outlineLevel="0" collapsed="false">
      <c r="A767" s="6" t="n">
        <v>766</v>
      </c>
      <c r="B767" s="6" t="n">
        <v>642</v>
      </c>
      <c r="C767" s="6" t="n">
        <v>603</v>
      </c>
      <c r="D767" s="6" t="n">
        <v>969</v>
      </c>
      <c r="E767" s="6" t="n">
        <v>390</v>
      </c>
      <c r="F767" s="6" t="n">
        <v>92</v>
      </c>
      <c r="G767" s="6" t="n">
        <v>1787</v>
      </c>
      <c r="H767" s="6" t="n">
        <v>1</v>
      </c>
      <c r="I767" s="7" t="n">
        <v>551.98</v>
      </c>
      <c r="J767" s="7" t="n">
        <v>1754.32</v>
      </c>
      <c r="K767" s="7" t="n">
        <v>2610.24</v>
      </c>
      <c r="L767" s="7" t="n">
        <v>1238.94</v>
      </c>
      <c r="M767" s="6" t="n">
        <v>11</v>
      </c>
      <c r="N767" s="6" t="s">
        <v>24</v>
      </c>
      <c r="O767" s="8" t="n">
        <f aca="false">VLOOKUP(F767,DIM_SERVICO!$A$2:$D$151,4,FALSE())</f>
        <v>1754.32</v>
      </c>
      <c r="P767" s="8" t="n">
        <f aca="false">VLOOKUP(E767,DIM_PECA!$A$2:$F$501,6,FALSE())</f>
        <v>855.92</v>
      </c>
      <c r="Q767" s="8" t="n">
        <f aca="false">VLOOKUP(E767,DIM_PECA!$A$2:$F$501,5,FALSE())</f>
        <v>551.98</v>
      </c>
      <c r="R767" s="8" t="n">
        <f aca="false">H767*P767</f>
        <v>855.92</v>
      </c>
      <c r="S767" s="8" t="n">
        <f aca="false">O767*M767</f>
        <v>19297.52</v>
      </c>
      <c r="T767" s="8" t="n">
        <f aca="false">R767+S767</f>
        <v>20153.44</v>
      </c>
      <c r="U767" s="8" t="n">
        <f aca="false">T767-K767</f>
        <v>17543.2</v>
      </c>
      <c r="V767" s="8" t="n">
        <f aca="false">R767+S767-U767</f>
        <v>2610.24</v>
      </c>
      <c r="W767" s="9" t="str">
        <f aca="false">IF(ROUND(V767-K767,2)=0,"OK","ERRO")</f>
        <v>OK</v>
      </c>
      <c r="X767" s="9" t="str">
        <f aca="false">VLOOKUP(F767,DIM_SERVICO!$A$2:$D$151,3,FALSE())</f>
        <v>Revisão</v>
      </c>
    </row>
    <row r="768" customFormat="false" ht="15" hidden="false" customHeight="false" outlineLevel="0" collapsed="false">
      <c r="A768" s="2" t="n">
        <v>767</v>
      </c>
      <c r="B768" s="2" t="n">
        <v>375</v>
      </c>
      <c r="C768" s="2" t="n">
        <v>656</v>
      </c>
      <c r="D768" s="2" t="n">
        <v>726</v>
      </c>
      <c r="E768" s="2" t="n">
        <v>375</v>
      </c>
      <c r="F768" s="2" t="n">
        <v>61</v>
      </c>
      <c r="G768" s="2" t="n">
        <v>361</v>
      </c>
      <c r="H768" s="2" t="n">
        <v>2</v>
      </c>
      <c r="I768" s="3" t="n">
        <v>272.42</v>
      </c>
      <c r="J768" s="3" t="n">
        <v>1372.66</v>
      </c>
      <c r="K768" s="3" t="n">
        <v>1615.91</v>
      </c>
      <c r="L768" s="3" t="n">
        <v>752.08</v>
      </c>
      <c r="M768" s="2" t="n">
        <v>1.3</v>
      </c>
      <c r="N768" s="2" t="s">
        <v>25</v>
      </c>
      <c r="O768" s="4" t="n">
        <f aca="false">VLOOKUP(F768,DIM_SERVICO!$A$2:$D$151,4,FALSE())</f>
        <v>1372.66</v>
      </c>
      <c r="P768" s="4" t="n">
        <f aca="false">VLOOKUP(E768,DIM_PECA!$A$2:$F$501,6,FALSE())</f>
        <v>191.88</v>
      </c>
      <c r="Q768" s="4" t="n">
        <f aca="false">VLOOKUP(E768,DIM_PECA!$A$2:$F$501,5,FALSE())</f>
        <v>136.21</v>
      </c>
      <c r="R768" s="4" t="n">
        <f aca="false">H768*P768</f>
        <v>383.76</v>
      </c>
      <c r="S768" s="4" t="n">
        <f aca="false">O768*M768</f>
        <v>1784.458</v>
      </c>
      <c r="T768" s="4" t="n">
        <f aca="false">R768+S768</f>
        <v>2168.218</v>
      </c>
      <c r="U768" s="4" t="n">
        <f aca="false">T768-K768</f>
        <v>552.308</v>
      </c>
      <c r="V768" s="4" t="n">
        <f aca="false">R768+S768-U768</f>
        <v>1615.91</v>
      </c>
      <c r="W768" s="5" t="str">
        <f aca="false">IF(ROUND(V768-K768,2)=0,"OK","ERRO")</f>
        <v>OK</v>
      </c>
      <c r="X768" s="5" t="str">
        <f aca="false">VLOOKUP(F768,DIM_SERVICO!$A$2:$D$151,3,FALSE())</f>
        <v>Funilaria</v>
      </c>
    </row>
    <row r="769" customFormat="false" ht="15" hidden="false" customHeight="false" outlineLevel="0" collapsed="false">
      <c r="A769" s="6" t="n">
        <v>768</v>
      </c>
      <c r="B769" s="6" t="n">
        <v>1039</v>
      </c>
      <c r="C769" s="6" t="n">
        <v>237</v>
      </c>
      <c r="D769" s="6" t="n">
        <v>138</v>
      </c>
      <c r="E769" s="6" t="n">
        <v>417</v>
      </c>
      <c r="F769" s="6" t="n">
        <v>126</v>
      </c>
      <c r="G769" s="6" t="n">
        <v>1042</v>
      </c>
      <c r="H769" s="6" t="n">
        <v>3</v>
      </c>
      <c r="I769" s="7" t="n">
        <v>611.52</v>
      </c>
      <c r="J769" s="7" t="n">
        <v>722.81</v>
      </c>
      <c r="K769" s="7" t="n">
        <v>1952.33</v>
      </c>
      <c r="L769" s="7" t="n">
        <v>1061.85</v>
      </c>
      <c r="M769" s="6" t="n">
        <v>8.7</v>
      </c>
      <c r="N769" s="6" t="s">
        <v>25</v>
      </c>
      <c r="O769" s="8" t="n">
        <f aca="false">VLOOKUP(F769,DIM_SERVICO!$A$2:$D$151,4,FALSE())</f>
        <v>722.81</v>
      </c>
      <c r="P769" s="8" t="n">
        <f aca="false">VLOOKUP(E769,DIM_PECA!$A$2:$F$501,6,FALSE())</f>
        <v>409.84</v>
      </c>
      <c r="Q769" s="8" t="n">
        <f aca="false">VLOOKUP(E769,DIM_PECA!$A$2:$F$501,5,FALSE())</f>
        <v>203.84</v>
      </c>
      <c r="R769" s="8" t="n">
        <f aca="false">H769*P769</f>
        <v>1229.52</v>
      </c>
      <c r="S769" s="8" t="n">
        <f aca="false">O769*M769</f>
        <v>6288.447</v>
      </c>
      <c r="T769" s="8" t="n">
        <f aca="false">R769+S769</f>
        <v>7517.967</v>
      </c>
      <c r="U769" s="8" t="n">
        <f aca="false">T769-K769</f>
        <v>5565.637</v>
      </c>
      <c r="V769" s="8" t="n">
        <f aca="false">R769+S769-U769</f>
        <v>1952.33</v>
      </c>
      <c r="W769" s="9" t="str">
        <f aca="false">IF(ROUND(V769-K769,2)=0,"OK","ERRO")</f>
        <v>OK</v>
      </c>
      <c r="X769" s="9" t="str">
        <f aca="false">VLOOKUP(F769,DIM_SERVICO!$A$2:$D$151,3,FALSE())</f>
        <v>Freios</v>
      </c>
    </row>
    <row r="770" customFormat="false" ht="15" hidden="false" customHeight="false" outlineLevel="0" collapsed="false">
      <c r="A770" s="2" t="n">
        <v>769</v>
      </c>
      <c r="B770" s="2" t="n">
        <v>764</v>
      </c>
      <c r="C770" s="2" t="n">
        <v>1396</v>
      </c>
      <c r="D770" s="2" t="n">
        <v>827</v>
      </c>
      <c r="E770" s="2" t="n">
        <v>92</v>
      </c>
      <c r="F770" s="2" t="n">
        <v>149</v>
      </c>
      <c r="G770" s="2" t="n">
        <v>159</v>
      </c>
      <c r="H770" s="2" t="n">
        <v>4</v>
      </c>
      <c r="I770" s="3" t="n">
        <v>1593.76</v>
      </c>
      <c r="J770" s="3" t="n">
        <v>142.63</v>
      </c>
      <c r="K770" s="3" t="n">
        <v>3236.75</v>
      </c>
      <c r="L770" s="3" t="n">
        <v>1584.76</v>
      </c>
      <c r="M770" s="2" t="n">
        <v>9.3</v>
      </c>
      <c r="N770" s="2" t="s">
        <v>24</v>
      </c>
      <c r="O770" s="4" t="n">
        <f aca="false">VLOOKUP(F770,DIM_SERVICO!$A$2:$D$151,4,FALSE())</f>
        <v>142.63</v>
      </c>
      <c r="P770" s="4" t="n">
        <f aca="false">VLOOKUP(E770,DIM_PECA!$A$2:$F$501,6,FALSE())</f>
        <v>816.12</v>
      </c>
      <c r="Q770" s="4" t="n">
        <f aca="false">VLOOKUP(E770,DIM_PECA!$A$2:$F$501,5,FALSE())</f>
        <v>398.44</v>
      </c>
      <c r="R770" s="4" t="n">
        <f aca="false">H770*P770</f>
        <v>3264.48</v>
      </c>
      <c r="S770" s="4" t="n">
        <f aca="false">O770*M770</f>
        <v>1326.459</v>
      </c>
      <c r="T770" s="4" t="n">
        <f aca="false">R770+S770</f>
        <v>4590.939</v>
      </c>
      <c r="U770" s="4" t="n">
        <f aca="false">T770-K770</f>
        <v>1354.189</v>
      </c>
      <c r="V770" s="4" t="n">
        <f aca="false">R770+S770-U770</f>
        <v>3236.75</v>
      </c>
      <c r="W770" s="5" t="str">
        <f aca="false">IF(ROUND(V770-K770,2)=0,"OK","ERRO")</f>
        <v>OK</v>
      </c>
      <c r="X770" s="5" t="str">
        <f aca="false">VLOOKUP(F770,DIM_SERVICO!$A$2:$D$151,3,FALSE())</f>
        <v>Motor</v>
      </c>
    </row>
    <row r="771" customFormat="false" ht="15" hidden="false" customHeight="false" outlineLevel="0" collapsed="false">
      <c r="A771" s="6" t="n">
        <v>770</v>
      </c>
      <c r="B771" s="6" t="n">
        <v>361</v>
      </c>
      <c r="C771" s="6" t="n">
        <v>268</v>
      </c>
      <c r="D771" s="6" t="n">
        <v>1090</v>
      </c>
      <c r="E771" s="6" t="n">
        <v>73</v>
      </c>
      <c r="F771" s="6" t="n">
        <v>90</v>
      </c>
      <c r="G771" s="6" t="n">
        <v>506</v>
      </c>
      <c r="H771" s="6" t="n">
        <v>3</v>
      </c>
      <c r="I771" s="7" t="n">
        <v>1172.61</v>
      </c>
      <c r="J771" s="7" t="n">
        <v>702.32</v>
      </c>
      <c r="K771" s="7" t="n">
        <v>3138.32</v>
      </c>
      <c r="L771" s="7" t="n">
        <v>1642.37</v>
      </c>
      <c r="M771" s="6" t="n">
        <v>9.6</v>
      </c>
      <c r="N771" s="6" t="s">
        <v>24</v>
      </c>
      <c r="O771" s="8" t="n">
        <f aca="false">VLOOKUP(F771,DIM_SERVICO!$A$2:$D$151,4,FALSE())</f>
        <v>702.32</v>
      </c>
      <c r="P771" s="8" t="n">
        <f aca="false">VLOOKUP(E771,DIM_PECA!$A$2:$F$501,6,FALSE())</f>
        <v>812</v>
      </c>
      <c r="Q771" s="8" t="n">
        <f aca="false">VLOOKUP(E771,DIM_PECA!$A$2:$F$501,5,FALSE())</f>
        <v>390.87</v>
      </c>
      <c r="R771" s="8" t="n">
        <f aca="false">H771*P771</f>
        <v>2436</v>
      </c>
      <c r="S771" s="8" t="n">
        <f aca="false">O771*M771</f>
        <v>6742.272</v>
      </c>
      <c r="T771" s="8" t="n">
        <f aca="false">R771+S771</f>
        <v>9178.272</v>
      </c>
      <c r="U771" s="8" t="n">
        <f aca="false">T771-K771</f>
        <v>6039.952</v>
      </c>
      <c r="V771" s="8" t="n">
        <f aca="false">R771+S771-U771</f>
        <v>3138.32</v>
      </c>
      <c r="W771" s="9" t="str">
        <f aca="false">IF(ROUND(V771-K771,2)=0,"OK","ERRO")</f>
        <v>OK</v>
      </c>
      <c r="X771" s="9" t="str">
        <f aca="false">VLOOKUP(F771,DIM_SERVICO!$A$2:$D$151,3,FALSE())</f>
        <v>Diagnóstico</v>
      </c>
    </row>
    <row r="772" customFormat="false" ht="15" hidden="false" customHeight="false" outlineLevel="0" collapsed="false">
      <c r="A772" s="2" t="n">
        <v>771</v>
      </c>
      <c r="B772" s="2" t="n">
        <v>764</v>
      </c>
      <c r="C772" s="2" t="n">
        <v>980</v>
      </c>
      <c r="D772" s="2" t="n">
        <v>719</v>
      </c>
      <c r="E772" s="2" t="n">
        <v>45</v>
      </c>
      <c r="F772" s="2" t="n">
        <v>126</v>
      </c>
      <c r="G772" s="2" t="n">
        <v>830</v>
      </c>
      <c r="H772" s="2" t="n">
        <v>3</v>
      </c>
      <c r="I772" s="3" t="n">
        <v>200.88</v>
      </c>
      <c r="J772" s="3" t="n">
        <v>722.81</v>
      </c>
      <c r="K772" s="3" t="n">
        <v>988.43</v>
      </c>
      <c r="L772" s="3" t="n">
        <v>464.52</v>
      </c>
      <c r="M772" s="2" t="n">
        <v>8.2</v>
      </c>
      <c r="N772" s="2" t="s">
        <v>24</v>
      </c>
      <c r="O772" s="4" t="n">
        <f aca="false">VLOOKUP(F772,DIM_SERVICO!$A$2:$D$151,4,FALSE())</f>
        <v>722.81</v>
      </c>
      <c r="P772" s="4" t="n">
        <f aca="false">VLOOKUP(E772,DIM_PECA!$A$2:$F$501,6,FALSE())</f>
        <v>117.19</v>
      </c>
      <c r="Q772" s="4" t="n">
        <f aca="false">VLOOKUP(E772,DIM_PECA!$A$2:$F$501,5,FALSE())</f>
        <v>66.96</v>
      </c>
      <c r="R772" s="4" t="n">
        <f aca="false">H772*P772</f>
        <v>351.57</v>
      </c>
      <c r="S772" s="4" t="n">
        <f aca="false">O772*M772</f>
        <v>5927.042</v>
      </c>
      <c r="T772" s="4" t="n">
        <f aca="false">R772+S772</f>
        <v>6278.612</v>
      </c>
      <c r="U772" s="4" t="n">
        <f aca="false">T772-K772</f>
        <v>5290.182</v>
      </c>
      <c r="V772" s="4" t="n">
        <f aca="false">R772+S772-U772</f>
        <v>988.43</v>
      </c>
      <c r="W772" s="5" t="str">
        <f aca="false">IF(ROUND(V772-K772,2)=0,"OK","ERRO")</f>
        <v>OK</v>
      </c>
      <c r="X772" s="5" t="str">
        <f aca="false">VLOOKUP(F772,DIM_SERVICO!$A$2:$D$151,3,FALSE())</f>
        <v>Freios</v>
      </c>
    </row>
    <row r="773" customFormat="false" ht="15" hidden="false" customHeight="false" outlineLevel="0" collapsed="false">
      <c r="A773" s="6" t="n">
        <v>772</v>
      </c>
      <c r="B773" s="6" t="n">
        <v>497</v>
      </c>
      <c r="C773" s="6" t="n">
        <v>746</v>
      </c>
      <c r="D773" s="6" t="n">
        <v>936</v>
      </c>
      <c r="E773" s="6" t="n">
        <v>460</v>
      </c>
      <c r="F773" s="6" t="n">
        <v>134</v>
      </c>
      <c r="G773" s="6" t="n">
        <v>1767</v>
      </c>
      <c r="H773" s="6" t="n">
        <v>2</v>
      </c>
      <c r="I773" s="7" t="n">
        <v>1770.8</v>
      </c>
      <c r="J773" s="7" t="n">
        <v>1364.67</v>
      </c>
      <c r="K773" s="7" t="n">
        <v>4466.95</v>
      </c>
      <c r="L773" s="7" t="n">
        <v>2100.37</v>
      </c>
      <c r="M773" s="6" t="n">
        <v>7.2</v>
      </c>
      <c r="N773" s="6" t="s">
        <v>24</v>
      </c>
      <c r="O773" s="8" t="n">
        <f aca="false">VLOOKUP(F773,DIM_SERVICO!$A$2:$D$151,4,FALSE())</f>
        <v>1364.67</v>
      </c>
      <c r="P773" s="8" t="n">
        <f aca="false">VLOOKUP(E773,DIM_PECA!$A$2:$F$501,6,FALSE())</f>
        <v>1596.72</v>
      </c>
      <c r="Q773" s="8" t="n">
        <f aca="false">VLOOKUP(E773,DIM_PECA!$A$2:$F$501,5,FALSE())</f>
        <v>885.4</v>
      </c>
      <c r="R773" s="8" t="n">
        <f aca="false">H773*P773</f>
        <v>3193.44</v>
      </c>
      <c r="S773" s="8" t="n">
        <f aca="false">O773*M773</f>
        <v>9825.624</v>
      </c>
      <c r="T773" s="8" t="n">
        <f aca="false">R773+S773</f>
        <v>13019.064</v>
      </c>
      <c r="U773" s="8" t="n">
        <f aca="false">T773-K773</f>
        <v>8552.114</v>
      </c>
      <c r="V773" s="8" t="n">
        <f aca="false">R773+S773-U773</f>
        <v>4466.95</v>
      </c>
      <c r="W773" s="9" t="str">
        <f aca="false">IF(ROUND(V773-K773,2)=0,"OK","ERRO")</f>
        <v>OK</v>
      </c>
      <c r="X773" s="9" t="str">
        <f aca="false">VLOOKUP(F773,DIM_SERVICO!$A$2:$D$151,3,FALSE())</f>
        <v>Elétrica</v>
      </c>
    </row>
    <row r="774" customFormat="false" ht="15" hidden="false" customHeight="false" outlineLevel="0" collapsed="false">
      <c r="A774" s="2" t="n">
        <v>773</v>
      </c>
      <c r="B774" s="2" t="n">
        <v>408</v>
      </c>
      <c r="C774" s="2" t="n">
        <v>443</v>
      </c>
      <c r="D774" s="2" t="n">
        <v>425</v>
      </c>
      <c r="E774" s="2" t="n">
        <v>340</v>
      </c>
      <c r="F774" s="2" t="n">
        <v>73</v>
      </c>
      <c r="G774" s="2" t="n">
        <v>98</v>
      </c>
      <c r="H774" s="2" t="n">
        <v>2</v>
      </c>
      <c r="I774" s="3" t="n">
        <v>652.94</v>
      </c>
      <c r="J774" s="3" t="n">
        <v>2131.99</v>
      </c>
      <c r="K774" s="3" t="n">
        <v>2898.63</v>
      </c>
      <c r="L774" s="3" t="n">
        <v>1152.56</v>
      </c>
      <c r="M774" s="2" t="n">
        <v>5.9</v>
      </c>
      <c r="N774" s="2" t="s">
        <v>24</v>
      </c>
      <c r="O774" s="4" t="n">
        <f aca="false">VLOOKUP(F774,DIM_SERVICO!$A$2:$D$151,4,FALSE())</f>
        <v>2131.99</v>
      </c>
      <c r="P774" s="4" t="n">
        <f aca="false">VLOOKUP(E774,DIM_PECA!$A$2:$F$501,6,FALSE())</f>
        <v>509.35</v>
      </c>
      <c r="Q774" s="4" t="n">
        <f aca="false">VLOOKUP(E774,DIM_PECA!$A$2:$F$501,5,FALSE())</f>
        <v>326.47</v>
      </c>
      <c r="R774" s="4" t="n">
        <f aca="false">H774*P774</f>
        <v>1018.7</v>
      </c>
      <c r="S774" s="4" t="n">
        <f aca="false">O774*M774</f>
        <v>12578.741</v>
      </c>
      <c r="T774" s="4" t="n">
        <f aca="false">R774+S774</f>
        <v>13597.441</v>
      </c>
      <c r="U774" s="4" t="n">
        <f aca="false">T774-K774</f>
        <v>10698.811</v>
      </c>
      <c r="V774" s="4" t="n">
        <f aca="false">R774+S774-U774</f>
        <v>2898.63</v>
      </c>
      <c r="W774" s="5" t="str">
        <f aca="false">IF(ROUND(V774-K774,2)=0,"OK","ERRO")</f>
        <v>OK</v>
      </c>
      <c r="X774" s="5" t="str">
        <f aca="false">VLOOKUP(F774,DIM_SERVICO!$A$2:$D$151,3,FALSE())</f>
        <v>Suspensão</v>
      </c>
    </row>
    <row r="775" customFormat="false" ht="15" hidden="false" customHeight="false" outlineLevel="0" collapsed="false">
      <c r="A775" s="6" t="n">
        <v>774</v>
      </c>
      <c r="B775" s="6" t="n">
        <v>1240</v>
      </c>
      <c r="C775" s="6" t="n">
        <v>447</v>
      </c>
      <c r="D775" s="6" t="n">
        <v>724</v>
      </c>
      <c r="E775" s="6" t="n">
        <v>436</v>
      </c>
      <c r="F775" s="6" t="n">
        <v>29</v>
      </c>
      <c r="G775" s="6" t="n">
        <v>721</v>
      </c>
      <c r="H775" s="6" t="n">
        <v>2</v>
      </c>
      <c r="I775" s="7" t="n">
        <v>1047.14</v>
      </c>
      <c r="J775" s="7" t="n">
        <v>223.62</v>
      </c>
      <c r="K775" s="7" t="n">
        <v>1535.87</v>
      </c>
      <c r="L775" s="7" t="n">
        <v>393.06</v>
      </c>
      <c r="M775" s="6" t="n">
        <v>5.2</v>
      </c>
      <c r="N775" s="6" t="s">
        <v>25</v>
      </c>
      <c r="O775" s="8" t="n">
        <f aca="false">VLOOKUP(F775,DIM_SERVICO!$A$2:$D$151,4,FALSE())</f>
        <v>223.62</v>
      </c>
      <c r="P775" s="8" t="n">
        <f aca="false">VLOOKUP(E775,DIM_PECA!$A$2:$F$501,6,FALSE())</f>
        <v>741.45</v>
      </c>
      <c r="Q775" s="8" t="n">
        <f aca="false">VLOOKUP(E775,DIM_PECA!$A$2:$F$501,5,FALSE())</f>
        <v>523.57</v>
      </c>
      <c r="R775" s="8" t="n">
        <f aca="false">H775*P775</f>
        <v>1482.9</v>
      </c>
      <c r="S775" s="8" t="n">
        <f aca="false">O775*M775</f>
        <v>1162.824</v>
      </c>
      <c r="T775" s="8" t="n">
        <f aca="false">R775+S775</f>
        <v>2645.724</v>
      </c>
      <c r="U775" s="8" t="n">
        <f aca="false">T775-K775</f>
        <v>1109.854</v>
      </c>
      <c r="V775" s="8" t="n">
        <f aca="false">R775+S775-U775</f>
        <v>1535.87</v>
      </c>
      <c r="W775" s="9" t="str">
        <f aca="false">IF(ROUND(V775-K775,2)=0,"OK","ERRO")</f>
        <v>OK</v>
      </c>
      <c r="X775" s="9" t="str">
        <f aca="false">VLOOKUP(F775,DIM_SERVICO!$A$2:$D$151,3,FALSE())</f>
        <v>Diagnóstico</v>
      </c>
    </row>
    <row r="776" customFormat="false" ht="15" hidden="false" customHeight="false" outlineLevel="0" collapsed="false">
      <c r="A776" s="2" t="n">
        <v>775</v>
      </c>
      <c r="B776" s="2" t="n">
        <v>48</v>
      </c>
      <c r="C776" s="2" t="n">
        <v>1320</v>
      </c>
      <c r="D776" s="2" t="n">
        <v>931</v>
      </c>
      <c r="E776" s="2" t="n">
        <v>13</v>
      </c>
      <c r="F776" s="2" t="n">
        <v>139</v>
      </c>
      <c r="G776" s="2" t="n">
        <v>46</v>
      </c>
      <c r="H776" s="2" t="n">
        <v>4</v>
      </c>
      <c r="I776" s="3" t="n">
        <v>1216.6</v>
      </c>
      <c r="J776" s="3" t="n">
        <v>2138.46</v>
      </c>
      <c r="K776" s="3" t="n">
        <v>4075.97</v>
      </c>
      <c r="L776" s="3" t="n">
        <v>1953</v>
      </c>
      <c r="M776" s="2" t="n">
        <v>3.2</v>
      </c>
      <c r="N776" s="2" t="s">
        <v>24</v>
      </c>
      <c r="O776" s="4" t="n">
        <f aca="false">VLOOKUP(F776,DIM_SERVICO!$A$2:$D$151,4,FALSE())</f>
        <v>2138.46</v>
      </c>
      <c r="P776" s="4" t="n">
        <f aca="false">VLOOKUP(E776,DIM_PECA!$A$2:$F$501,6,FALSE())</f>
        <v>538.01</v>
      </c>
      <c r="Q776" s="4" t="n">
        <f aca="false">VLOOKUP(E776,DIM_PECA!$A$2:$F$501,5,FALSE())</f>
        <v>304.15</v>
      </c>
      <c r="R776" s="4" t="n">
        <f aca="false">H776*P776</f>
        <v>2152.04</v>
      </c>
      <c r="S776" s="4" t="n">
        <f aca="false">O776*M776</f>
        <v>6843.072</v>
      </c>
      <c r="T776" s="4" t="n">
        <f aca="false">R776+S776</f>
        <v>8995.112</v>
      </c>
      <c r="U776" s="4" t="n">
        <f aca="false">T776-K776</f>
        <v>4919.142</v>
      </c>
      <c r="V776" s="4" t="n">
        <f aca="false">R776+S776-U776</f>
        <v>4075.97</v>
      </c>
      <c r="W776" s="5" t="str">
        <f aca="false">IF(ROUND(V776-K776,2)=0,"OK","ERRO")</f>
        <v>OK</v>
      </c>
      <c r="X776" s="5" t="str">
        <f aca="false">VLOOKUP(F776,DIM_SERVICO!$A$2:$D$151,3,FALSE())</f>
        <v>Revisão</v>
      </c>
    </row>
    <row r="777" customFormat="false" ht="15" hidden="false" customHeight="false" outlineLevel="0" collapsed="false">
      <c r="A777" s="6" t="n">
        <v>776</v>
      </c>
      <c r="B777" s="6" t="n">
        <v>1150</v>
      </c>
      <c r="C777" s="6" t="n">
        <v>52</v>
      </c>
      <c r="D777" s="6" t="n">
        <v>89</v>
      </c>
      <c r="E777" s="6" t="n">
        <v>96</v>
      </c>
      <c r="F777" s="6" t="n">
        <v>37</v>
      </c>
      <c r="G777" s="6" t="n">
        <v>993</v>
      </c>
      <c r="H777" s="6" t="n">
        <v>3</v>
      </c>
      <c r="I777" s="7" t="n">
        <v>418.95</v>
      </c>
      <c r="J777" s="7" t="n">
        <v>388.25</v>
      </c>
      <c r="K777" s="7" t="n">
        <v>1197.26</v>
      </c>
      <c r="L777" s="7" t="n">
        <v>594.6</v>
      </c>
      <c r="M777" s="6" t="n">
        <v>5.2</v>
      </c>
      <c r="N777" s="6" t="s">
        <v>27</v>
      </c>
      <c r="O777" s="8" t="n">
        <f aca="false">VLOOKUP(F777,DIM_SERVICO!$A$2:$D$151,4,FALSE())</f>
        <v>388.25</v>
      </c>
      <c r="P777" s="8" t="n">
        <f aca="false">VLOOKUP(E777,DIM_PECA!$A$2:$F$501,6,FALSE())</f>
        <v>269.67</v>
      </c>
      <c r="Q777" s="8" t="n">
        <f aca="false">VLOOKUP(E777,DIM_PECA!$A$2:$F$501,5,FALSE())</f>
        <v>139.65</v>
      </c>
      <c r="R777" s="8" t="n">
        <f aca="false">H777*P777</f>
        <v>809.01</v>
      </c>
      <c r="S777" s="8" t="n">
        <f aca="false">O777*M777</f>
        <v>2018.9</v>
      </c>
      <c r="T777" s="8" t="n">
        <f aca="false">R777+S777</f>
        <v>2827.91</v>
      </c>
      <c r="U777" s="8" t="n">
        <f aca="false">T777-K777</f>
        <v>1630.65</v>
      </c>
      <c r="V777" s="8" t="n">
        <f aca="false">R777+S777-U777</f>
        <v>1197.26</v>
      </c>
      <c r="W777" s="9" t="str">
        <f aca="false">IF(ROUND(V777-K777,2)=0,"OK","ERRO")</f>
        <v>OK</v>
      </c>
      <c r="X777" s="9" t="str">
        <f aca="false">VLOOKUP(F777,DIM_SERVICO!$A$2:$D$151,3,FALSE())</f>
        <v>Freios</v>
      </c>
    </row>
    <row r="778" customFormat="false" ht="15" hidden="false" customHeight="false" outlineLevel="0" collapsed="false">
      <c r="A778" s="2" t="n">
        <v>777</v>
      </c>
      <c r="B778" s="2" t="n">
        <v>424</v>
      </c>
      <c r="C778" s="2" t="n">
        <v>33</v>
      </c>
      <c r="D778" s="2" t="n">
        <v>512</v>
      </c>
      <c r="E778" s="2" t="n">
        <v>241</v>
      </c>
      <c r="F778" s="2" t="n">
        <v>2</v>
      </c>
      <c r="G778" s="2" t="n">
        <v>1268</v>
      </c>
      <c r="H778" s="2" t="n">
        <v>2</v>
      </c>
      <c r="I778" s="3" t="n">
        <v>1037.24</v>
      </c>
      <c r="J778" s="3" t="n">
        <v>1072.4</v>
      </c>
      <c r="K778" s="3" t="n">
        <v>2613.92</v>
      </c>
      <c r="L778" s="3" t="n">
        <v>1193.69</v>
      </c>
      <c r="M778" s="2" t="n">
        <v>5.7</v>
      </c>
      <c r="N778" s="2" t="s">
        <v>24</v>
      </c>
      <c r="O778" s="4" t="n">
        <f aca="false">VLOOKUP(F778,DIM_SERVICO!$A$2:$D$151,4,FALSE())</f>
        <v>1072.4</v>
      </c>
      <c r="P778" s="4" t="n">
        <f aca="false">VLOOKUP(E778,DIM_PECA!$A$2:$F$501,6,FALSE())</f>
        <v>839.55</v>
      </c>
      <c r="Q778" s="4" t="n">
        <f aca="false">VLOOKUP(E778,DIM_PECA!$A$2:$F$501,5,FALSE())</f>
        <v>518.62</v>
      </c>
      <c r="R778" s="4" t="n">
        <f aca="false">H778*P778</f>
        <v>1679.1</v>
      </c>
      <c r="S778" s="4" t="n">
        <f aca="false">O778*M778</f>
        <v>6112.68</v>
      </c>
      <c r="T778" s="4" t="n">
        <f aca="false">R778+S778</f>
        <v>7791.78</v>
      </c>
      <c r="U778" s="4" t="n">
        <f aca="false">T778-K778</f>
        <v>5177.86</v>
      </c>
      <c r="V778" s="4" t="n">
        <f aca="false">R778+S778-U778</f>
        <v>2613.92</v>
      </c>
      <c r="W778" s="5" t="str">
        <f aca="false">IF(ROUND(V778-K778,2)=0,"OK","ERRO")</f>
        <v>OK</v>
      </c>
      <c r="X778" s="5" t="str">
        <f aca="false">VLOOKUP(F778,DIM_SERVICO!$A$2:$D$151,3,FALSE())</f>
        <v>Suspensão</v>
      </c>
    </row>
    <row r="779" customFormat="false" ht="15" hidden="false" customHeight="false" outlineLevel="0" collapsed="false">
      <c r="A779" s="6" t="n">
        <v>778</v>
      </c>
      <c r="B779" s="6" t="n">
        <v>1467</v>
      </c>
      <c r="C779" s="6" t="n">
        <v>179</v>
      </c>
      <c r="D779" s="6" t="n">
        <v>476</v>
      </c>
      <c r="E779" s="6" t="n">
        <v>73</v>
      </c>
      <c r="F779" s="6" t="n">
        <v>29</v>
      </c>
      <c r="G779" s="6" t="n">
        <v>443</v>
      </c>
      <c r="H779" s="6" t="n">
        <v>4</v>
      </c>
      <c r="I779" s="7" t="n">
        <v>1563.48</v>
      </c>
      <c r="J779" s="7" t="n">
        <v>223.62</v>
      </c>
      <c r="K779" s="7" t="n">
        <v>3471.62</v>
      </c>
      <c r="L779" s="7" t="n">
        <v>1809.77</v>
      </c>
      <c r="M779" s="6" t="n">
        <v>6.2</v>
      </c>
      <c r="N779" s="6" t="s">
        <v>24</v>
      </c>
      <c r="O779" s="8" t="n">
        <f aca="false">VLOOKUP(F779,DIM_SERVICO!$A$2:$D$151,4,FALSE())</f>
        <v>223.62</v>
      </c>
      <c r="P779" s="8" t="n">
        <f aca="false">VLOOKUP(E779,DIM_PECA!$A$2:$F$501,6,FALSE())</f>
        <v>812</v>
      </c>
      <c r="Q779" s="8" t="n">
        <f aca="false">VLOOKUP(E779,DIM_PECA!$A$2:$F$501,5,FALSE())</f>
        <v>390.87</v>
      </c>
      <c r="R779" s="8" t="n">
        <f aca="false">H779*P779</f>
        <v>3248</v>
      </c>
      <c r="S779" s="8" t="n">
        <f aca="false">O779*M779</f>
        <v>1386.444</v>
      </c>
      <c r="T779" s="8" t="n">
        <f aca="false">R779+S779</f>
        <v>4634.444</v>
      </c>
      <c r="U779" s="8" t="n">
        <f aca="false">T779-K779</f>
        <v>1162.824</v>
      </c>
      <c r="V779" s="8" t="n">
        <f aca="false">R779+S779-U779</f>
        <v>3471.62</v>
      </c>
      <c r="W779" s="9" t="str">
        <f aca="false">IF(ROUND(V779-K779,2)=0,"OK","ERRO")</f>
        <v>OK</v>
      </c>
      <c r="X779" s="9" t="str">
        <f aca="false">VLOOKUP(F779,DIM_SERVICO!$A$2:$D$151,3,FALSE())</f>
        <v>Diagnóstico</v>
      </c>
    </row>
    <row r="780" customFormat="false" ht="15" hidden="false" customHeight="false" outlineLevel="0" collapsed="false">
      <c r="A780" s="2" t="n">
        <v>779</v>
      </c>
      <c r="B780" s="2" t="n">
        <v>1211</v>
      </c>
      <c r="C780" s="2" t="n">
        <v>1165</v>
      </c>
      <c r="D780" s="2" t="n">
        <v>418</v>
      </c>
      <c r="E780" s="2" t="n">
        <v>297</v>
      </c>
      <c r="F780" s="2" t="n">
        <v>45</v>
      </c>
      <c r="G780" s="2" t="n">
        <v>1293</v>
      </c>
      <c r="H780" s="2" t="n">
        <v>2</v>
      </c>
      <c r="I780" s="3" t="n">
        <v>161.32</v>
      </c>
      <c r="J780" s="3" t="n">
        <v>510.5</v>
      </c>
      <c r="K780" s="3" t="n">
        <v>792.29</v>
      </c>
      <c r="L780" s="3" t="n">
        <v>410.67</v>
      </c>
      <c r="M780" s="2" t="n">
        <v>8.6</v>
      </c>
      <c r="N780" s="2" t="s">
        <v>27</v>
      </c>
      <c r="O780" s="4" t="n">
        <f aca="false">VLOOKUP(F780,DIM_SERVICO!$A$2:$D$151,4,FALSE())</f>
        <v>510.5</v>
      </c>
      <c r="P780" s="4" t="n">
        <f aca="false">VLOOKUP(E780,DIM_PECA!$A$2:$F$501,6,FALSE())</f>
        <v>175.34</v>
      </c>
      <c r="Q780" s="4" t="n">
        <f aca="false">VLOOKUP(E780,DIM_PECA!$A$2:$F$501,5,FALSE())</f>
        <v>80.66</v>
      </c>
      <c r="R780" s="4" t="n">
        <f aca="false">H780*P780</f>
        <v>350.68</v>
      </c>
      <c r="S780" s="4" t="n">
        <f aca="false">O780*M780</f>
        <v>4390.3</v>
      </c>
      <c r="T780" s="4" t="n">
        <f aca="false">R780+S780</f>
        <v>4740.98</v>
      </c>
      <c r="U780" s="4" t="n">
        <f aca="false">T780-K780</f>
        <v>3948.69</v>
      </c>
      <c r="V780" s="4" t="n">
        <f aca="false">R780+S780-U780</f>
        <v>792.29</v>
      </c>
      <c r="W780" s="5" t="str">
        <f aca="false">IF(ROUND(V780-K780,2)=0,"OK","ERRO")</f>
        <v>OK</v>
      </c>
      <c r="X780" s="5" t="str">
        <f aca="false">VLOOKUP(F780,DIM_SERVICO!$A$2:$D$151,3,FALSE())</f>
        <v>Revisão</v>
      </c>
    </row>
    <row r="781" customFormat="false" ht="15" hidden="false" customHeight="false" outlineLevel="0" collapsed="false">
      <c r="A781" s="6" t="n">
        <v>780</v>
      </c>
      <c r="B781" s="6" t="n">
        <v>290</v>
      </c>
      <c r="C781" s="6" t="n">
        <v>1275</v>
      </c>
      <c r="D781" s="6" t="n">
        <v>503</v>
      </c>
      <c r="E781" s="6" t="n">
        <v>448</v>
      </c>
      <c r="F781" s="6" t="n">
        <v>147</v>
      </c>
      <c r="G781" s="6" t="n">
        <v>672</v>
      </c>
      <c r="H781" s="6" t="n">
        <v>3</v>
      </c>
      <c r="I781" s="7" t="n">
        <v>2885.97</v>
      </c>
      <c r="J781" s="7" t="n">
        <v>1891.42</v>
      </c>
      <c r="K781" s="7" t="n">
        <v>6850.81</v>
      </c>
      <c r="L781" s="7" t="n">
        <v>3114.18</v>
      </c>
      <c r="M781" s="6" t="n">
        <v>9</v>
      </c>
      <c r="N781" s="6" t="s">
        <v>24</v>
      </c>
      <c r="O781" s="8" t="n">
        <f aca="false">VLOOKUP(F781,DIM_SERVICO!$A$2:$D$151,4,FALSE())</f>
        <v>1891.42</v>
      </c>
      <c r="P781" s="8" t="n">
        <f aca="false">VLOOKUP(E781,DIM_PECA!$A$2:$F$501,6,FALSE())</f>
        <v>1653.13</v>
      </c>
      <c r="Q781" s="8" t="n">
        <f aca="false">VLOOKUP(E781,DIM_PECA!$A$2:$F$501,5,FALSE())</f>
        <v>961.99</v>
      </c>
      <c r="R781" s="8" t="n">
        <f aca="false">H781*P781</f>
        <v>4959.39</v>
      </c>
      <c r="S781" s="8" t="n">
        <f aca="false">O781*M781</f>
        <v>17022.78</v>
      </c>
      <c r="T781" s="8" t="n">
        <f aca="false">R781+S781</f>
        <v>21982.17</v>
      </c>
      <c r="U781" s="8" t="n">
        <f aca="false">T781-K781</f>
        <v>15131.36</v>
      </c>
      <c r="V781" s="8" t="n">
        <f aca="false">R781+S781-U781</f>
        <v>6850.81</v>
      </c>
      <c r="W781" s="9" t="str">
        <f aca="false">IF(ROUND(V781-K781,2)=0,"OK","ERRO")</f>
        <v>OK</v>
      </c>
      <c r="X781" s="9" t="str">
        <f aca="false">VLOOKUP(F781,DIM_SERVICO!$A$2:$D$151,3,FALSE())</f>
        <v>Motor</v>
      </c>
    </row>
    <row r="782" customFormat="false" ht="15" hidden="false" customHeight="false" outlineLevel="0" collapsed="false">
      <c r="A782" s="2" t="n">
        <v>781</v>
      </c>
      <c r="B782" s="2" t="n">
        <v>187</v>
      </c>
      <c r="C782" s="2" t="n">
        <v>258</v>
      </c>
      <c r="D782" s="2" t="n">
        <v>1095</v>
      </c>
      <c r="E782" s="2" t="n">
        <v>127</v>
      </c>
      <c r="F782" s="2" t="n">
        <v>64</v>
      </c>
      <c r="G782" s="2" t="n">
        <v>810</v>
      </c>
      <c r="H782" s="2" t="n">
        <v>2</v>
      </c>
      <c r="I782" s="3" t="n">
        <v>1836.26</v>
      </c>
      <c r="J782" s="3" t="n">
        <v>1447.78</v>
      </c>
      <c r="K782" s="3" t="n">
        <v>4161</v>
      </c>
      <c r="L782" s="3" t="n">
        <v>1600.27</v>
      </c>
      <c r="M782" s="2" t="n">
        <v>8.3</v>
      </c>
      <c r="N782" s="2" t="s">
        <v>24</v>
      </c>
      <c r="O782" s="4" t="n">
        <f aca="false">VLOOKUP(F782,DIM_SERVICO!$A$2:$D$151,4,FALSE())</f>
        <v>1447.78</v>
      </c>
      <c r="P782" s="4" t="n">
        <f aca="false">VLOOKUP(E782,DIM_PECA!$A$2:$F$501,6,FALSE())</f>
        <v>1356.61</v>
      </c>
      <c r="Q782" s="4" t="n">
        <f aca="false">VLOOKUP(E782,DIM_PECA!$A$2:$F$501,5,FALSE())</f>
        <v>918.13</v>
      </c>
      <c r="R782" s="4" t="n">
        <f aca="false">H782*P782</f>
        <v>2713.22</v>
      </c>
      <c r="S782" s="4" t="n">
        <f aca="false">O782*M782</f>
        <v>12016.574</v>
      </c>
      <c r="T782" s="4" t="n">
        <f aca="false">R782+S782</f>
        <v>14729.794</v>
      </c>
      <c r="U782" s="4" t="n">
        <f aca="false">T782-K782</f>
        <v>10568.794</v>
      </c>
      <c r="V782" s="4" t="n">
        <f aca="false">R782+S782-U782</f>
        <v>4161</v>
      </c>
      <c r="W782" s="5" t="str">
        <f aca="false">IF(ROUND(V782-K782,2)=0,"OK","ERRO")</f>
        <v>OK</v>
      </c>
      <c r="X782" s="5" t="str">
        <f aca="false">VLOOKUP(F782,DIM_SERVICO!$A$2:$D$151,3,FALSE())</f>
        <v>Pintura</v>
      </c>
    </row>
    <row r="783" customFormat="false" ht="15" hidden="false" customHeight="false" outlineLevel="0" collapsed="false">
      <c r="A783" s="6" t="n">
        <v>782</v>
      </c>
      <c r="B783" s="6" t="n">
        <v>232</v>
      </c>
      <c r="C783" s="6" t="n">
        <v>357</v>
      </c>
      <c r="D783" s="6" t="n">
        <v>925</v>
      </c>
      <c r="E783" s="6" t="n">
        <v>44</v>
      </c>
      <c r="F783" s="6" t="n">
        <v>89</v>
      </c>
      <c r="G783" s="6" t="n">
        <v>1253</v>
      </c>
      <c r="H783" s="6" t="n">
        <v>1</v>
      </c>
      <c r="I783" s="7" t="n">
        <v>540.9</v>
      </c>
      <c r="J783" s="7" t="n">
        <v>310.79</v>
      </c>
      <c r="K783" s="7" t="n">
        <v>992.05</v>
      </c>
      <c r="L783" s="7" t="n">
        <v>285.81</v>
      </c>
      <c r="M783" s="6" t="n">
        <v>11.1</v>
      </c>
      <c r="N783" s="6" t="s">
        <v>24</v>
      </c>
      <c r="O783" s="8" t="n">
        <f aca="false">VLOOKUP(F783,DIM_SERVICO!$A$2:$D$151,4,FALSE())</f>
        <v>310.79</v>
      </c>
      <c r="P783" s="8" t="n">
        <f aca="false">VLOOKUP(E783,DIM_PECA!$A$2:$F$501,6,FALSE())</f>
        <v>767.53</v>
      </c>
      <c r="Q783" s="8" t="n">
        <f aca="false">VLOOKUP(E783,DIM_PECA!$A$2:$F$501,5,FALSE())</f>
        <v>540.9</v>
      </c>
      <c r="R783" s="8" t="n">
        <f aca="false">H783*P783</f>
        <v>767.53</v>
      </c>
      <c r="S783" s="8" t="n">
        <f aca="false">O783*M783</f>
        <v>3449.769</v>
      </c>
      <c r="T783" s="8" t="n">
        <f aca="false">R783+S783</f>
        <v>4217.299</v>
      </c>
      <c r="U783" s="8" t="n">
        <f aca="false">T783-K783</f>
        <v>3225.249</v>
      </c>
      <c r="V783" s="8" t="n">
        <f aca="false">R783+S783-U783</f>
        <v>992.05</v>
      </c>
      <c r="W783" s="9" t="str">
        <f aca="false">IF(ROUND(V783-K783,2)=0,"OK","ERRO")</f>
        <v>OK</v>
      </c>
      <c r="X783" s="9" t="str">
        <f aca="false">VLOOKUP(F783,DIM_SERVICO!$A$2:$D$151,3,FALSE())</f>
        <v>Elétrica</v>
      </c>
    </row>
    <row r="784" customFormat="false" ht="15" hidden="false" customHeight="false" outlineLevel="0" collapsed="false">
      <c r="A784" s="2" t="n">
        <v>783</v>
      </c>
      <c r="B784" s="2" t="n">
        <v>473</v>
      </c>
      <c r="C784" s="2" t="n">
        <v>1362</v>
      </c>
      <c r="D784" s="2" t="n">
        <v>900</v>
      </c>
      <c r="E784" s="2" t="n">
        <v>14</v>
      </c>
      <c r="F784" s="2" t="n">
        <v>130</v>
      </c>
      <c r="G784" s="2" t="n">
        <v>1678</v>
      </c>
      <c r="H784" s="2" t="n">
        <v>1</v>
      </c>
      <c r="I784" s="3" t="n">
        <v>1051.29</v>
      </c>
      <c r="J784" s="3" t="n">
        <v>170.79</v>
      </c>
      <c r="K784" s="3" t="n">
        <v>1934.82</v>
      </c>
      <c r="L784" s="3" t="n">
        <v>805.5</v>
      </c>
      <c r="M784" s="2" t="n">
        <v>1.2</v>
      </c>
      <c r="N784" s="2" t="s">
        <v>27</v>
      </c>
      <c r="O784" s="4" t="n">
        <f aca="false">VLOOKUP(F784,DIM_SERVICO!$A$2:$D$151,4,FALSE())</f>
        <v>170.79</v>
      </c>
      <c r="P784" s="4" t="n">
        <f aca="false">VLOOKUP(E784,DIM_PECA!$A$2:$F$501,6,FALSE())</f>
        <v>1865.86</v>
      </c>
      <c r="Q784" s="4" t="n">
        <f aca="false">VLOOKUP(E784,DIM_PECA!$A$2:$F$501,5,FALSE())</f>
        <v>1051.29</v>
      </c>
      <c r="R784" s="4" t="n">
        <f aca="false">H784*P784</f>
        <v>1865.86</v>
      </c>
      <c r="S784" s="4" t="n">
        <f aca="false">O784*M784</f>
        <v>204.948</v>
      </c>
      <c r="T784" s="4" t="n">
        <f aca="false">R784+S784</f>
        <v>2070.808</v>
      </c>
      <c r="U784" s="4" t="n">
        <f aca="false">T784-K784</f>
        <v>135.988</v>
      </c>
      <c r="V784" s="4" t="n">
        <f aca="false">R784+S784-U784</f>
        <v>1934.82</v>
      </c>
      <c r="W784" s="5" t="str">
        <f aca="false">IF(ROUND(V784-K784,2)=0,"OK","ERRO")</f>
        <v>OK</v>
      </c>
      <c r="X784" s="5" t="str">
        <f aca="false">VLOOKUP(F784,DIM_SERVICO!$A$2:$D$151,3,FALSE())</f>
        <v>Pintura</v>
      </c>
    </row>
    <row r="785" customFormat="false" ht="15" hidden="false" customHeight="false" outlineLevel="0" collapsed="false">
      <c r="A785" s="6" t="n">
        <v>784</v>
      </c>
      <c r="B785" s="6" t="n">
        <v>325</v>
      </c>
      <c r="C785" s="6" t="n">
        <v>40</v>
      </c>
      <c r="D785" s="6" t="n">
        <v>1114</v>
      </c>
      <c r="E785" s="6" t="n">
        <v>107</v>
      </c>
      <c r="F785" s="6" t="n">
        <v>60</v>
      </c>
      <c r="G785" s="6" t="n">
        <v>807</v>
      </c>
      <c r="H785" s="6" t="n">
        <v>2</v>
      </c>
      <c r="I785" s="7" t="n">
        <v>1040.98</v>
      </c>
      <c r="J785" s="7" t="n">
        <v>1091.63</v>
      </c>
      <c r="K785" s="7" t="n">
        <v>3116.23</v>
      </c>
      <c r="L785" s="7" t="n">
        <v>1661.17</v>
      </c>
      <c r="M785" s="6" t="n">
        <v>9.4</v>
      </c>
      <c r="N785" s="6" t="s">
        <v>24</v>
      </c>
      <c r="O785" s="8" t="n">
        <f aca="false">VLOOKUP(F785,DIM_SERVICO!$A$2:$D$151,4,FALSE())</f>
        <v>1091.63</v>
      </c>
      <c r="P785" s="8" t="n">
        <f aca="false">VLOOKUP(E785,DIM_PECA!$A$2:$F$501,6,FALSE())</f>
        <v>1044.1</v>
      </c>
      <c r="Q785" s="8" t="n">
        <f aca="false">VLOOKUP(E785,DIM_PECA!$A$2:$F$501,5,FALSE())</f>
        <v>520.49</v>
      </c>
      <c r="R785" s="8" t="n">
        <f aca="false">H785*P785</f>
        <v>2088.2</v>
      </c>
      <c r="S785" s="8" t="n">
        <f aca="false">O785*M785</f>
        <v>10261.322</v>
      </c>
      <c r="T785" s="8" t="n">
        <f aca="false">R785+S785</f>
        <v>12349.522</v>
      </c>
      <c r="U785" s="8" t="n">
        <f aca="false">T785-K785</f>
        <v>9233.292</v>
      </c>
      <c r="V785" s="8" t="n">
        <f aca="false">R785+S785-U785</f>
        <v>3116.23</v>
      </c>
      <c r="W785" s="9" t="str">
        <f aca="false">IF(ROUND(V785-K785,2)=0,"OK","ERRO")</f>
        <v>OK</v>
      </c>
      <c r="X785" s="9" t="str">
        <f aca="false">VLOOKUP(F785,DIM_SERVICO!$A$2:$D$151,3,FALSE())</f>
        <v>Diagnóstico</v>
      </c>
    </row>
    <row r="786" customFormat="false" ht="15" hidden="false" customHeight="false" outlineLevel="0" collapsed="false">
      <c r="A786" s="2" t="n">
        <v>785</v>
      </c>
      <c r="B786" s="2" t="n">
        <v>874</v>
      </c>
      <c r="C786" s="2" t="n">
        <v>675</v>
      </c>
      <c r="D786" s="2" t="n">
        <v>222</v>
      </c>
      <c r="E786" s="2" t="n">
        <v>96</v>
      </c>
      <c r="F786" s="2" t="n">
        <v>124</v>
      </c>
      <c r="G786" s="2" t="n">
        <v>737</v>
      </c>
      <c r="H786" s="2" t="n">
        <v>3</v>
      </c>
      <c r="I786" s="3" t="n">
        <v>418.95</v>
      </c>
      <c r="J786" s="3" t="n">
        <v>2049.22</v>
      </c>
      <c r="K786" s="3" t="n">
        <v>2858.23</v>
      </c>
      <c r="L786" s="3" t="n">
        <v>1562.33</v>
      </c>
      <c r="M786" s="2" t="n">
        <v>9.7</v>
      </c>
      <c r="N786" s="2" t="s">
        <v>24</v>
      </c>
      <c r="O786" s="4" t="n">
        <f aca="false">VLOOKUP(F786,DIM_SERVICO!$A$2:$D$151,4,FALSE())</f>
        <v>2049.22</v>
      </c>
      <c r="P786" s="4" t="n">
        <f aca="false">VLOOKUP(E786,DIM_PECA!$A$2:$F$501,6,FALSE())</f>
        <v>269.67</v>
      </c>
      <c r="Q786" s="4" t="n">
        <f aca="false">VLOOKUP(E786,DIM_PECA!$A$2:$F$501,5,FALSE())</f>
        <v>139.65</v>
      </c>
      <c r="R786" s="4" t="n">
        <f aca="false">H786*P786</f>
        <v>809.01</v>
      </c>
      <c r="S786" s="4" t="n">
        <f aca="false">O786*M786</f>
        <v>19877.434</v>
      </c>
      <c r="T786" s="4" t="n">
        <f aca="false">R786+S786</f>
        <v>20686.444</v>
      </c>
      <c r="U786" s="4" t="n">
        <f aca="false">T786-K786</f>
        <v>17828.214</v>
      </c>
      <c r="V786" s="4" t="n">
        <f aca="false">R786+S786-U786</f>
        <v>2858.23</v>
      </c>
      <c r="W786" s="5" t="str">
        <f aca="false">IF(ROUND(V786-K786,2)=0,"OK","ERRO")</f>
        <v>OK</v>
      </c>
      <c r="X786" s="5" t="str">
        <f aca="false">VLOOKUP(F786,DIM_SERVICO!$A$2:$D$151,3,FALSE())</f>
        <v>Freios</v>
      </c>
    </row>
    <row r="787" customFormat="false" ht="15" hidden="false" customHeight="false" outlineLevel="0" collapsed="false">
      <c r="A787" s="6" t="n">
        <v>786</v>
      </c>
      <c r="B787" s="6" t="n">
        <v>246</v>
      </c>
      <c r="C787" s="6" t="n">
        <v>1413</v>
      </c>
      <c r="D787" s="6" t="n">
        <v>871</v>
      </c>
      <c r="E787" s="6" t="n">
        <v>92</v>
      </c>
      <c r="F787" s="6" t="n">
        <v>48</v>
      </c>
      <c r="G787" s="6" t="n">
        <v>303</v>
      </c>
      <c r="H787" s="6" t="n">
        <v>1</v>
      </c>
      <c r="I787" s="7" t="n">
        <v>398.44</v>
      </c>
      <c r="J787" s="7" t="n">
        <v>863.62</v>
      </c>
      <c r="K787" s="7" t="n">
        <v>1511.77</v>
      </c>
      <c r="L787" s="7" t="n">
        <v>756.59</v>
      </c>
      <c r="M787" s="6" t="n">
        <v>3.2</v>
      </c>
      <c r="N787" s="6" t="s">
        <v>24</v>
      </c>
      <c r="O787" s="8" t="n">
        <f aca="false">VLOOKUP(F787,DIM_SERVICO!$A$2:$D$151,4,FALSE())</f>
        <v>863.62</v>
      </c>
      <c r="P787" s="8" t="n">
        <f aca="false">VLOOKUP(E787,DIM_PECA!$A$2:$F$501,6,FALSE())</f>
        <v>816.12</v>
      </c>
      <c r="Q787" s="8" t="n">
        <f aca="false">VLOOKUP(E787,DIM_PECA!$A$2:$F$501,5,FALSE())</f>
        <v>398.44</v>
      </c>
      <c r="R787" s="8" t="n">
        <f aca="false">H787*P787</f>
        <v>816.12</v>
      </c>
      <c r="S787" s="8" t="n">
        <f aca="false">O787*M787</f>
        <v>2763.584</v>
      </c>
      <c r="T787" s="8" t="n">
        <f aca="false">R787+S787</f>
        <v>3579.704</v>
      </c>
      <c r="U787" s="8" t="n">
        <f aca="false">T787-K787</f>
        <v>2067.934</v>
      </c>
      <c r="V787" s="8" t="n">
        <f aca="false">R787+S787-U787</f>
        <v>1511.77</v>
      </c>
      <c r="W787" s="9" t="str">
        <f aca="false">IF(ROUND(V787-K787,2)=0,"OK","ERRO")</f>
        <v>OK</v>
      </c>
      <c r="X787" s="9" t="str">
        <f aca="false">VLOOKUP(F787,DIM_SERVICO!$A$2:$D$151,3,FALSE())</f>
        <v>Elétrica</v>
      </c>
    </row>
    <row r="788" customFormat="false" ht="15" hidden="false" customHeight="false" outlineLevel="0" collapsed="false">
      <c r="A788" s="2" t="n">
        <v>787</v>
      </c>
      <c r="B788" s="2" t="n">
        <v>375</v>
      </c>
      <c r="C788" s="2" t="n">
        <v>656</v>
      </c>
      <c r="D788" s="2" t="n">
        <v>90</v>
      </c>
      <c r="E788" s="2" t="n">
        <v>398</v>
      </c>
      <c r="F788" s="2" t="n">
        <v>25</v>
      </c>
      <c r="G788" s="2" t="n">
        <v>804</v>
      </c>
      <c r="H788" s="2" t="n">
        <v>2</v>
      </c>
      <c r="I788" s="3" t="n">
        <v>2036.14</v>
      </c>
      <c r="J788" s="3" t="n">
        <v>1419.73</v>
      </c>
      <c r="K788" s="3" t="n">
        <v>4676.23</v>
      </c>
      <c r="L788" s="3" t="n">
        <v>1895.09</v>
      </c>
      <c r="M788" s="2" t="n">
        <v>11.2</v>
      </c>
      <c r="N788" s="2" t="s">
        <v>25</v>
      </c>
      <c r="O788" s="4" t="n">
        <f aca="false">VLOOKUP(F788,DIM_SERVICO!$A$2:$D$151,4,FALSE())</f>
        <v>1419.73</v>
      </c>
      <c r="P788" s="4" t="n">
        <f aca="false">VLOOKUP(E788,DIM_PECA!$A$2:$F$501,6,FALSE())</f>
        <v>1888.04</v>
      </c>
      <c r="Q788" s="4" t="n">
        <f aca="false">VLOOKUP(E788,DIM_PECA!$A$2:$F$501,5,FALSE())</f>
        <v>1018.07</v>
      </c>
      <c r="R788" s="4" t="n">
        <f aca="false">H788*P788</f>
        <v>3776.08</v>
      </c>
      <c r="S788" s="4" t="n">
        <f aca="false">O788*M788</f>
        <v>15900.976</v>
      </c>
      <c r="T788" s="4" t="n">
        <f aca="false">R788+S788</f>
        <v>19677.056</v>
      </c>
      <c r="U788" s="4" t="n">
        <f aca="false">T788-K788</f>
        <v>15000.826</v>
      </c>
      <c r="V788" s="4" t="n">
        <f aca="false">R788+S788-U788</f>
        <v>4676.23</v>
      </c>
      <c r="W788" s="5" t="str">
        <f aca="false">IF(ROUND(V788-K788,2)=0,"OK","ERRO")</f>
        <v>OK</v>
      </c>
      <c r="X788" s="5" t="str">
        <f aca="false">VLOOKUP(F788,DIM_SERVICO!$A$2:$D$151,3,FALSE())</f>
        <v>Motor</v>
      </c>
    </row>
    <row r="789" customFormat="false" ht="15" hidden="false" customHeight="false" outlineLevel="0" collapsed="false">
      <c r="A789" s="6" t="n">
        <v>788</v>
      </c>
      <c r="B789" s="6" t="n">
        <v>531</v>
      </c>
      <c r="C789" s="6" t="n">
        <v>907</v>
      </c>
      <c r="D789" s="6" t="n">
        <v>455</v>
      </c>
      <c r="E789" s="6" t="n">
        <v>186</v>
      </c>
      <c r="F789" s="6" t="n">
        <v>25</v>
      </c>
      <c r="G789" s="6" t="n">
        <v>175</v>
      </c>
      <c r="H789" s="6" t="n">
        <v>4</v>
      </c>
      <c r="I789" s="7" t="n">
        <v>1161.32</v>
      </c>
      <c r="J789" s="7" t="n">
        <v>1419.73</v>
      </c>
      <c r="K789" s="7" t="n">
        <v>3967.17</v>
      </c>
      <c r="L789" s="7" t="n">
        <v>2077.58</v>
      </c>
      <c r="M789" s="6" t="n">
        <v>9.5</v>
      </c>
      <c r="N789" s="6" t="s">
        <v>26</v>
      </c>
      <c r="O789" s="8" t="n">
        <f aca="false">VLOOKUP(F789,DIM_SERVICO!$A$2:$D$151,4,FALSE())</f>
        <v>1419.73</v>
      </c>
      <c r="P789" s="8" t="n">
        <f aca="false">VLOOKUP(E789,DIM_PECA!$A$2:$F$501,6,FALSE())</f>
        <v>636.86</v>
      </c>
      <c r="Q789" s="8" t="n">
        <f aca="false">VLOOKUP(E789,DIM_PECA!$A$2:$F$501,5,FALSE())</f>
        <v>290.33</v>
      </c>
      <c r="R789" s="8" t="n">
        <f aca="false">H789*P789</f>
        <v>2547.44</v>
      </c>
      <c r="S789" s="8" t="n">
        <f aca="false">O789*M789</f>
        <v>13487.435</v>
      </c>
      <c r="T789" s="8" t="n">
        <f aca="false">R789+S789</f>
        <v>16034.875</v>
      </c>
      <c r="U789" s="8" t="n">
        <f aca="false">T789-K789</f>
        <v>12067.705</v>
      </c>
      <c r="V789" s="8" t="n">
        <f aca="false">R789+S789-U789</f>
        <v>3967.17</v>
      </c>
      <c r="W789" s="9" t="str">
        <f aca="false">IF(ROUND(V789-K789,2)=0,"OK","ERRO")</f>
        <v>OK</v>
      </c>
      <c r="X789" s="9" t="str">
        <f aca="false">VLOOKUP(F789,DIM_SERVICO!$A$2:$D$151,3,FALSE())</f>
        <v>Motor</v>
      </c>
    </row>
    <row r="790" customFormat="false" ht="15" hidden="false" customHeight="false" outlineLevel="0" collapsed="false">
      <c r="A790" s="2" t="n">
        <v>789</v>
      </c>
      <c r="B790" s="2" t="n">
        <v>1385</v>
      </c>
      <c r="C790" s="2" t="n">
        <v>865</v>
      </c>
      <c r="D790" s="2" t="n">
        <v>7</v>
      </c>
      <c r="E790" s="2" t="n">
        <v>280</v>
      </c>
      <c r="F790" s="2" t="n">
        <v>103</v>
      </c>
      <c r="G790" s="2" t="n">
        <v>356</v>
      </c>
      <c r="H790" s="2" t="n">
        <v>3</v>
      </c>
      <c r="I790" s="3" t="n">
        <v>399.12</v>
      </c>
      <c r="J790" s="3" t="n">
        <v>96.61</v>
      </c>
      <c r="K790" s="3" t="n">
        <v>736.16</v>
      </c>
      <c r="L790" s="3" t="n">
        <v>291.77</v>
      </c>
      <c r="M790" s="2" t="n">
        <v>10.6</v>
      </c>
      <c r="N790" s="2" t="s">
        <v>24</v>
      </c>
      <c r="O790" s="4" t="n">
        <f aca="false">VLOOKUP(F790,DIM_SERVICO!$A$2:$D$151,4,FALSE())</f>
        <v>96.61</v>
      </c>
      <c r="P790" s="4" t="n">
        <f aca="false">VLOOKUP(E790,DIM_PECA!$A$2:$F$501,6,FALSE())</f>
        <v>240.45</v>
      </c>
      <c r="Q790" s="4" t="n">
        <f aca="false">VLOOKUP(E790,DIM_PECA!$A$2:$F$501,5,FALSE())</f>
        <v>133.04</v>
      </c>
      <c r="R790" s="4" t="n">
        <f aca="false">H790*P790</f>
        <v>721.35</v>
      </c>
      <c r="S790" s="4" t="n">
        <f aca="false">O790*M790</f>
        <v>1024.066</v>
      </c>
      <c r="T790" s="4" t="n">
        <f aca="false">R790+S790</f>
        <v>1745.416</v>
      </c>
      <c r="U790" s="4" t="n">
        <f aca="false">T790-K790</f>
        <v>1009.256</v>
      </c>
      <c r="V790" s="4" t="n">
        <f aca="false">R790+S790-U790</f>
        <v>736.16</v>
      </c>
      <c r="W790" s="5" t="str">
        <f aca="false">IF(ROUND(V790-K790,2)=0,"OK","ERRO")</f>
        <v>OK</v>
      </c>
      <c r="X790" s="5" t="str">
        <f aca="false">VLOOKUP(F790,DIM_SERVICO!$A$2:$D$151,3,FALSE())</f>
        <v>Revisão</v>
      </c>
    </row>
    <row r="791" customFormat="false" ht="15" hidden="false" customHeight="false" outlineLevel="0" collapsed="false">
      <c r="A791" s="6" t="n">
        <v>790</v>
      </c>
      <c r="B791" s="6" t="n">
        <v>961</v>
      </c>
      <c r="C791" s="6" t="n">
        <v>461</v>
      </c>
      <c r="D791" s="6" t="n">
        <v>371</v>
      </c>
      <c r="E791" s="6" t="n">
        <v>298</v>
      </c>
      <c r="F791" s="6" t="n">
        <v>109</v>
      </c>
      <c r="G791" s="6" t="n">
        <v>873</v>
      </c>
      <c r="H791" s="6" t="n">
        <v>1</v>
      </c>
      <c r="I791" s="7" t="n">
        <v>841.2</v>
      </c>
      <c r="J791" s="7" t="n">
        <v>1418.47</v>
      </c>
      <c r="K791" s="7" t="n">
        <v>2586.56</v>
      </c>
      <c r="L791" s="7" t="n">
        <v>979.28</v>
      </c>
      <c r="M791" s="6" t="n">
        <v>5.8</v>
      </c>
      <c r="N791" s="6" t="s">
        <v>26</v>
      </c>
      <c r="O791" s="8" t="n">
        <f aca="false">VLOOKUP(F791,DIM_SERVICO!$A$2:$D$151,4,FALSE())</f>
        <v>1418.47</v>
      </c>
      <c r="P791" s="8" t="n">
        <f aca="false">VLOOKUP(E791,DIM_PECA!$A$2:$F$501,6,FALSE())</f>
        <v>1393.01</v>
      </c>
      <c r="Q791" s="8" t="n">
        <f aca="false">VLOOKUP(E791,DIM_PECA!$A$2:$F$501,5,FALSE())</f>
        <v>841.2</v>
      </c>
      <c r="R791" s="8" t="n">
        <f aca="false">H791*P791</f>
        <v>1393.01</v>
      </c>
      <c r="S791" s="8" t="n">
        <f aca="false">O791*M791</f>
        <v>8227.126</v>
      </c>
      <c r="T791" s="8" t="n">
        <f aca="false">R791+S791</f>
        <v>9620.136</v>
      </c>
      <c r="U791" s="8" t="n">
        <f aca="false">T791-K791</f>
        <v>7033.576</v>
      </c>
      <c r="V791" s="8" t="n">
        <f aca="false">R791+S791-U791</f>
        <v>2586.56</v>
      </c>
      <c r="W791" s="9" t="str">
        <f aca="false">IF(ROUND(V791-K791,2)=0,"OK","ERRO")</f>
        <v>OK</v>
      </c>
      <c r="X791" s="9" t="str">
        <f aca="false">VLOOKUP(F791,DIM_SERVICO!$A$2:$D$151,3,FALSE())</f>
        <v>Pintura</v>
      </c>
    </row>
    <row r="792" customFormat="false" ht="15" hidden="false" customHeight="false" outlineLevel="0" collapsed="false">
      <c r="A792" s="2" t="n">
        <v>791</v>
      </c>
      <c r="B792" s="2" t="n">
        <v>1104</v>
      </c>
      <c r="C792" s="2" t="n">
        <v>306</v>
      </c>
      <c r="D792" s="2" t="n">
        <v>1149</v>
      </c>
      <c r="E792" s="2" t="n">
        <v>295</v>
      </c>
      <c r="F792" s="2" t="n">
        <v>104</v>
      </c>
      <c r="G792" s="2" t="n">
        <v>810</v>
      </c>
      <c r="H792" s="2" t="n">
        <v>3</v>
      </c>
      <c r="I792" s="3" t="n">
        <v>3303.87</v>
      </c>
      <c r="J792" s="3" t="n">
        <v>409.99</v>
      </c>
      <c r="K792" s="3" t="n">
        <v>7509.42</v>
      </c>
      <c r="L792" s="3" t="n">
        <v>4056.67</v>
      </c>
      <c r="M792" s="2" t="n">
        <v>1.6</v>
      </c>
      <c r="N792" s="2" t="s">
        <v>27</v>
      </c>
      <c r="O792" s="4" t="n">
        <f aca="false">VLOOKUP(F792,DIM_SERVICO!$A$2:$D$151,4,FALSE())</f>
        <v>409.99</v>
      </c>
      <c r="P792" s="4" t="n">
        <f aca="false">VLOOKUP(E792,DIM_PECA!$A$2:$F$501,6,FALSE())</f>
        <v>2417.56</v>
      </c>
      <c r="Q792" s="4" t="n">
        <f aca="false">VLOOKUP(E792,DIM_PECA!$A$2:$F$501,5,FALSE())</f>
        <v>1101.29</v>
      </c>
      <c r="R792" s="4" t="n">
        <f aca="false">H792*P792</f>
        <v>7252.68</v>
      </c>
      <c r="S792" s="4" t="n">
        <f aca="false">O792*M792</f>
        <v>655.984</v>
      </c>
      <c r="T792" s="4" t="n">
        <f aca="false">R792+S792</f>
        <v>7908.664</v>
      </c>
      <c r="U792" s="4" t="n">
        <f aca="false">T792-K792</f>
        <v>399.244000000001</v>
      </c>
      <c r="V792" s="4" t="n">
        <f aca="false">R792+S792-U792</f>
        <v>7509.42</v>
      </c>
      <c r="W792" s="5" t="str">
        <f aca="false">IF(ROUND(V792-K792,2)=0,"OK","ERRO")</f>
        <v>OK</v>
      </c>
      <c r="X792" s="5" t="str">
        <f aca="false">VLOOKUP(F792,DIM_SERVICO!$A$2:$D$151,3,FALSE())</f>
        <v>Diagnóstico</v>
      </c>
    </row>
    <row r="793" customFormat="false" ht="15" hidden="false" customHeight="false" outlineLevel="0" collapsed="false">
      <c r="A793" s="6" t="n">
        <v>792</v>
      </c>
      <c r="B793" s="6" t="n">
        <v>540</v>
      </c>
      <c r="C793" s="6" t="n">
        <v>176</v>
      </c>
      <c r="D793" s="6" t="n">
        <v>395</v>
      </c>
      <c r="E793" s="6" t="n">
        <v>468</v>
      </c>
      <c r="F793" s="6" t="n">
        <v>35</v>
      </c>
      <c r="G793" s="6" t="n">
        <v>1349</v>
      </c>
      <c r="H793" s="6" t="n">
        <v>1</v>
      </c>
      <c r="I793" s="7" t="n">
        <v>88.79</v>
      </c>
      <c r="J793" s="7" t="n">
        <v>1082.38</v>
      </c>
      <c r="K793" s="7" t="n">
        <v>1244.88</v>
      </c>
      <c r="L793" s="7" t="n">
        <v>743.69</v>
      </c>
      <c r="M793" s="6" t="n">
        <v>7.1</v>
      </c>
      <c r="N793" s="6" t="s">
        <v>27</v>
      </c>
      <c r="O793" s="8" t="n">
        <f aca="false">VLOOKUP(F793,DIM_SERVICO!$A$2:$D$151,4,FALSE())</f>
        <v>1082.38</v>
      </c>
      <c r="P793" s="8" t="n">
        <f aca="false">VLOOKUP(E793,DIM_PECA!$A$2:$F$501,6,FALSE())</f>
        <v>187.91</v>
      </c>
      <c r="Q793" s="8" t="n">
        <f aca="false">VLOOKUP(E793,DIM_PECA!$A$2:$F$501,5,FALSE())</f>
        <v>88.79</v>
      </c>
      <c r="R793" s="8" t="n">
        <f aca="false">H793*P793</f>
        <v>187.91</v>
      </c>
      <c r="S793" s="8" t="n">
        <f aca="false">O793*M793</f>
        <v>7684.898</v>
      </c>
      <c r="T793" s="8" t="n">
        <f aca="false">R793+S793</f>
        <v>7872.808</v>
      </c>
      <c r="U793" s="8" t="n">
        <f aca="false">T793-K793</f>
        <v>6627.928</v>
      </c>
      <c r="V793" s="8" t="n">
        <f aca="false">R793+S793-U793</f>
        <v>1244.88</v>
      </c>
      <c r="W793" s="9" t="str">
        <f aca="false">IF(ROUND(V793-K793,2)=0,"OK","ERRO")</f>
        <v>OK</v>
      </c>
      <c r="X793" s="9" t="str">
        <f aca="false">VLOOKUP(F793,DIM_SERVICO!$A$2:$D$151,3,FALSE())</f>
        <v>Diagnóstico</v>
      </c>
    </row>
    <row r="794" customFormat="false" ht="15" hidden="false" customHeight="false" outlineLevel="0" collapsed="false">
      <c r="A794" s="2" t="n">
        <v>793</v>
      </c>
      <c r="B794" s="2" t="n">
        <v>249</v>
      </c>
      <c r="C794" s="2" t="n">
        <v>1194</v>
      </c>
      <c r="D794" s="2" t="n">
        <v>153</v>
      </c>
      <c r="E794" s="2" t="n">
        <v>276</v>
      </c>
      <c r="F794" s="2" t="n">
        <v>68</v>
      </c>
      <c r="G794" s="2" t="n">
        <v>819</v>
      </c>
      <c r="H794" s="2" t="n">
        <v>3</v>
      </c>
      <c r="I794" s="3" t="n">
        <v>2412.9</v>
      </c>
      <c r="J794" s="3" t="n">
        <v>1974.4</v>
      </c>
      <c r="K794" s="3" t="n">
        <v>6613.3</v>
      </c>
      <c r="L794" s="3" t="n">
        <v>3169.62</v>
      </c>
      <c r="M794" s="2" t="n">
        <v>5.2</v>
      </c>
      <c r="N794" s="2" t="s">
        <v>26</v>
      </c>
      <c r="O794" s="4" t="n">
        <f aca="false">VLOOKUP(F794,DIM_SERVICO!$A$2:$D$151,4,FALSE())</f>
        <v>1974.4</v>
      </c>
      <c r="P794" s="4" t="n">
        <f aca="false">VLOOKUP(E794,DIM_PECA!$A$2:$F$501,6,FALSE())</f>
        <v>1546.3</v>
      </c>
      <c r="Q794" s="4" t="n">
        <f aca="false">VLOOKUP(E794,DIM_PECA!$A$2:$F$501,5,FALSE())</f>
        <v>804.3</v>
      </c>
      <c r="R794" s="4" t="n">
        <f aca="false">H794*P794</f>
        <v>4638.9</v>
      </c>
      <c r="S794" s="4" t="n">
        <f aca="false">O794*M794</f>
        <v>10266.88</v>
      </c>
      <c r="T794" s="4" t="n">
        <f aca="false">R794+S794</f>
        <v>14905.78</v>
      </c>
      <c r="U794" s="4" t="n">
        <f aca="false">T794-K794</f>
        <v>8292.48</v>
      </c>
      <c r="V794" s="4" t="n">
        <f aca="false">R794+S794-U794</f>
        <v>6613.3</v>
      </c>
      <c r="W794" s="5" t="str">
        <f aca="false">IF(ROUND(V794-K794,2)=0,"OK","ERRO")</f>
        <v>OK</v>
      </c>
      <c r="X794" s="5" t="str">
        <f aca="false">VLOOKUP(F794,DIM_SERVICO!$A$2:$D$151,3,FALSE())</f>
        <v>Suspensão</v>
      </c>
    </row>
    <row r="795" customFormat="false" ht="15" hidden="false" customHeight="false" outlineLevel="0" collapsed="false">
      <c r="A795" s="6" t="n">
        <v>794</v>
      </c>
      <c r="B795" s="6" t="n">
        <v>179</v>
      </c>
      <c r="C795" s="6" t="n">
        <v>446</v>
      </c>
      <c r="D795" s="6" t="n">
        <v>791</v>
      </c>
      <c r="E795" s="6" t="n">
        <v>298</v>
      </c>
      <c r="F795" s="6" t="n">
        <v>131</v>
      </c>
      <c r="G795" s="6" t="n">
        <v>697</v>
      </c>
      <c r="H795" s="6" t="n">
        <v>1</v>
      </c>
      <c r="I795" s="7" t="n">
        <v>841.2</v>
      </c>
      <c r="J795" s="7" t="n">
        <v>419.61</v>
      </c>
      <c r="K795" s="7" t="n">
        <v>1776.37</v>
      </c>
      <c r="L795" s="7" t="n">
        <v>749.86</v>
      </c>
      <c r="M795" s="6" t="n">
        <v>10.5</v>
      </c>
      <c r="N795" s="6" t="s">
        <v>27</v>
      </c>
      <c r="O795" s="8" t="n">
        <f aca="false">VLOOKUP(F795,DIM_SERVICO!$A$2:$D$151,4,FALSE())</f>
        <v>419.61</v>
      </c>
      <c r="P795" s="8" t="n">
        <f aca="false">VLOOKUP(E795,DIM_PECA!$A$2:$F$501,6,FALSE())</f>
        <v>1393.01</v>
      </c>
      <c r="Q795" s="8" t="n">
        <f aca="false">VLOOKUP(E795,DIM_PECA!$A$2:$F$501,5,FALSE())</f>
        <v>841.2</v>
      </c>
      <c r="R795" s="8" t="n">
        <f aca="false">H795*P795</f>
        <v>1393.01</v>
      </c>
      <c r="S795" s="8" t="n">
        <f aca="false">O795*M795</f>
        <v>4405.905</v>
      </c>
      <c r="T795" s="8" t="n">
        <f aca="false">R795+S795</f>
        <v>5798.915</v>
      </c>
      <c r="U795" s="8" t="n">
        <f aca="false">T795-K795</f>
        <v>4022.545</v>
      </c>
      <c r="V795" s="8" t="n">
        <f aca="false">R795+S795-U795</f>
        <v>1776.37</v>
      </c>
      <c r="W795" s="9" t="str">
        <f aca="false">IF(ROUND(V795-K795,2)=0,"OK","ERRO")</f>
        <v>OK</v>
      </c>
      <c r="X795" s="9" t="str">
        <f aca="false">VLOOKUP(F795,DIM_SERVICO!$A$2:$D$151,3,FALSE())</f>
        <v>Freios</v>
      </c>
    </row>
    <row r="796" customFormat="false" ht="15" hidden="false" customHeight="false" outlineLevel="0" collapsed="false">
      <c r="A796" s="2" t="n">
        <v>795</v>
      </c>
      <c r="B796" s="2" t="n">
        <v>465</v>
      </c>
      <c r="C796" s="2" t="n">
        <v>1329</v>
      </c>
      <c r="D796" s="2" t="n">
        <v>665</v>
      </c>
      <c r="E796" s="2" t="n">
        <v>182</v>
      </c>
      <c r="F796" s="2" t="n">
        <v>149</v>
      </c>
      <c r="G796" s="2" t="n">
        <v>155</v>
      </c>
      <c r="H796" s="2" t="n">
        <v>4</v>
      </c>
      <c r="I796" s="3" t="n">
        <v>3141.04</v>
      </c>
      <c r="J796" s="3" t="n">
        <v>142.63</v>
      </c>
      <c r="K796" s="3" t="n">
        <v>5164.69</v>
      </c>
      <c r="L796" s="3" t="n">
        <v>1961.96</v>
      </c>
      <c r="M796" s="2" t="n">
        <v>5.2</v>
      </c>
      <c r="N796" s="2" t="s">
        <v>24</v>
      </c>
      <c r="O796" s="4" t="n">
        <f aca="false">VLOOKUP(F796,DIM_SERVICO!$A$2:$D$151,4,FALSE())</f>
        <v>142.63</v>
      </c>
      <c r="P796" s="4" t="n">
        <f aca="false">VLOOKUP(E796,DIM_PECA!$A$2:$F$501,6,FALSE())</f>
        <v>1398.98</v>
      </c>
      <c r="Q796" s="4" t="n">
        <f aca="false">VLOOKUP(E796,DIM_PECA!$A$2:$F$501,5,FALSE())</f>
        <v>785.26</v>
      </c>
      <c r="R796" s="4" t="n">
        <f aca="false">H796*P796</f>
        <v>5595.92</v>
      </c>
      <c r="S796" s="4" t="n">
        <f aca="false">O796*M796</f>
        <v>741.676</v>
      </c>
      <c r="T796" s="4" t="n">
        <f aca="false">R796+S796</f>
        <v>6337.596</v>
      </c>
      <c r="U796" s="4" t="n">
        <f aca="false">T796-K796</f>
        <v>1172.906</v>
      </c>
      <c r="V796" s="4" t="n">
        <f aca="false">R796+S796-U796</f>
        <v>5164.69</v>
      </c>
      <c r="W796" s="5" t="str">
        <f aca="false">IF(ROUND(V796-K796,2)=0,"OK","ERRO")</f>
        <v>OK</v>
      </c>
      <c r="X796" s="5" t="str">
        <f aca="false">VLOOKUP(F796,DIM_SERVICO!$A$2:$D$151,3,FALSE())</f>
        <v>Motor</v>
      </c>
    </row>
    <row r="797" customFormat="false" ht="15" hidden="false" customHeight="false" outlineLevel="0" collapsed="false">
      <c r="A797" s="6" t="n">
        <v>796</v>
      </c>
      <c r="B797" s="6" t="n">
        <v>495</v>
      </c>
      <c r="C797" s="6" t="n">
        <v>377</v>
      </c>
      <c r="D797" s="6" t="n">
        <v>247</v>
      </c>
      <c r="E797" s="6" t="n">
        <v>102</v>
      </c>
      <c r="F797" s="6" t="n">
        <v>97</v>
      </c>
      <c r="G797" s="6" t="n">
        <v>563</v>
      </c>
      <c r="H797" s="6" t="n">
        <v>3</v>
      </c>
      <c r="I797" s="7" t="n">
        <v>3097.56</v>
      </c>
      <c r="J797" s="7" t="n">
        <v>1095.32</v>
      </c>
      <c r="K797" s="7" t="n">
        <v>5709.31</v>
      </c>
      <c r="L797" s="7" t="n">
        <v>2073.02</v>
      </c>
      <c r="M797" s="6" t="n">
        <v>9.7</v>
      </c>
      <c r="N797" s="6" t="s">
        <v>26</v>
      </c>
      <c r="O797" s="8" t="n">
        <f aca="false">VLOOKUP(F797,DIM_SERVICO!$A$2:$D$151,4,FALSE())</f>
        <v>1095.32</v>
      </c>
      <c r="P797" s="8" t="n">
        <f aca="false">VLOOKUP(E797,DIM_PECA!$A$2:$F$501,6,FALSE())</f>
        <v>1638.16</v>
      </c>
      <c r="Q797" s="8" t="n">
        <f aca="false">VLOOKUP(E797,DIM_PECA!$A$2:$F$501,5,FALSE())</f>
        <v>1032.52</v>
      </c>
      <c r="R797" s="8" t="n">
        <f aca="false">H797*P797</f>
        <v>4914.48</v>
      </c>
      <c r="S797" s="8" t="n">
        <f aca="false">O797*M797</f>
        <v>10624.604</v>
      </c>
      <c r="T797" s="8" t="n">
        <f aca="false">R797+S797</f>
        <v>15539.084</v>
      </c>
      <c r="U797" s="8" t="n">
        <f aca="false">T797-K797</f>
        <v>9829.774</v>
      </c>
      <c r="V797" s="8" t="n">
        <f aca="false">R797+S797-U797</f>
        <v>5709.31</v>
      </c>
      <c r="W797" s="9" t="str">
        <f aca="false">IF(ROUND(V797-K797,2)=0,"OK","ERRO")</f>
        <v>OK</v>
      </c>
      <c r="X797" s="9" t="str">
        <f aca="false">VLOOKUP(F797,DIM_SERVICO!$A$2:$D$151,3,FALSE())</f>
        <v>Pintura</v>
      </c>
    </row>
    <row r="798" customFormat="false" ht="15" hidden="false" customHeight="false" outlineLevel="0" collapsed="false">
      <c r="A798" s="2" t="n">
        <v>797</v>
      </c>
      <c r="B798" s="2" t="n">
        <v>740</v>
      </c>
      <c r="C798" s="2" t="n">
        <v>1406</v>
      </c>
      <c r="D798" s="2" t="n">
        <v>190</v>
      </c>
      <c r="E798" s="2" t="n">
        <v>434</v>
      </c>
      <c r="F798" s="2" t="n">
        <v>75</v>
      </c>
      <c r="G798" s="2" t="n">
        <v>481</v>
      </c>
      <c r="H798" s="2" t="n">
        <v>4</v>
      </c>
      <c r="I798" s="3" t="n">
        <v>4356.84</v>
      </c>
      <c r="J798" s="3" t="n">
        <v>1549.88</v>
      </c>
      <c r="K798" s="3" t="n">
        <v>6856.1</v>
      </c>
      <c r="L798" s="3" t="n">
        <v>1955.4</v>
      </c>
      <c r="M798" s="2" t="n">
        <v>2.8</v>
      </c>
      <c r="N798" s="2" t="s">
        <v>24</v>
      </c>
      <c r="O798" s="4" t="n">
        <f aca="false">VLOOKUP(F798,DIM_SERVICO!$A$2:$D$151,4,FALSE())</f>
        <v>1549.88</v>
      </c>
      <c r="P798" s="4" t="n">
        <f aca="false">VLOOKUP(E798,DIM_PECA!$A$2:$F$501,6,FALSE())</f>
        <v>1475.6</v>
      </c>
      <c r="Q798" s="4" t="n">
        <f aca="false">VLOOKUP(E798,DIM_PECA!$A$2:$F$501,5,FALSE())</f>
        <v>1089.21</v>
      </c>
      <c r="R798" s="4" t="n">
        <f aca="false">H798*P798</f>
        <v>5902.4</v>
      </c>
      <c r="S798" s="4" t="n">
        <f aca="false">O798*M798</f>
        <v>4339.664</v>
      </c>
      <c r="T798" s="4" t="n">
        <f aca="false">R798+S798</f>
        <v>10242.064</v>
      </c>
      <c r="U798" s="4" t="n">
        <f aca="false">T798-K798</f>
        <v>3385.964</v>
      </c>
      <c r="V798" s="4" t="n">
        <f aca="false">R798+S798-U798</f>
        <v>6856.1</v>
      </c>
      <c r="W798" s="5" t="str">
        <f aca="false">IF(ROUND(V798-K798,2)=0,"OK","ERRO")</f>
        <v>OK</v>
      </c>
      <c r="X798" s="5" t="str">
        <f aca="false">VLOOKUP(F798,DIM_SERVICO!$A$2:$D$151,3,FALSE())</f>
        <v>Freios</v>
      </c>
    </row>
    <row r="799" customFormat="false" ht="15" hidden="false" customHeight="false" outlineLevel="0" collapsed="false">
      <c r="A799" s="6" t="n">
        <v>798</v>
      </c>
      <c r="B799" s="6" t="n">
        <v>1412</v>
      </c>
      <c r="C799" s="6" t="n">
        <v>1393</v>
      </c>
      <c r="D799" s="6" t="n">
        <v>453</v>
      </c>
      <c r="E799" s="6" t="n">
        <v>499</v>
      </c>
      <c r="F799" s="6" t="n">
        <v>40</v>
      </c>
      <c r="G799" s="6" t="n">
        <v>608</v>
      </c>
      <c r="H799" s="6" t="n">
        <v>1</v>
      </c>
      <c r="I799" s="7" t="n">
        <v>451.47</v>
      </c>
      <c r="J799" s="7" t="n">
        <v>1973.77</v>
      </c>
      <c r="K799" s="7" t="n">
        <v>2669.53</v>
      </c>
      <c r="L799" s="7" t="n">
        <v>1362.2</v>
      </c>
      <c r="M799" s="6" t="n">
        <v>2.8</v>
      </c>
      <c r="N799" s="6" t="s">
        <v>24</v>
      </c>
      <c r="O799" s="8" t="n">
        <f aca="false">VLOOKUP(F799,DIM_SERVICO!$A$2:$D$151,4,FALSE())</f>
        <v>1973.77</v>
      </c>
      <c r="P799" s="8" t="n">
        <f aca="false">VLOOKUP(E799,DIM_PECA!$A$2:$F$501,6,FALSE())</f>
        <v>992.38</v>
      </c>
      <c r="Q799" s="8" t="n">
        <f aca="false">VLOOKUP(E799,DIM_PECA!$A$2:$F$501,5,FALSE())</f>
        <v>451.47</v>
      </c>
      <c r="R799" s="8" t="n">
        <f aca="false">H799*P799</f>
        <v>992.38</v>
      </c>
      <c r="S799" s="8" t="n">
        <f aca="false">O799*M799</f>
        <v>5526.556</v>
      </c>
      <c r="T799" s="8" t="n">
        <f aca="false">R799+S799</f>
        <v>6518.936</v>
      </c>
      <c r="U799" s="8" t="n">
        <f aca="false">T799-K799</f>
        <v>3849.406</v>
      </c>
      <c r="V799" s="8" t="n">
        <f aca="false">R799+S799-U799</f>
        <v>2669.53</v>
      </c>
      <c r="W799" s="9" t="str">
        <f aca="false">IF(ROUND(V799-K799,2)=0,"OK","ERRO")</f>
        <v>OK</v>
      </c>
      <c r="X799" s="9" t="str">
        <f aca="false">VLOOKUP(F799,DIM_SERVICO!$A$2:$D$151,3,FALSE())</f>
        <v>Elétrica</v>
      </c>
    </row>
    <row r="800" customFormat="false" ht="15" hidden="false" customHeight="false" outlineLevel="0" collapsed="false">
      <c r="A800" s="2" t="n">
        <v>799</v>
      </c>
      <c r="B800" s="2" t="n">
        <v>748</v>
      </c>
      <c r="C800" s="2" t="n">
        <v>1019</v>
      </c>
      <c r="D800" s="2" t="n">
        <v>849</v>
      </c>
      <c r="E800" s="2" t="n">
        <v>241</v>
      </c>
      <c r="F800" s="2" t="n">
        <v>70</v>
      </c>
      <c r="G800" s="2" t="n">
        <v>1451</v>
      </c>
      <c r="H800" s="2" t="n">
        <v>3</v>
      </c>
      <c r="I800" s="3" t="n">
        <v>1555.86</v>
      </c>
      <c r="J800" s="3" t="n">
        <v>688.79</v>
      </c>
      <c r="K800" s="3" t="n">
        <v>3207.44</v>
      </c>
      <c r="L800" s="3" t="n">
        <v>1385.55</v>
      </c>
      <c r="M800" s="2" t="n">
        <v>10.4</v>
      </c>
      <c r="N800" s="2" t="s">
        <v>24</v>
      </c>
      <c r="O800" s="4" t="n">
        <f aca="false">VLOOKUP(F800,DIM_SERVICO!$A$2:$D$151,4,FALSE())</f>
        <v>688.79</v>
      </c>
      <c r="P800" s="4" t="n">
        <f aca="false">VLOOKUP(E800,DIM_PECA!$A$2:$F$501,6,FALSE())</f>
        <v>839.55</v>
      </c>
      <c r="Q800" s="4" t="n">
        <f aca="false">VLOOKUP(E800,DIM_PECA!$A$2:$F$501,5,FALSE())</f>
        <v>518.62</v>
      </c>
      <c r="R800" s="4" t="n">
        <f aca="false">H800*P800</f>
        <v>2518.65</v>
      </c>
      <c r="S800" s="4" t="n">
        <f aca="false">O800*M800</f>
        <v>7163.416</v>
      </c>
      <c r="T800" s="4" t="n">
        <f aca="false">R800+S800</f>
        <v>9682.066</v>
      </c>
      <c r="U800" s="4" t="n">
        <f aca="false">T800-K800</f>
        <v>6474.626</v>
      </c>
      <c r="V800" s="4" t="n">
        <f aca="false">R800+S800-U800</f>
        <v>3207.44</v>
      </c>
      <c r="W800" s="5" t="str">
        <f aca="false">IF(ROUND(V800-K800,2)=0,"OK","ERRO")</f>
        <v>OK</v>
      </c>
      <c r="X800" s="5" t="str">
        <f aca="false">VLOOKUP(F800,DIM_SERVICO!$A$2:$D$151,3,FALSE())</f>
        <v>Freios</v>
      </c>
    </row>
    <row r="801" customFormat="false" ht="15" hidden="false" customHeight="false" outlineLevel="0" collapsed="false">
      <c r="A801" s="6" t="n">
        <v>800</v>
      </c>
      <c r="B801" s="6" t="n">
        <v>1412</v>
      </c>
      <c r="C801" s="6" t="n">
        <v>1393</v>
      </c>
      <c r="D801" s="6" t="n">
        <v>544</v>
      </c>
      <c r="E801" s="6" t="n">
        <v>68</v>
      </c>
      <c r="F801" s="6" t="n">
        <v>28</v>
      </c>
      <c r="G801" s="6" t="n">
        <v>1660</v>
      </c>
      <c r="H801" s="6" t="n">
        <v>4</v>
      </c>
      <c r="I801" s="7" t="n">
        <v>4574.2</v>
      </c>
      <c r="J801" s="7" t="n">
        <v>2152.12</v>
      </c>
      <c r="K801" s="7" t="n">
        <v>10782.48</v>
      </c>
      <c r="L801" s="7" t="n">
        <v>5036.11</v>
      </c>
      <c r="M801" s="6" t="n">
        <v>8.2</v>
      </c>
      <c r="N801" s="6" t="s">
        <v>24</v>
      </c>
      <c r="O801" s="8" t="n">
        <f aca="false">VLOOKUP(F801,DIM_SERVICO!$A$2:$D$151,4,FALSE())</f>
        <v>2152.12</v>
      </c>
      <c r="P801" s="8" t="n">
        <f aca="false">VLOOKUP(E801,DIM_PECA!$A$2:$F$501,6,FALSE())</f>
        <v>2157.59</v>
      </c>
      <c r="Q801" s="8" t="n">
        <f aca="false">VLOOKUP(E801,DIM_PECA!$A$2:$F$501,5,FALSE())</f>
        <v>1143.55</v>
      </c>
      <c r="R801" s="8" t="n">
        <f aca="false">H801*P801</f>
        <v>8630.36</v>
      </c>
      <c r="S801" s="8" t="n">
        <f aca="false">O801*M801</f>
        <v>17647.384</v>
      </c>
      <c r="T801" s="8" t="n">
        <f aca="false">R801+S801</f>
        <v>26277.744</v>
      </c>
      <c r="U801" s="8" t="n">
        <f aca="false">T801-K801</f>
        <v>15495.264</v>
      </c>
      <c r="V801" s="8" t="n">
        <f aca="false">R801+S801-U801</f>
        <v>10782.48</v>
      </c>
      <c r="W801" s="9" t="str">
        <f aca="false">IF(ROUND(V801-K801,2)=0,"OK","ERRO")</f>
        <v>OK</v>
      </c>
      <c r="X801" s="9" t="str">
        <f aca="false">VLOOKUP(F801,DIM_SERVICO!$A$2:$D$151,3,FALSE())</f>
        <v>Freios</v>
      </c>
    </row>
    <row r="802" customFormat="false" ht="15" hidden="false" customHeight="false" outlineLevel="0" collapsed="false">
      <c r="A802" s="2" t="n">
        <v>801</v>
      </c>
      <c r="B802" s="2" t="n">
        <v>986</v>
      </c>
      <c r="C802" s="2" t="n">
        <v>1398</v>
      </c>
      <c r="D802" s="2" t="n">
        <v>1037</v>
      </c>
      <c r="E802" s="2" t="n">
        <v>15</v>
      </c>
      <c r="F802" s="2" t="n">
        <v>60</v>
      </c>
      <c r="G802" s="2" t="n">
        <v>528</v>
      </c>
      <c r="H802" s="2" t="n">
        <v>4</v>
      </c>
      <c r="I802" s="3" t="n">
        <v>2984.92</v>
      </c>
      <c r="J802" s="3" t="n">
        <v>1091.63</v>
      </c>
      <c r="K802" s="3" t="n">
        <v>5258.83</v>
      </c>
      <c r="L802" s="3" t="n">
        <v>1869.14</v>
      </c>
      <c r="M802" s="2" t="n">
        <v>1.7</v>
      </c>
      <c r="N802" s="2" t="s">
        <v>24</v>
      </c>
      <c r="O802" s="4" t="n">
        <f aca="false">VLOOKUP(F802,DIM_SERVICO!$A$2:$D$151,4,FALSE())</f>
        <v>1091.63</v>
      </c>
      <c r="P802" s="4" t="n">
        <f aca="false">VLOOKUP(E802,DIM_PECA!$A$2:$F$501,6,FALSE())</f>
        <v>1041.8</v>
      </c>
      <c r="Q802" s="4" t="n">
        <f aca="false">VLOOKUP(E802,DIM_PECA!$A$2:$F$501,5,FALSE())</f>
        <v>746.23</v>
      </c>
      <c r="R802" s="4" t="n">
        <f aca="false">H802*P802</f>
        <v>4167.2</v>
      </c>
      <c r="S802" s="4" t="n">
        <f aca="false">O802*M802</f>
        <v>1855.771</v>
      </c>
      <c r="T802" s="4" t="n">
        <f aca="false">R802+S802</f>
        <v>6022.971</v>
      </c>
      <c r="U802" s="4" t="n">
        <f aca="false">T802-K802</f>
        <v>764.141</v>
      </c>
      <c r="V802" s="4" t="n">
        <f aca="false">R802+S802-U802</f>
        <v>5258.83</v>
      </c>
      <c r="W802" s="5" t="str">
        <f aca="false">IF(ROUND(V802-K802,2)=0,"OK","ERRO")</f>
        <v>OK</v>
      </c>
      <c r="X802" s="5" t="str">
        <f aca="false">VLOOKUP(F802,DIM_SERVICO!$A$2:$D$151,3,FALSE())</f>
        <v>Diagnóstico</v>
      </c>
    </row>
    <row r="803" customFormat="false" ht="15" hidden="false" customHeight="false" outlineLevel="0" collapsed="false">
      <c r="A803" s="6" t="n">
        <v>802</v>
      </c>
      <c r="B803" s="6" t="n">
        <v>843</v>
      </c>
      <c r="C803" s="6" t="n">
        <v>1356</v>
      </c>
      <c r="D803" s="6" t="n">
        <v>319</v>
      </c>
      <c r="E803" s="6" t="n">
        <v>303</v>
      </c>
      <c r="F803" s="6" t="n">
        <v>94</v>
      </c>
      <c r="G803" s="6" t="n">
        <v>1107</v>
      </c>
      <c r="H803" s="6" t="n">
        <v>2</v>
      </c>
      <c r="I803" s="7" t="n">
        <v>1798.76</v>
      </c>
      <c r="J803" s="7" t="n">
        <v>308.51</v>
      </c>
      <c r="K803" s="7" t="n">
        <v>2896.39</v>
      </c>
      <c r="L803" s="7" t="n">
        <v>955.13</v>
      </c>
      <c r="M803" s="6" t="n">
        <v>6.3</v>
      </c>
      <c r="N803" s="6" t="s">
        <v>24</v>
      </c>
      <c r="O803" s="8" t="n">
        <f aca="false">VLOOKUP(F803,DIM_SERVICO!$A$2:$D$151,4,FALSE())</f>
        <v>308.51</v>
      </c>
      <c r="P803" s="8" t="n">
        <f aca="false">VLOOKUP(E803,DIM_PECA!$A$2:$F$501,6,FALSE())</f>
        <v>1419.87</v>
      </c>
      <c r="Q803" s="8" t="n">
        <f aca="false">VLOOKUP(E803,DIM_PECA!$A$2:$F$501,5,FALSE())</f>
        <v>899.38</v>
      </c>
      <c r="R803" s="8" t="n">
        <f aca="false">H803*P803</f>
        <v>2839.74</v>
      </c>
      <c r="S803" s="8" t="n">
        <f aca="false">O803*M803</f>
        <v>1943.613</v>
      </c>
      <c r="T803" s="8" t="n">
        <f aca="false">R803+S803</f>
        <v>4783.353</v>
      </c>
      <c r="U803" s="8" t="n">
        <f aca="false">T803-K803</f>
        <v>1886.963</v>
      </c>
      <c r="V803" s="8" t="n">
        <f aca="false">R803+S803-U803</f>
        <v>2896.39</v>
      </c>
      <c r="W803" s="9" t="str">
        <f aca="false">IF(ROUND(V803-K803,2)=0,"OK","ERRO")</f>
        <v>OK</v>
      </c>
      <c r="X803" s="9" t="str">
        <f aca="false">VLOOKUP(F803,DIM_SERVICO!$A$2:$D$151,3,FALSE())</f>
        <v>Funilaria</v>
      </c>
    </row>
    <row r="804" customFormat="false" ht="15" hidden="false" customHeight="false" outlineLevel="0" collapsed="false">
      <c r="A804" s="2" t="n">
        <v>803</v>
      </c>
      <c r="B804" s="2" t="n">
        <v>475</v>
      </c>
      <c r="C804" s="2" t="n">
        <v>422</v>
      </c>
      <c r="D804" s="2" t="n">
        <v>425</v>
      </c>
      <c r="E804" s="2" t="n">
        <v>87</v>
      </c>
      <c r="F804" s="2" t="n">
        <v>122</v>
      </c>
      <c r="G804" s="2" t="n">
        <v>208</v>
      </c>
      <c r="H804" s="2" t="n">
        <v>1</v>
      </c>
      <c r="I804" s="3" t="n">
        <v>345.71</v>
      </c>
      <c r="J804" s="3" t="n">
        <v>1850.29</v>
      </c>
      <c r="K804" s="3" t="n">
        <v>2519.59</v>
      </c>
      <c r="L804" s="3" t="n">
        <v>1410.05</v>
      </c>
      <c r="M804" s="2" t="n">
        <v>11.5</v>
      </c>
      <c r="N804" s="2" t="s">
        <v>27</v>
      </c>
      <c r="O804" s="4" t="n">
        <f aca="false">VLOOKUP(F804,DIM_SERVICO!$A$2:$D$151,4,FALSE())</f>
        <v>1850.29</v>
      </c>
      <c r="P804" s="4" t="n">
        <f aca="false">VLOOKUP(E804,DIM_PECA!$A$2:$F$501,6,FALSE())</f>
        <v>669.3</v>
      </c>
      <c r="Q804" s="4" t="n">
        <f aca="false">VLOOKUP(E804,DIM_PECA!$A$2:$F$501,5,FALSE())</f>
        <v>345.71</v>
      </c>
      <c r="R804" s="4" t="n">
        <f aca="false">H804*P804</f>
        <v>669.3</v>
      </c>
      <c r="S804" s="4" t="n">
        <f aca="false">O804*M804</f>
        <v>21278.335</v>
      </c>
      <c r="T804" s="4" t="n">
        <f aca="false">R804+S804</f>
        <v>21947.635</v>
      </c>
      <c r="U804" s="4" t="n">
        <f aca="false">T804-K804</f>
        <v>19428.045</v>
      </c>
      <c r="V804" s="4" t="n">
        <f aca="false">R804+S804-U804</f>
        <v>2519.59</v>
      </c>
      <c r="W804" s="5" t="str">
        <f aca="false">IF(ROUND(V804-K804,2)=0,"OK","ERRO")</f>
        <v>OK</v>
      </c>
      <c r="X804" s="5" t="str">
        <f aca="false">VLOOKUP(F804,DIM_SERVICO!$A$2:$D$151,3,FALSE())</f>
        <v>Freios</v>
      </c>
    </row>
    <row r="805" customFormat="false" ht="15" hidden="false" customHeight="false" outlineLevel="0" collapsed="false">
      <c r="A805" s="6" t="n">
        <v>804</v>
      </c>
      <c r="B805" s="6" t="n">
        <v>538</v>
      </c>
      <c r="C805" s="6" t="n">
        <v>180</v>
      </c>
      <c r="D805" s="6" t="n">
        <v>404</v>
      </c>
      <c r="E805" s="6" t="n">
        <v>163</v>
      </c>
      <c r="F805" s="6" t="n">
        <v>110</v>
      </c>
      <c r="G805" s="6" t="n">
        <v>1499</v>
      </c>
      <c r="H805" s="6" t="n">
        <v>2</v>
      </c>
      <c r="I805" s="7" t="n">
        <v>620.78</v>
      </c>
      <c r="J805" s="7" t="n">
        <v>587.35</v>
      </c>
      <c r="K805" s="7" t="n">
        <v>1676.73</v>
      </c>
      <c r="L805" s="7" t="n">
        <v>767.1</v>
      </c>
      <c r="M805" s="6" t="n">
        <v>1.3</v>
      </c>
      <c r="N805" s="6" t="s">
        <v>24</v>
      </c>
      <c r="O805" s="8" t="n">
        <f aca="false">VLOOKUP(F805,DIM_SERVICO!$A$2:$D$151,4,FALSE())</f>
        <v>587.35</v>
      </c>
      <c r="P805" s="8" t="n">
        <f aca="false">VLOOKUP(E805,DIM_PECA!$A$2:$F$501,6,FALSE())</f>
        <v>617.59</v>
      </c>
      <c r="Q805" s="8" t="n">
        <f aca="false">VLOOKUP(E805,DIM_PECA!$A$2:$F$501,5,FALSE())</f>
        <v>310.39</v>
      </c>
      <c r="R805" s="8" t="n">
        <f aca="false">H805*P805</f>
        <v>1235.18</v>
      </c>
      <c r="S805" s="8" t="n">
        <f aca="false">O805*M805</f>
        <v>763.555</v>
      </c>
      <c r="T805" s="8" t="n">
        <f aca="false">R805+S805</f>
        <v>1998.735</v>
      </c>
      <c r="U805" s="8" t="n">
        <f aca="false">T805-K805</f>
        <v>322.005</v>
      </c>
      <c r="V805" s="8" t="n">
        <f aca="false">R805+S805-U805</f>
        <v>1676.73</v>
      </c>
      <c r="W805" s="9" t="str">
        <f aca="false">IF(ROUND(V805-K805,2)=0,"OK","ERRO")</f>
        <v>OK</v>
      </c>
      <c r="X805" s="9" t="str">
        <f aca="false">VLOOKUP(F805,DIM_SERVICO!$A$2:$D$151,3,FALSE())</f>
        <v>Funilaria</v>
      </c>
    </row>
    <row r="806" customFormat="false" ht="15" hidden="false" customHeight="false" outlineLevel="0" collapsed="false">
      <c r="A806" s="2" t="n">
        <v>805</v>
      </c>
      <c r="B806" s="2" t="n">
        <v>321</v>
      </c>
      <c r="C806" s="2" t="n">
        <v>901</v>
      </c>
      <c r="D806" s="2" t="n">
        <v>139</v>
      </c>
      <c r="E806" s="2" t="n">
        <v>310</v>
      </c>
      <c r="F806" s="2" t="n">
        <v>17</v>
      </c>
      <c r="G806" s="2" t="n">
        <v>780</v>
      </c>
      <c r="H806" s="2" t="n">
        <v>2</v>
      </c>
      <c r="I806" s="3" t="n">
        <v>1768.94</v>
      </c>
      <c r="J806" s="3" t="n">
        <v>131.97</v>
      </c>
      <c r="K806" s="3" t="n">
        <v>2444.97</v>
      </c>
      <c r="L806" s="3" t="n">
        <v>624.68</v>
      </c>
      <c r="M806" s="2" t="n">
        <v>3.5</v>
      </c>
      <c r="N806" s="2" t="s">
        <v>24</v>
      </c>
      <c r="O806" s="4" t="n">
        <f aca="false">VLOOKUP(F806,DIM_SERVICO!$A$2:$D$151,4,FALSE())</f>
        <v>131.97</v>
      </c>
      <c r="P806" s="4" t="n">
        <f aca="false">VLOOKUP(E806,DIM_PECA!$A$2:$F$501,6,FALSE())</f>
        <v>1292.33</v>
      </c>
      <c r="Q806" s="4" t="n">
        <f aca="false">VLOOKUP(E806,DIM_PECA!$A$2:$F$501,5,FALSE())</f>
        <v>884.47</v>
      </c>
      <c r="R806" s="4" t="n">
        <f aca="false">H806*P806</f>
        <v>2584.66</v>
      </c>
      <c r="S806" s="4" t="n">
        <f aca="false">O806*M806</f>
        <v>461.895</v>
      </c>
      <c r="T806" s="4" t="n">
        <f aca="false">R806+S806</f>
        <v>3046.555</v>
      </c>
      <c r="U806" s="4" t="n">
        <f aca="false">T806-K806</f>
        <v>601.585</v>
      </c>
      <c r="V806" s="4" t="n">
        <f aca="false">R806+S806-U806</f>
        <v>2444.97</v>
      </c>
      <c r="W806" s="5" t="str">
        <f aca="false">IF(ROUND(V806-K806,2)=0,"OK","ERRO")</f>
        <v>OK</v>
      </c>
      <c r="X806" s="5" t="str">
        <f aca="false">VLOOKUP(F806,DIM_SERVICO!$A$2:$D$151,3,FALSE())</f>
        <v>Pintura</v>
      </c>
    </row>
    <row r="807" customFormat="false" ht="15" hidden="false" customHeight="false" outlineLevel="0" collapsed="false">
      <c r="A807" s="6" t="n">
        <v>806</v>
      </c>
      <c r="B807" s="6" t="n">
        <v>950</v>
      </c>
      <c r="C807" s="6" t="n">
        <v>1287</v>
      </c>
      <c r="D807" s="6" t="n">
        <v>150</v>
      </c>
      <c r="E807" s="6" t="n">
        <v>360</v>
      </c>
      <c r="F807" s="6" t="n">
        <v>92</v>
      </c>
      <c r="G807" s="6" t="n">
        <v>1786</v>
      </c>
      <c r="H807" s="6" t="n">
        <v>3</v>
      </c>
      <c r="I807" s="7" t="n">
        <v>3109.11</v>
      </c>
      <c r="J807" s="7" t="n">
        <v>1754.32</v>
      </c>
      <c r="K807" s="7" t="n">
        <v>6913.49</v>
      </c>
      <c r="L807" s="7" t="n">
        <v>2842.64</v>
      </c>
      <c r="M807" s="6" t="n">
        <v>11.3</v>
      </c>
      <c r="N807" s="6" t="s">
        <v>24</v>
      </c>
      <c r="O807" s="8" t="n">
        <f aca="false">VLOOKUP(F807,DIM_SERVICO!$A$2:$D$151,4,FALSE())</f>
        <v>1754.32</v>
      </c>
      <c r="P807" s="8" t="n">
        <f aca="false">VLOOKUP(E807,DIM_PECA!$A$2:$F$501,6,FALSE())</f>
        <v>1975.78</v>
      </c>
      <c r="Q807" s="8" t="n">
        <f aca="false">VLOOKUP(E807,DIM_PECA!$A$2:$F$501,5,FALSE())</f>
        <v>1036.37</v>
      </c>
      <c r="R807" s="8" t="n">
        <f aca="false">H807*P807</f>
        <v>5927.34</v>
      </c>
      <c r="S807" s="8" t="n">
        <f aca="false">O807*M807</f>
        <v>19823.816</v>
      </c>
      <c r="T807" s="8" t="n">
        <f aca="false">R807+S807</f>
        <v>25751.156</v>
      </c>
      <c r="U807" s="8" t="n">
        <f aca="false">T807-K807</f>
        <v>18837.666</v>
      </c>
      <c r="V807" s="8" t="n">
        <f aca="false">R807+S807-U807</f>
        <v>6913.49</v>
      </c>
      <c r="W807" s="9" t="str">
        <f aca="false">IF(ROUND(V807-K807,2)=0,"OK","ERRO")</f>
        <v>OK</v>
      </c>
      <c r="X807" s="9" t="str">
        <f aca="false">VLOOKUP(F807,DIM_SERVICO!$A$2:$D$151,3,FALSE())</f>
        <v>Revisão</v>
      </c>
    </row>
    <row r="808" customFormat="false" ht="15" hidden="false" customHeight="false" outlineLevel="0" collapsed="false">
      <c r="A808" s="2" t="n">
        <v>807</v>
      </c>
      <c r="B808" s="2" t="n">
        <v>356</v>
      </c>
      <c r="C808" s="2" t="n">
        <v>1298</v>
      </c>
      <c r="D808" s="2" t="n">
        <v>908</v>
      </c>
      <c r="E808" s="2" t="n">
        <v>484</v>
      </c>
      <c r="F808" s="2" t="n">
        <v>43</v>
      </c>
      <c r="G808" s="2" t="n">
        <v>663</v>
      </c>
      <c r="H808" s="2" t="n">
        <v>3</v>
      </c>
      <c r="I808" s="3" t="n">
        <v>243.81</v>
      </c>
      <c r="J808" s="3" t="n">
        <v>1163.17</v>
      </c>
      <c r="K808" s="3" t="n">
        <v>1502.86</v>
      </c>
      <c r="L808" s="3" t="n">
        <v>739.17</v>
      </c>
      <c r="M808" s="2" t="n">
        <v>6.8</v>
      </c>
      <c r="N808" s="2" t="s">
        <v>24</v>
      </c>
      <c r="O808" s="4" t="n">
        <f aca="false">VLOOKUP(F808,DIM_SERVICO!$A$2:$D$151,4,FALSE())</f>
        <v>1163.17</v>
      </c>
      <c r="P808" s="4" t="n">
        <f aca="false">VLOOKUP(E808,DIM_PECA!$A$2:$F$501,6,FALSE())</f>
        <v>113.23</v>
      </c>
      <c r="Q808" s="4" t="n">
        <f aca="false">VLOOKUP(E808,DIM_PECA!$A$2:$F$501,5,FALSE())</f>
        <v>81.27</v>
      </c>
      <c r="R808" s="4" t="n">
        <f aca="false">H808*P808</f>
        <v>339.69</v>
      </c>
      <c r="S808" s="4" t="n">
        <f aca="false">O808*M808</f>
        <v>7909.556</v>
      </c>
      <c r="T808" s="4" t="n">
        <f aca="false">R808+S808</f>
        <v>8249.246</v>
      </c>
      <c r="U808" s="4" t="n">
        <f aca="false">T808-K808</f>
        <v>6746.386</v>
      </c>
      <c r="V808" s="4" t="n">
        <f aca="false">R808+S808-U808</f>
        <v>1502.86</v>
      </c>
      <c r="W808" s="5" t="str">
        <f aca="false">IF(ROUND(V808-K808,2)=0,"OK","ERRO")</f>
        <v>OK</v>
      </c>
      <c r="X808" s="5" t="str">
        <f aca="false">VLOOKUP(F808,DIM_SERVICO!$A$2:$D$151,3,FALSE())</f>
        <v>Diagnóstico</v>
      </c>
    </row>
    <row r="809" customFormat="false" ht="15" hidden="false" customHeight="false" outlineLevel="0" collapsed="false">
      <c r="A809" s="6" t="n">
        <v>808</v>
      </c>
      <c r="B809" s="6" t="n">
        <v>744</v>
      </c>
      <c r="C809" s="6" t="n">
        <v>289</v>
      </c>
      <c r="D809" s="6" t="n">
        <v>266</v>
      </c>
      <c r="E809" s="6" t="n">
        <v>17</v>
      </c>
      <c r="F809" s="6" t="n">
        <v>102</v>
      </c>
      <c r="G809" s="6" t="n">
        <v>1105</v>
      </c>
      <c r="H809" s="6" t="n">
        <v>2</v>
      </c>
      <c r="I809" s="7" t="n">
        <v>214.4</v>
      </c>
      <c r="J809" s="7" t="n">
        <v>352.9</v>
      </c>
      <c r="K809" s="7" t="n">
        <v>649.53</v>
      </c>
      <c r="L809" s="7" t="n">
        <v>244.8</v>
      </c>
      <c r="M809" s="6" t="n">
        <v>10.9</v>
      </c>
      <c r="N809" s="6" t="s">
        <v>25</v>
      </c>
      <c r="O809" s="8" t="n">
        <f aca="false">VLOOKUP(F809,DIM_SERVICO!$A$2:$D$151,4,FALSE())</f>
        <v>352.9</v>
      </c>
      <c r="P809" s="8" t="n">
        <f aca="false">VLOOKUP(E809,DIM_PECA!$A$2:$F$501,6,FALSE())</f>
        <v>165.41</v>
      </c>
      <c r="Q809" s="8" t="n">
        <f aca="false">VLOOKUP(E809,DIM_PECA!$A$2:$F$501,5,FALSE())</f>
        <v>107.2</v>
      </c>
      <c r="R809" s="8" t="n">
        <f aca="false">H809*P809</f>
        <v>330.82</v>
      </c>
      <c r="S809" s="8" t="n">
        <f aca="false">O809*M809</f>
        <v>3846.61</v>
      </c>
      <c r="T809" s="8" t="n">
        <f aca="false">R809+S809</f>
        <v>4177.43</v>
      </c>
      <c r="U809" s="8" t="n">
        <f aca="false">T809-K809</f>
        <v>3527.9</v>
      </c>
      <c r="V809" s="8" t="n">
        <f aca="false">R809+S809-U809</f>
        <v>649.53</v>
      </c>
      <c r="W809" s="9" t="str">
        <f aca="false">IF(ROUND(V809-K809,2)=0,"OK","ERRO")</f>
        <v>OK</v>
      </c>
      <c r="X809" s="9" t="str">
        <f aca="false">VLOOKUP(F809,DIM_SERVICO!$A$2:$D$151,3,FALSE())</f>
        <v>Motor</v>
      </c>
    </row>
    <row r="810" customFormat="false" ht="15" hidden="false" customHeight="false" outlineLevel="0" collapsed="false">
      <c r="A810" s="2" t="n">
        <v>809</v>
      </c>
      <c r="B810" s="2" t="n">
        <v>1129</v>
      </c>
      <c r="C810" s="2" t="n">
        <v>522</v>
      </c>
      <c r="D810" s="2" t="n">
        <v>615</v>
      </c>
      <c r="E810" s="2" t="n">
        <v>396</v>
      </c>
      <c r="F810" s="2" t="n">
        <v>142</v>
      </c>
      <c r="G810" s="2" t="n">
        <v>1409</v>
      </c>
      <c r="H810" s="2" t="n">
        <v>1</v>
      </c>
      <c r="I810" s="3" t="n">
        <v>817.56</v>
      </c>
      <c r="J810" s="3" t="n">
        <v>1867.45</v>
      </c>
      <c r="K810" s="3" t="n">
        <v>3152.59</v>
      </c>
      <c r="L810" s="3" t="n">
        <v>1334.36</v>
      </c>
      <c r="M810" s="2" t="n">
        <v>4.5</v>
      </c>
      <c r="N810" s="2" t="s">
        <v>24</v>
      </c>
      <c r="O810" s="4" t="n">
        <f aca="false">VLOOKUP(F810,DIM_SERVICO!$A$2:$D$151,4,FALSE())</f>
        <v>1867.45</v>
      </c>
      <c r="P810" s="4" t="n">
        <f aca="false">VLOOKUP(E810,DIM_PECA!$A$2:$F$501,6,FALSE())</f>
        <v>1285.14</v>
      </c>
      <c r="Q810" s="4" t="n">
        <f aca="false">VLOOKUP(E810,DIM_PECA!$A$2:$F$501,5,FALSE())</f>
        <v>817.56</v>
      </c>
      <c r="R810" s="4" t="n">
        <f aca="false">H810*P810</f>
        <v>1285.14</v>
      </c>
      <c r="S810" s="4" t="n">
        <f aca="false">O810*M810</f>
        <v>8403.525</v>
      </c>
      <c r="T810" s="4" t="n">
        <f aca="false">R810+S810</f>
        <v>9688.665</v>
      </c>
      <c r="U810" s="4" t="n">
        <f aca="false">T810-K810</f>
        <v>6536.075</v>
      </c>
      <c r="V810" s="4" t="n">
        <f aca="false">R810+S810-U810</f>
        <v>3152.59</v>
      </c>
      <c r="W810" s="5" t="str">
        <f aca="false">IF(ROUND(V810-K810,2)=0,"OK","ERRO")</f>
        <v>OK</v>
      </c>
      <c r="X810" s="5" t="str">
        <f aca="false">VLOOKUP(F810,DIM_SERVICO!$A$2:$D$151,3,FALSE())</f>
        <v>Elétrica</v>
      </c>
    </row>
    <row r="811" customFormat="false" ht="15" hidden="false" customHeight="false" outlineLevel="0" collapsed="false">
      <c r="A811" s="6" t="n">
        <v>810</v>
      </c>
      <c r="B811" s="6" t="n">
        <v>657</v>
      </c>
      <c r="C811" s="6" t="n">
        <v>243</v>
      </c>
      <c r="D811" s="6" t="n">
        <v>998</v>
      </c>
      <c r="E811" s="6" t="n">
        <v>214</v>
      </c>
      <c r="F811" s="6" t="n">
        <v>147</v>
      </c>
      <c r="G811" s="6" t="n">
        <v>1407</v>
      </c>
      <c r="H811" s="6" t="n">
        <v>1</v>
      </c>
      <c r="I811" s="7" t="n">
        <v>424.52</v>
      </c>
      <c r="J811" s="7" t="n">
        <v>1891.42</v>
      </c>
      <c r="K811" s="7" t="n">
        <v>2396.28</v>
      </c>
      <c r="L811" s="7" t="n">
        <v>1096.34</v>
      </c>
      <c r="M811" s="6" t="n">
        <v>6.4</v>
      </c>
      <c r="N811" s="6" t="s">
        <v>27</v>
      </c>
      <c r="O811" s="8" t="n">
        <f aca="false">VLOOKUP(F811,DIM_SERVICO!$A$2:$D$151,4,FALSE())</f>
        <v>1891.42</v>
      </c>
      <c r="P811" s="8" t="n">
        <f aca="false">VLOOKUP(E811,DIM_PECA!$A$2:$F$501,6,FALSE())</f>
        <v>771.11</v>
      </c>
      <c r="Q811" s="8" t="n">
        <f aca="false">VLOOKUP(E811,DIM_PECA!$A$2:$F$501,5,FALSE())</f>
        <v>424.52</v>
      </c>
      <c r="R811" s="8" t="n">
        <f aca="false">H811*P811</f>
        <v>771.11</v>
      </c>
      <c r="S811" s="8" t="n">
        <f aca="false">O811*M811</f>
        <v>12105.088</v>
      </c>
      <c r="T811" s="8" t="n">
        <f aca="false">R811+S811</f>
        <v>12876.198</v>
      </c>
      <c r="U811" s="8" t="n">
        <f aca="false">T811-K811</f>
        <v>10479.918</v>
      </c>
      <c r="V811" s="8" t="n">
        <f aca="false">R811+S811-U811</f>
        <v>2396.28</v>
      </c>
      <c r="W811" s="9" t="str">
        <f aca="false">IF(ROUND(V811-K811,2)=0,"OK","ERRO")</f>
        <v>OK</v>
      </c>
      <c r="X811" s="9" t="str">
        <f aca="false">VLOOKUP(F811,DIM_SERVICO!$A$2:$D$151,3,FALSE())</f>
        <v>Motor</v>
      </c>
    </row>
    <row r="812" customFormat="false" ht="15" hidden="false" customHeight="false" outlineLevel="0" collapsed="false">
      <c r="A812" s="2" t="n">
        <v>811</v>
      </c>
      <c r="B812" s="2" t="n">
        <v>382</v>
      </c>
      <c r="C812" s="2" t="n">
        <v>175</v>
      </c>
      <c r="D812" s="2" t="n">
        <v>784</v>
      </c>
      <c r="E812" s="2" t="n">
        <v>381</v>
      </c>
      <c r="F812" s="2" t="n">
        <v>46</v>
      </c>
      <c r="G812" s="2" t="n">
        <v>757</v>
      </c>
      <c r="H812" s="2" t="n">
        <v>3</v>
      </c>
      <c r="I812" s="3" t="n">
        <v>3253.89</v>
      </c>
      <c r="J812" s="3" t="n">
        <v>1282.78</v>
      </c>
      <c r="K812" s="3" t="n">
        <v>7130.45</v>
      </c>
      <c r="L812" s="3" t="n">
        <v>3272.36</v>
      </c>
      <c r="M812" s="2" t="n">
        <v>11.1</v>
      </c>
      <c r="N812" s="2" t="s">
        <v>24</v>
      </c>
      <c r="O812" s="4" t="n">
        <f aca="false">VLOOKUP(F812,DIM_SERVICO!$A$2:$D$151,4,FALSE())</f>
        <v>1282.78</v>
      </c>
      <c r="P812" s="4" t="n">
        <f aca="false">VLOOKUP(E812,DIM_PECA!$A$2:$F$501,6,FALSE())</f>
        <v>2074.32</v>
      </c>
      <c r="Q812" s="4" t="n">
        <f aca="false">VLOOKUP(E812,DIM_PECA!$A$2:$F$501,5,FALSE())</f>
        <v>1084.63</v>
      </c>
      <c r="R812" s="4" t="n">
        <f aca="false">H812*P812</f>
        <v>6222.96</v>
      </c>
      <c r="S812" s="4" t="n">
        <f aca="false">O812*M812</f>
        <v>14238.858</v>
      </c>
      <c r="T812" s="4" t="n">
        <f aca="false">R812+S812</f>
        <v>20461.818</v>
      </c>
      <c r="U812" s="4" t="n">
        <f aca="false">T812-K812</f>
        <v>13331.368</v>
      </c>
      <c r="V812" s="4" t="n">
        <f aca="false">R812+S812-U812</f>
        <v>7130.45</v>
      </c>
      <c r="W812" s="5" t="str">
        <f aca="false">IF(ROUND(V812-K812,2)=0,"OK","ERRO")</f>
        <v>OK</v>
      </c>
      <c r="X812" s="5" t="str">
        <f aca="false">VLOOKUP(F812,DIM_SERVICO!$A$2:$D$151,3,FALSE())</f>
        <v>Revisão</v>
      </c>
    </row>
    <row r="813" customFormat="false" ht="15" hidden="false" customHeight="false" outlineLevel="0" collapsed="false">
      <c r="A813" s="6" t="n">
        <v>812</v>
      </c>
      <c r="B813" s="6" t="n">
        <v>1302</v>
      </c>
      <c r="C813" s="6" t="n">
        <v>660</v>
      </c>
      <c r="D813" s="6" t="n">
        <v>449</v>
      </c>
      <c r="E813" s="6" t="n">
        <v>374</v>
      </c>
      <c r="F813" s="6" t="n">
        <v>108</v>
      </c>
      <c r="G813" s="6" t="n">
        <v>694</v>
      </c>
      <c r="H813" s="6" t="n">
        <v>1</v>
      </c>
      <c r="I813" s="7" t="n">
        <v>106.83</v>
      </c>
      <c r="J813" s="7" t="n">
        <v>1178.47</v>
      </c>
      <c r="K813" s="7" t="n">
        <v>1404.04</v>
      </c>
      <c r="L813" s="7" t="n">
        <v>833.6</v>
      </c>
      <c r="M813" s="6" t="n">
        <v>11.6</v>
      </c>
      <c r="N813" s="6" t="s">
        <v>25</v>
      </c>
      <c r="O813" s="8" t="n">
        <f aca="false">VLOOKUP(F813,DIM_SERVICO!$A$2:$D$151,4,FALSE())</f>
        <v>1178.47</v>
      </c>
      <c r="P813" s="8" t="n">
        <f aca="false">VLOOKUP(E813,DIM_PECA!$A$2:$F$501,6,FALSE())</f>
        <v>225.57</v>
      </c>
      <c r="Q813" s="8" t="n">
        <f aca="false">VLOOKUP(E813,DIM_PECA!$A$2:$F$501,5,FALSE())</f>
        <v>106.83</v>
      </c>
      <c r="R813" s="8" t="n">
        <f aca="false">H813*P813</f>
        <v>225.57</v>
      </c>
      <c r="S813" s="8" t="n">
        <f aca="false">O813*M813</f>
        <v>13670.252</v>
      </c>
      <c r="T813" s="8" t="n">
        <f aca="false">R813+S813</f>
        <v>13895.822</v>
      </c>
      <c r="U813" s="8" t="n">
        <f aca="false">T813-K813</f>
        <v>12491.782</v>
      </c>
      <c r="V813" s="8" t="n">
        <f aca="false">R813+S813-U813</f>
        <v>1404.04</v>
      </c>
      <c r="W813" s="9" t="str">
        <f aca="false">IF(ROUND(V813-K813,2)=0,"OK","ERRO")</f>
        <v>OK</v>
      </c>
      <c r="X813" s="9" t="str">
        <f aca="false">VLOOKUP(F813,DIM_SERVICO!$A$2:$D$151,3,FALSE())</f>
        <v>Funilaria</v>
      </c>
    </row>
    <row r="814" customFormat="false" ht="15" hidden="false" customHeight="false" outlineLevel="0" collapsed="false">
      <c r="A814" s="2" t="n">
        <v>813</v>
      </c>
      <c r="B814" s="2" t="n">
        <v>1411</v>
      </c>
      <c r="C814" s="2" t="n">
        <v>228</v>
      </c>
      <c r="D814" s="2" t="n">
        <v>410</v>
      </c>
      <c r="E814" s="2" t="n">
        <v>213</v>
      </c>
      <c r="F814" s="2" t="n">
        <v>120</v>
      </c>
      <c r="G814" s="2" t="n">
        <v>1418</v>
      </c>
      <c r="H814" s="2" t="n">
        <v>3</v>
      </c>
      <c r="I814" s="3" t="n">
        <v>3267.69</v>
      </c>
      <c r="J814" s="3" t="n">
        <v>1729.81</v>
      </c>
      <c r="K814" s="3" t="n">
        <v>7397.01</v>
      </c>
      <c r="L814" s="3" t="n">
        <v>3390.33</v>
      </c>
      <c r="M814" s="2" t="n">
        <v>1.7</v>
      </c>
      <c r="N814" s="2" t="s">
        <v>24</v>
      </c>
      <c r="O814" s="4" t="n">
        <f aca="false">VLOOKUP(F814,DIM_SERVICO!$A$2:$D$151,4,FALSE())</f>
        <v>1729.81</v>
      </c>
      <c r="P814" s="4" t="n">
        <f aca="false">VLOOKUP(E814,DIM_PECA!$A$2:$F$501,6,FALSE())</f>
        <v>2163.03</v>
      </c>
      <c r="Q814" s="4" t="n">
        <f aca="false">VLOOKUP(E814,DIM_PECA!$A$2:$F$501,5,FALSE())</f>
        <v>1089.23</v>
      </c>
      <c r="R814" s="4" t="n">
        <f aca="false">H814*P814</f>
        <v>6489.09</v>
      </c>
      <c r="S814" s="4" t="n">
        <f aca="false">O814*M814</f>
        <v>2940.677</v>
      </c>
      <c r="T814" s="4" t="n">
        <f aca="false">R814+S814</f>
        <v>9429.767</v>
      </c>
      <c r="U814" s="4" t="n">
        <f aca="false">T814-K814</f>
        <v>2032.757</v>
      </c>
      <c r="V814" s="4" t="n">
        <f aca="false">R814+S814-U814</f>
        <v>7397.01</v>
      </c>
      <c r="W814" s="5" t="str">
        <f aca="false">IF(ROUND(V814-K814,2)=0,"OK","ERRO")</f>
        <v>OK</v>
      </c>
      <c r="X814" s="5" t="str">
        <f aca="false">VLOOKUP(F814,DIM_SERVICO!$A$2:$D$151,3,FALSE())</f>
        <v>Suspensão</v>
      </c>
    </row>
    <row r="815" customFormat="false" ht="15" hidden="false" customHeight="false" outlineLevel="0" collapsed="false">
      <c r="A815" s="6" t="n">
        <v>814</v>
      </c>
      <c r="B815" s="6" t="n">
        <v>1022</v>
      </c>
      <c r="C815" s="6" t="n">
        <v>23</v>
      </c>
      <c r="D815" s="6" t="n">
        <v>580</v>
      </c>
      <c r="E815" s="6" t="n">
        <v>140</v>
      </c>
      <c r="F815" s="6" t="n">
        <v>62</v>
      </c>
      <c r="G815" s="6" t="n">
        <v>464</v>
      </c>
      <c r="H815" s="6" t="n">
        <v>4</v>
      </c>
      <c r="I815" s="7" t="n">
        <v>776.04</v>
      </c>
      <c r="J815" s="7" t="n">
        <v>709.8</v>
      </c>
      <c r="K815" s="7" t="n">
        <v>1986.57</v>
      </c>
      <c r="L815" s="7" t="n">
        <v>959.28</v>
      </c>
      <c r="M815" s="6" t="n">
        <v>8.2</v>
      </c>
      <c r="N815" s="6" t="s">
        <v>26</v>
      </c>
      <c r="O815" s="8" t="n">
        <f aca="false">VLOOKUP(F815,DIM_SERVICO!$A$2:$D$151,4,FALSE())</f>
        <v>709.8</v>
      </c>
      <c r="P815" s="8" t="n">
        <f aca="false">VLOOKUP(E815,DIM_PECA!$A$2:$F$501,6,FALSE())</f>
        <v>362.38</v>
      </c>
      <c r="Q815" s="8" t="n">
        <f aca="false">VLOOKUP(E815,DIM_PECA!$A$2:$F$501,5,FALSE())</f>
        <v>194.01</v>
      </c>
      <c r="R815" s="8" t="n">
        <f aca="false">H815*P815</f>
        <v>1449.52</v>
      </c>
      <c r="S815" s="8" t="n">
        <f aca="false">O815*M815</f>
        <v>5820.36</v>
      </c>
      <c r="T815" s="8" t="n">
        <f aca="false">R815+S815</f>
        <v>7269.88</v>
      </c>
      <c r="U815" s="8" t="n">
        <f aca="false">T815-K815</f>
        <v>5283.31</v>
      </c>
      <c r="V815" s="8" t="n">
        <f aca="false">R815+S815-U815</f>
        <v>1986.57</v>
      </c>
      <c r="W815" s="9" t="str">
        <f aca="false">IF(ROUND(V815-K815,2)=0,"OK","ERRO")</f>
        <v>OK</v>
      </c>
      <c r="X815" s="9" t="str">
        <f aca="false">VLOOKUP(F815,DIM_SERVICO!$A$2:$D$151,3,FALSE())</f>
        <v>Pintura</v>
      </c>
    </row>
    <row r="816" customFormat="false" ht="15" hidden="false" customHeight="false" outlineLevel="0" collapsed="false">
      <c r="A816" s="2" t="n">
        <v>815</v>
      </c>
      <c r="B816" s="2" t="n">
        <v>590</v>
      </c>
      <c r="C816" s="2" t="n">
        <v>1422</v>
      </c>
      <c r="D816" s="2" t="n">
        <v>431</v>
      </c>
      <c r="E816" s="2" t="n">
        <v>196</v>
      </c>
      <c r="F816" s="2" t="n">
        <v>121</v>
      </c>
      <c r="G816" s="2" t="n">
        <v>161</v>
      </c>
      <c r="H816" s="2" t="n">
        <v>2</v>
      </c>
      <c r="I816" s="3" t="n">
        <v>1899.38</v>
      </c>
      <c r="J816" s="3" t="n">
        <v>599.74</v>
      </c>
      <c r="K816" s="3" t="n">
        <v>3209.93</v>
      </c>
      <c r="L816" s="3" t="n">
        <v>1016.58</v>
      </c>
      <c r="M816" s="2" t="n">
        <v>0.5</v>
      </c>
      <c r="N816" s="2" t="s">
        <v>24</v>
      </c>
      <c r="O816" s="4" t="n">
        <f aca="false">VLOOKUP(F816,DIM_SERVICO!$A$2:$D$151,4,FALSE())</f>
        <v>599.74</v>
      </c>
      <c r="P816" s="4" t="n">
        <f aca="false">VLOOKUP(E816,DIM_PECA!$A$2:$F$501,6,FALSE())</f>
        <v>1337.85</v>
      </c>
      <c r="Q816" s="4" t="n">
        <f aca="false">VLOOKUP(E816,DIM_PECA!$A$2:$F$501,5,FALSE())</f>
        <v>949.69</v>
      </c>
      <c r="R816" s="4" t="n">
        <f aca="false">H816*P816</f>
        <v>2675.7</v>
      </c>
      <c r="S816" s="4" t="n">
        <f aca="false">O816*M816</f>
        <v>299.87</v>
      </c>
      <c r="T816" s="4" t="n">
        <f aca="false">R816+S816</f>
        <v>2975.57</v>
      </c>
      <c r="U816" s="4" t="n">
        <f aca="false">T816-K816</f>
        <v>-234.36</v>
      </c>
      <c r="V816" s="4" t="n">
        <f aca="false">R816+S816-U816</f>
        <v>3209.93</v>
      </c>
      <c r="W816" s="5" t="str">
        <f aca="false">IF(ROUND(V816-K816,2)=0,"OK","ERRO")</f>
        <v>OK</v>
      </c>
      <c r="X816" s="5" t="str">
        <f aca="false">VLOOKUP(F816,DIM_SERVICO!$A$2:$D$151,3,FALSE())</f>
        <v>Revisão</v>
      </c>
    </row>
    <row r="817" customFormat="false" ht="15" hidden="false" customHeight="false" outlineLevel="0" collapsed="false">
      <c r="A817" s="6" t="n">
        <v>816</v>
      </c>
      <c r="B817" s="6" t="n">
        <v>238</v>
      </c>
      <c r="C817" s="6" t="n">
        <v>1241</v>
      </c>
      <c r="D817" s="6" t="n">
        <v>694</v>
      </c>
      <c r="E817" s="6" t="n">
        <v>494</v>
      </c>
      <c r="F817" s="6" t="n">
        <v>62</v>
      </c>
      <c r="G817" s="6" t="n">
        <v>1648</v>
      </c>
      <c r="H817" s="6" t="n">
        <v>1</v>
      </c>
      <c r="I817" s="7" t="n">
        <v>959.21</v>
      </c>
      <c r="J817" s="7" t="n">
        <v>709.8</v>
      </c>
      <c r="K817" s="7" t="n">
        <v>2236.8</v>
      </c>
      <c r="L817" s="7" t="n">
        <v>1013.83</v>
      </c>
      <c r="M817" s="6" t="n">
        <v>6.6</v>
      </c>
      <c r="N817" s="6" t="s">
        <v>26</v>
      </c>
      <c r="O817" s="8" t="n">
        <f aca="false">VLOOKUP(F817,DIM_SERVICO!$A$2:$D$151,4,FALSE())</f>
        <v>709.8</v>
      </c>
      <c r="P817" s="8" t="n">
        <f aca="false">VLOOKUP(E817,DIM_PECA!$A$2:$F$501,6,FALSE())</f>
        <v>1527</v>
      </c>
      <c r="Q817" s="8" t="n">
        <f aca="false">VLOOKUP(E817,DIM_PECA!$A$2:$F$501,5,FALSE())</f>
        <v>959.21</v>
      </c>
      <c r="R817" s="8" t="n">
        <f aca="false">H817*P817</f>
        <v>1527</v>
      </c>
      <c r="S817" s="8" t="n">
        <f aca="false">O817*M817</f>
        <v>4684.68</v>
      </c>
      <c r="T817" s="8" t="n">
        <f aca="false">R817+S817</f>
        <v>6211.68</v>
      </c>
      <c r="U817" s="8" t="n">
        <f aca="false">T817-K817</f>
        <v>3974.88</v>
      </c>
      <c r="V817" s="8" t="n">
        <f aca="false">R817+S817-U817</f>
        <v>2236.8</v>
      </c>
      <c r="W817" s="9" t="str">
        <f aca="false">IF(ROUND(V817-K817,2)=0,"OK","ERRO")</f>
        <v>OK</v>
      </c>
      <c r="X817" s="9" t="str">
        <f aca="false">VLOOKUP(F817,DIM_SERVICO!$A$2:$D$151,3,FALSE())</f>
        <v>Pintura</v>
      </c>
    </row>
    <row r="818" customFormat="false" ht="15" hidden="false" customHeight="false" outlineLevel="0" collapsed="false">
      <c r="A818" s="2" t="n">
        <v>817</v>
      </c>
      <c r="B818" s="2" t="n">
        <v>1322</v>
      </c>
      <c r="C818" s="2" t="n">
        <v>1219</v>
      </c>
      <c r="D818" s="2" t="n">
        <v>545</v>
      </c>
      <c r="E818" s="2" t="n">
        <v>439</v>
      </c>
      <c r="F818" s="2" t="n">
        <v>1</v>
      </c>
      <c r="G818" s="2" t="n">
        <v>1358</v>
      </c>
      <c r="H818" s="2" t="n">
        <v>4</v>
      </c>
      <c r="I818" s="3" t="n">
        <v>2276.08</v>
      </c>
      <c r="J818" s="3" t="n">
        <v>412.84</v>
      </c>
      <c r="K818" s="3" t="n">
        <v>4066.87</v>
      </c>
      <c r="L818" s="3" t="n">
        <v>1582.75</v>
      </c>
      <c r="M818" s="2" t="n">
        <v>11.9</v>
      </c>
      <c r="N818" s="2" t="s">
        <v>24</v>
      </c>
      <c r="O818" s="4" t="n">
        <f aca="false">VLOOKUP(F818,DIM_SERVICO!$A$2:$D$151,4,FALSE())</f>
        <v>412.84</v>
      </c>
      <c r="P818" s="4" t="n">
        <f aca="false">VLOOKUP(E818,DIM_PECA!$A$2:$F$501,6,FALSE())</f>
        <v>967.02</v>
      </c>
      <c r="Q818" s="4" t="n">
        <f aca="false">VLOOKUP(E818,DIM_PECA!$A$2:$F$501,5,FALSE())</f>
        <v>569.02</v>
      </c>
      <c r="R818" s="4" t="n">
        <f aca="false">H818*P818</f>
        <v>3868.08</v>
      </c>
      <c r="S818" s="4" t="n">
        <f aca="false">O818*M818</f>
        <v>4912.796</v>
      </c>
      <c r="T818" s="4" t="n">
        <f aca="false">R818+S818</f>
        <v>8780.876</v>
      </c>
      <c r="U818" s="4" t="n">
        <f aca="false">T818-K818</f>
        <v>4714.006</v>
      </c>
      <c r="V818" s="4" t="n">
        <f aca="false">R818+S818-U818</f>
        <v>4066.87</v>
      </c>
      <c r="W818" s="5" t="str">
        <f aca="false">IF(ROUND(V818-K818,2)=0,"OK","ERRO")</f>
        <v>OK</v>
      </c>
      <c r="X818" s="5" t="str">
        <f aca="false">VLOOKUP(F818,DIM_SERVICO!$A$2:$D$151,3,FALSE())</f>
        <v>Elétrica</v>
      </c>
    </row>
    <row r="819" customFormat="false" ht="15" hidden="false" customHeight="false" outlineLevel="0" collapsed="false">
      <c r="A819" s="6" t="n">
        <v>818</v>
      </c>
      <c r="B819" s="6" t="n">
        <v>1329</v>
      </c>
      <c r="C819" s="6" t="n">
        <v>873</v>
      </c>
      <c r="D819" s="6" t="n">
        <v>815</v>
      </c>
      <c r="E819" s="6" t="n">
        <v>73</v>
      </c>
      <c r="F819" s="6" t="n">
        <v>14</v>
      </c>
      <c r="G819" s="6" t="n">
        <v>559</v>
      </c>
      <c r="H819" s="6" t="n">
        <v>1</v>
      </c>
      <c r="I819" s="7" t="n">
        <v>390.87</v>
      </c>
      <c r="J819" s="7" t="n">
        <v>1939.75</v>
      </c>
      <c r="K819" s="7" t="n">
        <v>2614.16</v>
      </c>
      <c r="L819" s="7" t="n">
        <v>1377.55</v>
      </c>
      <c r="M819" s="6" t="n">
        <v>2.7</v>
      </c>
      <c r="N819" s="6" t="s">
        <v>25</v>
      </c>
      <c r="O819" s="8" t="n">
        <f aca="false">VLOOKUP(F819,DIM_SERVICO!$A$2:$D$151,4,FALSE())</f>
        <v>1939.75</v>
      </c>
      <c r="P819" s="8" t="n">
        <f aca="false">VLOOKUP(E819,DIM_PECA!$A$2:$F$501,6,FALSE())</f>
        <v>812</v>
      </c>
      <c r="Q819" s="8" t="n">
        <f aca="false">VLOOKUP(E819,DIM_PECA!$A$2:$F$501,5,FALSE())</f>
        <v>390.87</v>
      </c>
      <c r="R819" s="8" t="n">
        <f aca="false">H819*P819</f>
        <v>812</v>
      </c>
      <c r="S819" s="8" t="n">
        <f aca="false">O819*M819</f>
        <v>5237.325</v>
      </c>
      <c r="T819" s="8" t="n">
        <f aca="false">R819+S819</f>
        <v>6049.325</v>
      </c>
      <c r="U819" s="8" t="n">
        <f aca="false">T819-K819</f>
        <v>3435.165</v>
      </c>
      <c r="V819" s="8" t="n">
        <f aca="false">R819+S819-U819</f>
        <v>2614.16</v>
      </c>
      <c r="W819" s="9" t="str">
        <f aca="false">IF(ROUND(V819-K819,2)=0,"OK","ERRO")</f>
        <v>OK</v>
      </c>
      <c r="X819" s="9" t="str">
        <f aca="false">VLOOKUP(F819,DIM_SERVICO!$A$2:$D$151,3,FALSE())</f>
        <v>Funilaria</v>
      </c>
    </row>
    <row r="820" customFormat="false" ht="15" hidden="false" customHeight="false" outlineLevel="0" collapsed="false">
      <c r="A820" s="2" t="n">
        <v>819</v>
      </c>
      <c r="B820" s="2" t="n">
        <v>181</v>
      </c>
      <c r="C820" s="2" t="n">
        <v>1262</v>
      </c>
      <c r="D820" s="2" t="n">
        <v>192</v>
      </c>
      <c r="E820" s="2" t="n">
        <v>331</v>
      </c>
      <c r="F820" s="2" t="n">
        <v>97</v>
      </c>
      <c r="G820" s="2" t="n">
        <v>1821</v>
      </c>
      <c r="H820" s="2" t="n">
        <v>4</v>
      </c>
      <c r="I820" s="3" t="n">
        <v>3235.28</v>
      </c>
      <c r="J820" s="3" t="n">
        <v>1095.32</v>
      </c>
      <c r="K820" s="3" t="n">
        <v>5245.03</v>
      </c>
      <c r="L820" s="3" t="n">
        <v>1423.62</v>
      </c>
      <c r="M820" s="2" t="n">
        <v>5.7</v>
      </c>
      <c r="N820" s="2" t="s">
        <v>27</v>
      </c>
      <c r="O820" s="4" t="n">
        <f aca="false">VLOOKUP(F820,DIM_SERVICO!$A$2:$D$151,4,FALSE())</f>
        <v>1095.32</v>
      </c>
      <c r="P820" s="4" t="n">
        <f aca="false">VLOOKUP(E820,DIM_PECA!$A$2:$F$501,6,FALSE())</f>
        <v>1106.44</v>
      </c>
      <c r="Q820" s="4" t="n">
        <f aca="false">VLOOKUP(E820,DIM_PECA!$A$2:$F$501,5,FALSE())</f>
        <v>808.82</v>
      </c>
      <c r="R820" s="4" t="n">
        <f aca="false">H820*P820</f>
        <v>4425.76</v>
      </c>
      <c r="S820" s="4" t="n">
        <f aca="false">O820*M820</f>
        <v>6243.324</v>
      </c>
      <c r="T820" s="4" t="n">
        <f aca="false">R820+S820</f>
        <v>10669.084</v>
      </c>
      <c r="U820" s="4" t="n">
        <f aca="false">T820-K820</f>
        <v>5424.054</v>
      </c>
      <c r="V820" s="4" t="n">
        <f aca="false">R820+S820-U820</f>
        <v>5245.03</v>
      </c>
      <c r="W820" s="5" t="str">
        <f aca="false">IF(ROUND(V820-K820,2)=0,"OK","ERRO")</f>
        <v>OK</v>
      </c>
      <c r="X820" s="5" t="str">
        <f aca="false">VLOOKUP(F820,DIM_SERVICO!$A$2:$D$151,3,FALSE())</f>
        <v>Pintura</v>
      </c>
    </row>
    <row r="821" customFormat="false" ht="15" hidden="false" customHeight="false" outlineLevel="0" collapsed="false">
      <c r="A821" s="6" t="n">
        <v>820</v>
      </c>
      <c r="B821" s="6" t="n">
        <v>246</v>
      </c>
      <c r="C821" s="6" t="n">
        <v>1413</v>
      </c>
      <c r="D821" s="6" t="n">
        <v>999</v>
      </c>
      <c r="E821" s="6" t="n">
        <v>198</v>
      </c>
      <c r="F821" s="6" t="n">
        <v>67</v>
      </c>
      <c r="G821" s="6" t="n">
        <v>1007</v>
      </c>
      <c r="H821" s="6" t="n">
        <v>3</v>
      </c>
      <c r="I821" s="7" t="n">
        <v>1242.9</v>
      </c>
      <c r="J821" s="7" t="n">
        <v>1283.08</v>
      </c>
      <c r="K821" s="7" t="n">
        <v>3193.66</v>
      </c>
      <c r="L821" s="7" t="n">
        <v>1273.64</v>
      </c>
      <c r="M821" s="6" t="n">
        <v>7.5</v>
      </c>
      <c r="N821" s="6" t="s">
        <v>24</v>
      </c>
      <c r="O821" s="8" t="n">
        <f aca="false">VLOOKUP(F821,DIM_SERVICO!$A$2:$D$151,4,FALSE())</f>
        <v>1283.08</v>
      </c>
      <c r="P821" s="8" t="n">
        <f aca="false">VLOOKUP(E821,DIM_PECA!$A$2:$F$501,6,FALSE())</f>
        <v>636.86</v>
      </c>
      <c r="Q821" s="8" t="n">
        <f aca="false">VLOOKUP(E821,DIM_PECA!$A$2:$F$501,5,FALSE())</f>
        <v>414.3</v>
      </c>
      <c r="R821" s="8" t="n">
        <f aca="false">H821*P821</f>
        <v>1910.58</v>
      </c>
      <c r="S821" s="8" t="n">
        <f aca="false">O821*M821</f>
        <v>9623.1</v>
      </c>
      <c r="T821" s="8" t="n">
        <f aca="false">R821+S821</f>
        <v>11533.68</v>
      </c>
      <c r="U821" s="8" t="n">
        <f aca="false">T821-K821</f>
        <v>8340.02</v>
      </c>
      <c r="V821" s="8" t="n">
        <f aca="false">R821+S821-U821</f>
        <v>3193.66</v>
      </c>
      <c r="W821" s="9" t="str">
        <f aca="false">IF(ROUND(V821-K821,2)=0,"OK","ERRO")</f>
        <v>OK</v>
      </c>
      <c r="X821" s="9" t="str">
        <f aca="false">VLOOKUP(F821,DIM_SERVICO!$A$2:$D$151,3,FALSE())</f>
        <v>Elétrica</v>
      </c>
    </row>
    <row r="822" customFormat="false" ht="15" hidden="false" customHeight="false" outlineLevel="0" collapsed="false">
      <c r="A822" s="2" t="n">
        <v>821</v>
      </c>
      <c r="B822" s="2" t="n">
        <v>1005</v>
      </c>
      <c r="C822" s="2" t="n">
        <v>295</v>
      </c>
      <c r="D822" s="2" t="n">
        <v>1144</v>
      </c>
      <c r="E822" s="2" t="n">
        <v>187</v>
      </c>
      <c r="F822" s="2" t="n">
        <v>89</v>
      </c>
      <c r="G822" s="2" t="n">
        <v>506</v>
      </c>
      <c r="H822" s="2" t="n">
        <v>1</v>
      </c>
      <c r="I822" s="3" t="n">
        <v>1117.62</v>
      </c>
      <c r="J822" s="3" t="n">
        <v>310.79</v>
      </c>
      <c r="K822" s="3" t="n">
        <v>2462.01</v>
      </c>
      <c r="L822" s="3" t="n">
        <v>1175.04</v>
      </c>
      <c r="M822" s="2" t="n">
        <v>9.7</v>
      </c>
      <c r="N822" s="2" t="s">
        <v>24</v>
      </c>
      <c r="O822" s="4" t="n">
        <f aca="false">VLOOKUP(F822,DIM_SERVICO!$A$2:$D$151,4,FALSE())</f>
        <v>310.79</v>
      </c>
      <c r="P822" s="4" t="n">
        <f aca="false">VLOOKUP(E822,DIM_PECA!$A$2:$F$501,6,FALSE())</f>
        <v>2201.47</v>
      </c>
      <c r="Q822" s="4" t="n">
        <f aca="false">VLOOKUP(E822,DIM_PECA!$A$2:$F$501,5,FALSE())</f>
        <v>1117.62</v>
      </c>
      <c r="R822" s="4" t="n">
        <f aca="false">H822*P822</f>
        <v>2201.47</v>
      </c>
      <c r="S822" s="4" t="n">
        <f aca="false">O822*M822</f>
        <v>3014.663</v>
      </c>
      <c r="T822" s="4" t="n">
        <f aca="false">R822+S822</f>
        <v>5216.133</v>
      </c>
      <c r="U822" s="4" t="n">
        <f aca="false">T822-K822</f>
        <v>2754.123</v>
      </c>
      <c r="V822" s="4" t="n">
        <f aca="false">R822+S822-U822</f>
        <v>2462.01</v>
      </c>
      <c r="W822" s="5" t="str">
        <f aca="false">IF(ROUND(V822-K822,2)=0,"OK","ERRO")</f>
        <v>OK</v>
      </c>
      <c r="X822" s="5" t="str">
        <f aca="false">VLOOKUP(F822,DIM_SERVICO!$A$2:$D$151,3,FALSE())</f>
        <v>Elétrica</v>
      </c>
    </row>
    <row r="823" customFormat="false" ht="15" hidden="false" customHeight="false" outlineLevel="0" collapsed="false">
      <c r="A823" s="6" t="n">
        <v>822</v>
      </c>
      <c r="B823" s="6" t="n">
        <v>383</v>
      </c>
      <c r="C823" s="6" t="n">
        <v>534</v>
      </c>
      <c r="D823" s="6" t="n">
        <v>723</v>
      </c>
      <c r="E823" s="6" t="n">
        <v>430</v>
      </c>
      <c r="F823" s="6" t="n">
        <v>27</v>
      </c>
      <c r="G823" s="6" t="n">
        <v>890</v>
      </c>
      <c r="H823" s="6" t="n">
        <v>1</v>
      </c>
      <c r="I823" s="7" t="n">
        <v>1060.15</v>
      </c>
      <c r="J823" s="7" t="n">
        <v>662.68</v>
      </c>
      <c r="K823" s="7" t="n">
        <v>2463.98</v>
      </c>
      <c r="L823" s="7" t="n">
        <v>1078.32</v>
      </c>
      <c r="M823" s="6" t="n">
        <v>10.2</v>
      </c>
      <c r="N823" s="6" t="s">
        <v>25</v>
      </c>
      <c r="O823" s="8" t="n">
        <f aca="false">VLOOKUP(F823,DIM_SERVICO!$A$2:$D$151,4,FALSE())</f>
        <v>662.68</v>
      </c>
      <c r="P823" s="8" t="n">
        <f aca="false">VLOOKUP(E823,DIM_PECA!$A$2:$F$501,6,FALSE())</f>
        <v>1801.3</v>
      </c>
      <c r="Q823" s="8" t="n">
        <f aca="false">VLOOKUP(E823,DIM_PECA!$A$2:$F$501,5,FALSE())</f>
        <v>1060.15</v>
      </c>
      <c r="R823" s="8" t="n">
        <f aca="false">H823*P823</f>
        <v>1801.3</v>
      </c>
      <c r="S823" s="8" t="n">
        <f aca="false">O823*M823</f>
        <v>6759.336</v>
      </c>
      <c r="T823" s="8" t="n">
        <f aca="false">R823+S823</f>
        <v>8560.636</v>
      </c>
      <c r="U823" s="8" t="n">
        <f aca="false">T823-K823</f>
        <v>6096.656</v>
      </c>
      <c r="V823" s="8" t="n">
        <f aca="false">R823+S823-U823</f>
        <v>2463.98</v>
      </c>
      <c r="W823" s="9" t="str">
        <f aca="false">IF(ROUND(V823-K823,2)=0,"OK","ERRO")</f>
        <v>OK</v>
      </c>
      <c r="X823" s="9" t="str">
        <f aca="false">VLOOKUP(F823,DIM_SERVICO!$A$2:$D$151,3,FALSE())</f>
        <v>Revisão</v>
      </c>
    </row>
    <row r="824" customFormat="false" ht="15" hidden="false" customHeight="false" outlineLevel="0" collapsed="false">
      <c r="A824" s="2" t="n">
        <v>823</v>
      </c>
      <c r="B824" s="2" t="n">
        <v>1144</v>
      </c>
      <c r="C824" s="2" t="n">
        <v>557</v>
      </c>
      <c r="D824" s="2" t="n">
        <v>89</v>
      </c>
      <c r="E824" s="2" t="n">
        <v>117</v>
      </c>
      <c r="F824" s="2" t="n">
        <v>120</v>
      </c>
      <c r="G824" s="2" t="n">
        <v>258</v>
      </c>
      <c r="H824" s="2" t="n">
        <v>4</v>
      </c>
      <c r="I824" s="3" t="n">
        <v>2440.4</v>
      </c>
      <c r="J824" s="3" t="n">
        <v>1729.81</v>
      </c>
      <c r="K824" s="3" t="n">
        <v>6002.59</v>
      </c>
      <c r="L824" s="3" t="n">
        <v>2840.41</v>
      </c>
      <c r="M824" s="2" t="n">
        <v>5.6</v>
      </c>
      <c r="N824" s="2" t="s">
        <v>24</v>
      </c>
      <c r="O824" s="4" t="n">
        <f aca="false">VLOOKUP(F824,DIM_SERVICO!$A$2:$D$151,4,FALSE())</f>
        <v>1729.81</v>
      </c>
      <c r="P824" s="4" t="n">
        <f aca="false">VLOOKUP(E824,DIM_PECA!$A$2:$F$501,6,FALSE())</f>
        <v>1098.82</v>
      </c>
      <c r="Q824" s="4" t="n">
        <f aca="false">VLOOKUP(E824,DIM_PECA!$A$2:$F$501,5,FALSE())</f>
        <v>610.1</v>
      </c>
      <c r="R824" s="4" t="n">
        <f aca="false">H824*P824</f>
        <v>4395.28</v>
      </c>
      <c r="S824" s="4" t="n">
        <f aca="false">O824*M824</f>
        <v>9686.936</v>
      </c>
      <c r="T824" s="4" t="n">
        <f aca="false">R824+S824</f>
        <v>14082.216</v>
      </c>
      <c r="U824" s="4" t="n">
        <f aca="false">T824-K824</f>
        <v>8079.626</v>
      </c>
      <c r="V824" s="4" t="n">
        <f aca="false">R824+S824-U824</f>
        <v>6002.59</v>
      </c>
      <c r="W824" s="5" t="str">
        <f aca="false">IF(ROUND(V824-K824,2)=0,"OK","ERRO")</f>
        <v>OK</v>
      </c>
      <c r="X824" s="5" t="str">
        <f aca="false">VLOOKUP(F824,DIM_SERVICO!$A$2:$D$151,3,FALSE())</f>
        <v>Suspensão</v>
      </c>
    </row>
    <row r="825" customFormat="false" ht="15" hidden="false" customHeight="false" outlineLevel="0" collapsed="false">
      <c r="A825" s="6" t="n">
        <v>824</v>
      </c>
      <c r="B825" s="6" t="n">
        <v>1102</v>
      </c>
      <c r="C825" s="6" t="n">
        <v>1207</v>
      </c>
      <c r="D825" s="6" t="n">
        <v>1129</v>
      </c>
      <c r="E825" s="6" t="n">
        <v>30</v>
      </c>
      <c r="F825" s="6" t="n">
        <v>149</v>
      </c>
      <c r="G825" s="6" t="n">
        <v>603</v>
      </c>
      <c r="H825" s="6" t="n">
        <v>1</v>
      </c>
      <c r="I825" s="7" t="n">
        <v>546.92</v>
      </c>
      <c r="J825" s="7" t="n">
        <v>142.63</v>
      </c>
      <c r="K825" s="7" t="n">
        <v>1160.86</v>
      </c>
      <c r="L825" s="7" t="n">
        <v>560.32</v>
      </c>
      <c r="M825" s="6" t="n">
        <v>9.2</v>
      </c>
      <c r="N825" s="6" t="s">
        <v>27</v>
      </c>
      <c r="O825" s="8" t="n">
        <f aca="false">VLOOKUP(F825,DIM_SERVICO!$A$2:$D$151,4,FALSE())</f>
        <v>142.63</v>
      </c>
      <c r="P825" s="8" t="n">
        <f aca="false">VLOOKUP(E825,DIM_PECA!$A$2:$F$501,6,FALSE())</f>
        <v>1018.23</v>
      </c>
      <c r="Q825" s="8" t="n">
        <f aca="false">VLOOKUP(E825,DIM_PECA!$A$2:$F$501,5,FALSE())</f>
        <v>546.92</v>
      </c>
      <c r="R825" s="8" t="n">
        <f aca="false">H825*P825</f>
        <v>1018.23</v>
      </c>
      <c r="S825" s="8" t="n">
        <f aca="false">O825*M825</f>
        <v>1312.196</v>
      </c>
      <c r="T825" s="8" t="n">
        <f aca="false">R825+S825</f>
        <v>2330.426</v>
      </c>
      <c r="U825" s="8" t="n">
        <f aca="false">T825-K825</f>
        <v>1169.566</v>
      </c>
      <c r="V825" s="8" t="n">
        <f aca="false">R825+S825-U825</f>
        <v>1160.86</v>
      </c>
      <c r="W825" s="9" t="str">
        <f aca="false">IF(ROUND(V825-K825,2)=0,"OK","ERRO")</f>
        <v>OK</v>
      </c>
      <c r="X825" s="9" t="str">
        <f aca="false">VLOOKUP(F825,DIM_SERVICO!$A$2:$D$151,3,FALSE())</f>
        <v>Motor</v>
      </c>
    </row>
    <row r="826" customFormat="false" ht="15" hidden="false" customHeight="false" outlineLevel="0" collapsed="false">
      <c r="A826" s="2" t="n">
        <v>825</v>
      </c>
      <c r="B826" s="2" t="n">
        <v>1239</v>
      </c>
      <c r="C826" s="2" t="n">
        <v>1263</v>
      </c>
      <c r="D826" s="2" t="n">
        <v>651</v>
      </c>
      <c r="E826" s="2" t="n">
        <v>201</v>
      </c>
      <c r="F826" s="2" t="n">
        <v>51</v>
      </c>
      <c r="G826" s="2" t="n">
        <v>837</v>
      </c>
      <c r="H826" s="2" t="n">
        <v>1</v>
      </c>
      <c r="I826" s="3" t="n">
        <v>106.45</v>
      </c>
      <c r="J826" s="3" t="n">
        <v>876</v>
      </c>
      <c r="K826" s="3" t="n">
        <v>1061.92</v>
      </c>
      <c r="L826" s="3" t="n">
        <v>559.61</v>
      </c>
      <c r="M826" s="2" t="n">
        <v>4.2</v>
      </c>
      <c r="N826" s="2" t="s">
        <v>27</v>
      </c>
      <c r="O826" s="4" t="n">
        <f aca="false">VLOOKUP(F826,DIM_SERVICO!$A$2:$D$151,4,FALSE())</f>
        <v>876</v>
      </c>
      <c r="P826" s="4" t="n">
        <f aca="false">VLOOKUP(E826,DIM_PECA!$A$2:$F$501,6,FALSE())</f>
        <v>185.92</v>
      </c>
      <c r="Q826" s="4" t="n">
        <f aca="false">VLOOKUP(E826,DIM_PECA!$A$2:$F$501,5,FALSE())</f>
        <v>106.45</v>
      </c>
      <c r="R826" s="4" t="n">
        <f aca="false">H826*P826</f>
        <v>185.92</v>
      </c>
      <c r="S826" s="4" t="n">
        <f aca="false">O826*M826</f>
        <v>3679.2</v>
      </c>
      <c r="T826" s="4" t="n">
        <f aca="false">R826+S826</f>
        <v>3865.12</v>
      </c>
      <c r="U826" s="4" t="n">
        <f aca="false">T826-K826</f>
        <v>2803.2</v>
      </c>
      <c r="V826" s="4" t="n">
        <f aca="false">R826+S826-U826</f>
        <v>1061.92</v>
      </c>
      <c r="W826" s="5" t="str">
        <f aca="false">IF(ROUND(V826-K826,2)=0,"OK","ERRO")</f>
        <v>OK</v>
      </c>
      <c r="X826" s="5" t="str">
        <f aca="false">VLOOKUP(F826,DIM_SERVICO!$A$2:$D$151,3,FALSE())</f>
        <v>Revisão</v>
      </c>
    </row>
    <row r="827" customFormat="false" ht="15" hidden="false" customHeight="false" outlineLevel="0" collapsed="false">
      <c r="A827" s="6" t="n">
        <v>826</v>
      </c>
      <c r="B827" s="6" t="n">
        <v>1246</v>
      </c>
      <c r="C827" s="6" t="n">
        <v>1039</v>
      </c>
      <c r="D827" s="6" t="n">
        <v>938</v>
      </c>
      <c r="E827" s="6" t="n">
        <v>96</v>
      </c>
      <c r="F827" s="6" t="n">
        <v>49</v>
      </c>
      <c r="G827" s="6" t="n">
        <v>238</v>
      </c>
      <c r="H827" s="6" t="n">
        <v>2</v>
      </c>
      <c r="I827" s="7" t="n">
        <v>279.3</v>
      </c>
      <c r="J827" s="7" t="n">
        <v>1883.63</v>
      </c>
      <c r="K827" s="7" t="n">
        <v>2422.97</v>
      </c>
      <c r="L827" s="7" t="n">
        <v>1251.68</v>
      </c>
      <c r="M827" s="6" t="n">
        <v>6.1</v>
      </c>
      <c r="N827" s="6" t="s">
        <v>24</v>
      </c>
      <c r="O827" s="8" t="n">
        <f aca="false">VLOOKUP(F827,DIM_SERVICO!$A$2:$D$151,4,FALSE())</f>
        <v>1883.63</v>
      </c>
      <c r="P827" s="8" t="n">
        <f aca="false">VLOOKUP(E827,DIM_PECA!$A$2:$F$501,6,FALSE())</f>
        <v>269.67</v>
      </c>
      <c r="Q827" s="8" t="n">
        <f aca="false">VLOOKUP(E827,DIM_PECA!$A$2:$F$501,5,FALSE())</f>
        <v>139.65</v>
      </c>
      <c r="R827" s="8" t="n">
        <f aca="false">H827*P827</f>
        <v>539.34</v>
      </c>
      <c r="S827" s="8" t="n">
        <f aca="false">O827*M827</f>
        <v>11490.143</v>
      </c>
      <c r="T827" s="8" t="n">
        <f aca="false">R827+S827</f>
        <v>12029.483</v>
      </c>
      <c r="U827" s="8" t="n">
        <f aca="false">T827-K827</f>
        <v>9606.513</v>
      </c>
      <c r="V827" s="8" t="n">
        <f aca="false">R827+S827-U827</f>
        <v>2422.97</v>
      </c>
      <c r="W827" s="9" t="str">
        <f aca="false">IF(ROUND(V827-K827,2)=0,"OK","ERRO")</f>
        <v>OK</v>
      </c>
      <c r="X827" s="9" t="str">
        <f aca="false">VLOOKUP(F827,DIM_SERVICO!$A$2:$D$151,3,FALSE())</f>
        <v>Suspensão</v>
      </c>
    </row>
    <row r="828" customFormat="false" ht="15" hidden="false" customHeight="false" outlineLevel="0" collapsed="false">
      <c r="A828" s="2" t="n">
        <v>827</v>
      </c>
      <c r="B828" s="2" t="n">
        <v>408</v>
      </c>
      <c r="C828" s="2" t="n">
        <v>443</v>
      </c>
      <c r="D828" s="2" t="n">
        <v>555</v>
      </c>
      <c r="E828" s="2" t="n">
        <v>104</v>
      </c>
      <c r="F828" s="2" t="n">
        <v>92</v>
      </c>
      <c r="G828" s="2" t="n">
        <v>1098</v>
      </c>
      <c r="H828" s="2" t="n">
        <v>3</v>
      </c>
      <c r="I828" s="3" t="n">
        <v>2541.09</v>
      </c>
      <c r="J828" s="3" t="n">
        <v>1754.32</v>
      </c>
      <c r="K828" s="3" t="n">
        <v>5687.07</v>
      </c>
      <c r="L828" s="3" t="n">
        <v>2328.84</v>
      </c>
      <c r="M828" s="2" t="n">
        <v>7.5</v>
      </c>
      <c r="N828" s="2" t="s">
        <v>26</v>
      </c>
      <c r="O828" s="4" t="n">
        <f aca="false">VLOOKUP(F828,DIM_SERVICO!$A$2:$D$151,4,FALSE())</f>
        <v>1754.32</v>
      </c>
      <c r="P828" s="4" t="n">
        <f aca="false">VLOOKUP(E828,DIM_PECA!$A$2:$F$501,6,FALSE())</f>
        <v>1410.69</v>
      </c>
      <c r="Q828" s="4" t="n">
        <f aca="false">VLOOKUP(E828,DIM_PECA!$A$2:$F$501,5,FALSE())</f>
        <v>847.03</v>
      </c>
      <c r="R828" s="4" t="n">
        <f aca="false">H828*P828</f>
        <v>4232.07</v>
      </c>
      <c r="S828" s="4" t="n">
        <f aca="false">O828*M828</f>
        <v>13157.4</v>
      </c>
      <c r="T828" s="4" t="n">
        <f aca="false">R828+S828</f>
        <v>17389.47</v>
      </c>
      <c r="U828" s="4" t="n">
        <f aca="false">T828-K828</f>
        <v>11702.4</v>
      </c>
      <c r="V828" s="4" t="n">
        <f aca="false">R828+S828-U828</f>
        <v>5687.07</v>
      </c>
      <c r="W828" s="5" t="str">
        <f aca="false">IF(ROUND(V828-K828,2)=0,"OK","ERRO")</f>
        <v>OK</v>
      </c>
      <c r="X828" s="5" t="str">
        <f aca="false">VLOOKUP(F828,DIM_SERVICO!$A$2:$D$151,3,FALSE())</f>
        <v>Revisão</v>
      </c>
    </row>
    <row r="829" customFormat="false" ht="15" hidden="false" customHeight="false" outlineLevel="0" collapsed="false">
      <c r="A829" s="6" t="n">
        <v>828</v>
      </c>
      <c r="B829" s="6" t="n">
        <v>1393</v>
      </c>
      <c r="C829" s="6" t="n">
        <v>955</v>
      </c>
      <c r="D829" s="6" t="n">
        <v>753</v>
      </c>
      <c r="E829" s="6" t="n">
        <v>127</v>
      </c>
      <c r="F829" s="6" t="n">
        <v>132</v>
      </c>
      <c r="G829" s="6" t="n">
        <v>742</v>
      </c>
      <c r="H829" s="6" t="n">
        <v>4</v>
      </c>
      <c r="I829" s="7" t="n">
        <v>3672.52</v>
      </c>
      <c r="J829" s="7" t="n">
        <v>746.69</v>
      </c>
      <c r="K829" s="7" t="n">
        <v>5679.28</v>
      </c>
      <c r="L829" s="7" t="n">
        <v>1625.82</v>
      </c>
      <c r="M829" s="6" t="n">
        <v>2.2</v>
      </c>
      <c r="N829" s="6" t="s">
        <v>25</v>
      </c>
      <c r="O829" s="8" t="n">
        <f aca="false">VLOOKUP(F829,DIM_SERVICO!$A$2:$D$151,4,FALSE())</f>
        <v>746.69</v>
      </c>
      <c r="P829" s="8" t="n">
        <f aca="false">VLOOKUP(E829,DIM_PECA!$A$2:$F$501,6,FALSE())</f>
        <v>1356.61</v>
      </c>
      <c r="Q829" s="8" t="n">
        <f aca="false">VLOOKUP(E829,DIM_PECA!$A$2:$F$501,5,FALSE())</f>
        <v>918.13</v>
      </c>
      <c r="R829" s="8" t="n">
        <f aca="false">H829*P829</f>
        <v>5426.44</v>
      </c>
      <c r="S829" s="8" t="n">
        <f aca="false">O829*M829</f>
        <v>1642.718</v>
      </c>
      <c r="T829" s="8" t="n">
        <f aca="false">R829+S829</f>
        <v>7069.158</v>
      </c>
      <c r="U829" s="8" t="n">
        <f aca="false">T829-K829</f>
        <v>1389.878</v>
      </c>
      <c r="V829" s="8" t="n">
        <f aca="false">R829+S829-U829</f>
        <v>5679.28</v>
      </c>
      <c r="W829" s="9" t="str">
        <f aca="false">IF(ROUND(V829-K829,2)=0,"OK","ERRO")</f>
        <v>OK</v>
      </c>
      <c r="X829" s="9" t="str">
        <f aca="false">VLOOKUP(F829,DIM_SERVICO!$A$2:$D$151,3,FALSE())</f>
        <v>Motor</v>
      </c>
    </row>
    <row r="830" customFormat="false" ht="15" hidden="false" customHeight="false" outlineLevel="0" collapsed="false">
      <c r="A830" s="2" t="n">
        <v>829</v>
      </c>
      <c r="B830" s="2" t="n">
        <v>981</v>
      </c>
      <c r="C830" s="2" t="n">
        <v>685</v>
      </c>
      <c r="D830" s="2" t="n">
        <v>1159</v>
      </c>
      <c r="E830" s="2" t="n">
        <v>358</v>
      </c>
      <c r="F830" s="2" t="n">
        <v>70</v>
      </c>
      <c r="G830" s="2" t="n">
        <v>465</v>
      </c>
      <c r="H830" s="2" t="n">
        <v>4</v>
      </c>
      <c r="I830" s="3" t="n">
        <v>4557.28</v>
      </c>
      <c r="J830" s="3" t="n">
        <v>688.79</v>
      </c>
      <c r="K830" s="3" t="n">
        <v>7469.91</v>
      </c>
      <c r="L830" s="3" t="n">
        <v>2615.49</v>
      </c>
      <c r="M830" s="2" t="n">
        <v>5.2</v>
      </c>
      <c r="N830" s="2" t="s">
        <v>24</v>
      </c>
      <c r="O830" s="4" t="n">
        <f aca="false">VLOOKUP(F830,DIM_SERVICO!$A$2:$D$151,4,FALSE())</f>
        <v>688.79</v>
      </c>
      <c r="P830" s="4" t="n">
        <f aca="false">VLOOKUP(E830,DIM_PECA!$A$2:$F$501,6,FALSE())</f>
        <v>1857.67</v>
      </c>
      <c r="Q830" s="4" t="n">
        <f aca="false">VLOOKUP(E830,DIM_PECA!$A$2:$F$501,5,FALSE())</f>
        <v>1139.32</v>
      </c>
      <c r="R830" s="4" t="n">
        <f aca="false">H830*P830</f>
        <v>7430.68</v>
      </c>
      <c r="S830" s="4" t="n">
        <f aca="false">O830*M830</f>
        <v>3581.708</v>
      </c>
      <c r="T830" s="4" t="n">
        <f aca="false">R830+S830</f>
        <v>11012.388</v>
      </c>
      <c r="U830" s="4" t="n">
        <f aca="false">T830-K830</f>
        <v>3542.478</v>
      </c>
      <c r="V830" s="4" t="n">
        <f aca="false">R830+S830-U830</f>
        <v>7469.91</v>
      </c>
      <c r="W830" s="5" t="str">
        <f aca="false">IF(ROUND(V830-K830,2)=0,"OK","ERRO")</f>
        <v>OK</v>
      </c>
      <c r="X830" s="5" t="str">
        <f aca="false">VLOOKUP(F830,DIM_SERVICO!$A$2:$D$151,3,FALSE())</f>
        <v>Freios</v>
      </c>
    </row>
    <row r="831" customFormat="false" ht="15" hidden="false" customHeight="false" outlineLevel="0" collapsed="false">
      <c r="A831" s="6" t="n">
        <v>830</v>
      </c>
      <c r="B831" s="6" t="n">
        <v>654</v>
      </c>
      <c r="C831" s="6" t="n">
        <v>1030</v>
      </c>
      <c r="D831" s="6" t="n">
        <v>892</v>
      </c>
      <c r="E831" s="6" t="n">
        <v>50</v>
      </c>
      <c r="F831" s="6" t="n">
        <v>20</v>
      </c>
      <c r="G831" s="6" t="n">
        <v>946</v>
      </c>
      <c r="H831" s="6" t="n">
        <v>1</v>
      </c>
      <c r="I831" s="7" t="n">
        <v>634.33</v>
      </c>
      <c r="J831" s="7" t="n">
        <v>295.88</v>
      </c>
      <c r="K831" s="7" t="n">
        <v>1378.22</v>
      </c>
      <c r="L831" s="7" t="n">
        <v>614.46</v>
      </c>
      <c r="M831" s="6" t="n">
        <v>2.9</v>
      </c>
      <c r="N831" s="6" t="s">
        <v>26</v>
      </c>
      <c r="O831" s="8" t="n">
        <f aca="false">VLOOKUP(F831,DIM_SERVICO!$A$2:$D$151,4,FALSE())</f>
        <v>295.88</v>
      </c>
      <c r="P831" s="8" t="n">
        <f aca="false">VLOOKUP(E831,DIM_PECA!$A$2:$F$501,6,FALSE())</f>
        <v>1235.47</v>
      </c>
      <c r="Q831" s="8" t="n">
        <f aca="false">VLOOKUP(E831,DIM_PECA!$A$2:$F$501,5,FALSE())</f>
        <v>634.33</v>
      </c>
      <c r="R831" s="8" t="n">
        <f aca="false">H831*P831</f>
        <v>1235.47</v>
      </c>
      <c r="S831" s="8" t="n">
        <f aca="false">O831*M831</f>
        <v>858.052</v>
      </c>
      <c r="T831" s="8" t="n">
        <f aca="false">R831+S831</f>
        <v>2093.522</v>
      </c>
      <c r="U831" s="8" t="n">
        <f aca="false">T831-K831</f>
        <v>715.302</v>
      </c>
      <c r="V831" s="8" t="n">
        <f aca="false">R831+S831-U831</f>
        <v>1378.22</v>
      </c>
      <c r="W831" s="9" t="str">
        <f aca="false">IF(ROUND(V831-K831,2)=0,"OK","ERRO")</f>
        <v>OK</v>
      </c>
      <c r="X831" s="9" t="str">
        <f aca="false">VLOOKUP(F831,DIM_SERVICO!$A$2:$D$151,3,FALSE())</f>
        <v>Elétrica</v>
      </c>
    </row>
    <row r="832" customFormat="false" ht="15" hidden="false" customHeight="false" outlineLevel="0" collapsed="false">
      <c r="A832" s="2" t="n">
        <v>831</v>
      </c>
      <c r="B832" s="2" t="n">
        <v>585</v>
      </c>
      <c r="C832" s="2" t="n">
        <v>1305</v>
      </c>
      <c r="D832" s="2" t="n">
        <v>622</v>
      </c>
      <c r="E832" s="2" t="n">
        <v>306</v>
      </c>
      <c r="F832" s="2" t="n">
        <v>86</v>
      </c>
      <c r="G832" s="2" t="n">
        <v>711</v>
      </c>
      <c r="H832" s="2" t="n">
        <v>2</v>
      </c>
      <c r="I832" s="3" t="n">
        <v>528.94</v>
      </c>
      <c r="J832" s="3" t="n">
        <v>147.26</v>
      </c>
      <c r="K832" s="3" t="n">
        <v>1171.96</v>
      </c>
      <c r="L832" s="3" t="n">
        <v>583.55</v>
      </c>
      <c r="M832" s="2" t="n">
        <v>9.8</v>
      </c>
      <c r="N832" s="2" t="s">
        <v>24</v>
      </c>
      <c r="O832" s="4" t="n">
        <f aca="false">VLOOKUP(F832,DIM_SERVICO!$A$2:$D$151,4,FALSE())</f>
        <v>147.26</v>
      </c>
      <c r="P832" s="4" t="n">
        <f aca="false">VLOOKUP(E832,DIM_PECA!$A$2:$F$501,6,FALSE())</f>
        <v>543.19</v>
      </c>
      <c r="Q832" s="4" t="n">
        <f aca="false">VLOOKUP(E832,DIM_PECA!$A$2:$F$501,5,FALSE())</f>
        <v>264.47</v>
      </c>
      <c r="R832" s="4" t="n">
        <f aca="false">H832*P832</f>
        <v>1086.38</v>
      </c>
      <c r="S832" s="4" t="n">
        <f aca="false">O832*M832</f>
        <v>1443.148</v>
      </c>
      <c r="T832" s="4" t="n">
        <f aca="false">R832+S832</f>
        <v>2529.528</v>
      </c>
      <c r="U832" s="4" t="n">
        <f aca="false">T832-K832</f>
        <v>1357.568</v>
      </c>
      <c r="V832" s="4" t="n">
        <f aca="false">R832+S832-U832</f>
        <v>1171.96</v>
      </c>
      <c r="W832" s="5" t="str">
        <f aca="false">IF(ROUND(V832-K832,2)=0,"OK","ERRO")</f>
        <v>OK</v>
      </c>
      <c r="X832" s="5" t="str">
        <f aca="false">VLOOKUP(F832,DIM_SERVICO!$A$2:$D$151,3,FALSE())</f>
        <v>Suspensão</v>
      </c>
    </row>
    <row r="833" customFormat="false" ht="15" hidden="false" customHeight="false" outlineLevel="0" collapsed="false">
      <c r="A833" s="6" t="n">
        <v>832</v>
      </c>
      <c r="B833" s="6" t="n">
        <v>907</v>
      </c>
      <c r="C833" s="6" t="n">
        <v>871</v>
      </c>
      <c r="D833" s="6" t="n">
        <v>1193</v>
      </c>
      <c r="E833" s="6" t="n">
        <v>291</v>
      </c>
      <c r="F833" s="6" t="n">
        <v>134</v>
      </c>
      <c r="G833" s="6" t="n">
        <v>1261</v>
      </c>
      <c r="H833" s="6" t="n">
        <v>3</v>
      </c>
      <c r="I833" s="7" t="n">
        <v>2364.99</v>
      </c>
      <c r="J833" s="7" t="n">
        <v>1364.67</v>
      </c>
      <c r="K833" s="7" t="n">
        <v>5730.64</v>
      </c>
      <c r="L833" s="7" t="n">
        <v>2675.55</v>
      </c>
      <c r="M833" s="6" t="n">
        <v>7.5</v>
      </c>
      <c r="N833" s="6" t="s">
        <v>24</v>
      </c>
      <c r="O833" s="8" t="n">
        <f aca="false">VLOOKUP(F833,DIM_SERVICO!$A$2:$D$151,4,FALSE())</f>
        <v>1364.67</v>
      </c>
      <c r="P833" s="8" t="n">
        <f aca="false">VLOOKUP(E833,DIM_PECA!$A$2:$F$501,6,FALSE())</f>
        <v>1555.86</v>
      </c>
      <c r="Q833" s="8" t="n">
        <f aca="false">VLOOKUP(E833,DIM_PECA!$A$2:$F$501,5,FALSE())</f>
        <v>788.33</v>
      </c>
      <c r="R833" s="8" t="n">
        <f aca="false">H833*P833</f>
        <v>4667.58</v>
      </c>
      <c r="S833" s="8" t="n">
        <f aca="false">O833*M833</f>
        <v>10235.025</v>
      </c>
      <c r="T833" s="8" t="n">
        <f aca="false">R833+S833</f>
        <v>14902.605</v>
      </c>
      <c r="U833" s="8" t="n">
        <f aca="false">T833-K833</f>
        <v>9171.965</v>
      </c>
      <c r="V833" s="8" t="n">
        <f aca="false">R833+S833-U833</f>
        <v>5730.64</v>
      </c>
      <c r="W833" s="9" t="str">
        <f aca="false">IF(ROUND(V833-K833,2)=0,"OK","ERRO")</f>
        <v>OK</v>
      </c>
      <c r="X833" s="9" t="str">
        <f aca="false">VLOOKUP(F833,DIM_SERVICO!$A$2:$D$151,3,FALSE())</f>
        <v>Elétrica</v>
      </c>
    </row>
    <row r="834" customFormat="false" ht="15" hidden="false" customHeight="false" outlineLevel="0" collapsed="false">
      <c r="A834" s="2" t="n">
        <v>833</v>
      </c>
      <c r="B834" s="2" t="n">
        <v>1323</v>
      </c>
      <c r="C834" s="2" t="n">
        <v>1103</v>
      </c>
      <c r="D834" s="2" t="n">
        <v>756</v>
      </c>
      <c r="E834" s="2" t="n">
        <v>121</v>
      </c>
      <c r="F834" s="2" t="n">
        <v>16</v>
      </c>
      <c r="G834" s="2" t="n">
        <v>1243</v>
      </c>
      <c r="H834" s="2" t="n">
        <v>4</v>
      </c>
      <c r="I834" s="3" t="n">
        <v>4515.16</v>
      </c>
      <c r="J834" s="3" t="n">
        <v>266.12</v>
      </c>
      <c r="K834" s="3" t="n">
        <v>6187.55</v>
      </c>
      <c r="L834" s="3" t="n">
        <v>1571.24</v>
      </c>
      <c r="M834" s="2" t="n">
        <v>4.2</v>
      </c>
      <c r="N834" s="2" t="s">
        <v>24</v>
      </c>
      <c r="O834" s="4" t="n">
        <f aca="false">VLOOKUP(F834,DIM_SERVICO!$A$2:$D$151,4,FALSE())</f>
        <v>266.12</v>
      </c>
      <c r="P834" s="4" t="n">
        <f aca="false">VLOOKUP(E834,DIM_PECA!$A$2:$F$501,6,FALSE())</f>
        <v>1614.87</v>
      </c>
      <c r="Q834" s="4" t="n">
        <f aca="false">VLOOKUP(E834,DIM_PECA!$A$2:$F$501,5,FALSE())</f>
        <v>1128.79</v>
      </c>
      <c r="R834" s="4" t="n">
        <f aca="false">H834*P834</f>
        <v>6459.48</v>
      </c>
      <c r="S834" s="4" t="n">
        <f aca="false">O834*M834</f>
        <v>1117.704</v>
      </c>
      <c r="T834" s="4" t="n">
        <f aca="false">R834+S834</f>
        <v>7577.184</v>
      </c>
      <c r="U834" s="4" t="n">
        <f aca="false">T834-K834</f>
        <v>1389.634</v>
      </c>
      <c r="V834" s="4" t="n">
        <f aca="false">R834+S834-U834</f>
        <v>6187.55</v>
      </c>
      <c r="W834" s="5" t="str">
        <f aca="false">IF(ROUND(V834-K834,2)=0,"OK","ERRO")</f>
        <v>OK</v>
      </c>
      <c r="X834" s="5" t="str">
        <f aca="false">VLOOKUP(F834,DIM_SERVICO!$A$2:$D$151,3,FALSE())</f>
        <v>Funilaria</v>
      </c>
    </row>
    <row r="835" customFormat="false" ht="15" hidden="false" customHeight="false" outlineLevel="0" collapsed="false">
      <c r="A835" s="6" t="n">
        <v>834</v>
      </c>
      <c r="B835" s="6" t="n">
        <v>730</v>
      </c>
      <c r="C835" s="6" t="n">
        <v>1286</v>
      </c>
      <c r="D835" s="6" t="n">
        <v>500</v>
      </c>
      <c r="E835" s="6" t="n">
        <v>63</v>
      </c>
      <c r="F835" s="6" t="n">
        <v>115</v>
      </c>
      <c r="G835" s="6" t="n">
        <v>1189</v>
      </c>
      <c r="H835" s="6" t="n">
        <v>2</v>
      </c>
      <c r="I835" s="7" t="n">
        <v>47.64</v>
      </c>
      <c r="J835" s="7" t="n">
        <v>1374.43</v>
      </c>
      <c r="K835" s="7" t="n">
        <v>1328.19</v>
      </c>
      <c r="L835" s="7" t="n">
        <v>570.58</v>
      </c>
      <c r="M835" s="6" t="n">
        <v>3.9</v>
      </c>
      <c r="N835" s="6" t="s">
        <v>25</v>
      </c>
      <c r="O835" s="8" t="n">
        <f aca="false">VLOOKUP(F835,DIM_SERVICO!$A$2:$D$151,4,FALSE())</f>
        <v>1374.43</v>
      </c>
      <c r="P835" s="8" t="n">
        <f aca="false">VLOOKUP(E835,DIM_PECA!$A$2:$F$501,6,FALSE())</f>
        <v>34.63</v>
      </c>
      <c r="Q835" s="8" t="n">
        <f aca="false">VLOOKUP(E835,DIM_PECA!$A$2:$F$501,5,FALSE())</f>
        <v>23.82</v>
      </c>
      <c r="R835" s="8" t="n">
        <f aca="false">H835*P835</f>
        <v>69.26</v>
      </c>
      <c r="S835" s="8" t="n">
        <f aca="false">O835*M835</f>
        <v>5360.277</v>
      </c>
      <c r="T835" s="8" t="n">
        <f aca="false">R835+S835</f>
        <v>5429.537</v>
      </c>
      <c r="U835" s="8" t="n">
        <f aca="false">T835-K835</f>
        <v>4101.347</v>
      </c>
      <c r="V835" s="8" t="n">
        <f aca="false">R835+S835-U835</f>
        <v>1328.19</v>
      </c>
      <c r="W835" s="9" t="str">
        <f aca="false">IF(ROUND(V835-K835,2)=0,"OK","ERRO")</f>
        <v>OK</v>
      </c>
      <c r="X835" s="9" t="str">
        <f aca="false">VLOOKUP(F835,DIM_SERVICO!$A$2:$D$151,3,FALSE())</f>
        <v>Suspensão</v>
      </c>
    </row>
    <row r="836" customFormat="false" ht="15" hidden="false" customHeight="false" outlineLevel="0" collapsed="false">
      <c r="A836" s="2" t="n">
        <v>835</v>
      </c>
      <c r="B836" s="2" t="n">
        <v>745</v>
      </c>
      <c r="C836" s="2" t="n">
        <v>450</v>
      </c>
      <c r="D836" s="2" t="n">
        <v>150</v>
      </c>
      <c r="E836" s="2" t="n">
        <v>160</v>
      </c>
      <c r="F836" s="2" t="n">
        <v>145</v>
      </c>
      <c r="G836" s="2" t="n">
        <v>1444</v>
      </c>
      <c r="H836" s="2" t="n">
        <v>1</v>
      </c>
      <c r="I836" s="3" t="n">
        <v>882.06</v>
      </c>
      <c r="J836" s="3" t="n">
        <v>392.14</v>
      </c>
      <c r="K836" s="3" t="n">
        <v>1660.59</v>
      </c>
      <c r="L836" s="3" t="n">
        <v>628.82</v>
      </c>
      <c r="M836" s="2" t="n">
        <v>4.6</v>
      </c>
      <c r="N836" s="2" t="s">
        <v>24</v>
      </c>
      <c r="O836" s="4" t="n">
        <f aca="false">VLOOKUP(F836,DIM_SERVICO!$A$2:$D$151,4,FALSE())</f>
        <v>392.14</v>
      </c>
      <c r="P836" s="4" t="n">
        <f aca="false">VLOOKUP(E836,DIM_PECA!$A$2:$F$501,6,FALSE())</f>
        <v>1268.45</v>
      </c>
      <c r="Q836" s="4" t="n">
        <f aca="false">VLOOKUP(E836,DIM_PECA!$A$2:$F$501,5,FALSE())</f>
        <v>882.06</v>
      </c>
      <c r="R836" s="4" t="n">
        <f aca="false">H836*P836</f>
        <v>1268.45</v>
      </c>
      <c r="S836" s="4" t="n">
        <f aca="false">O836*M836</f>
        <v>1803.844</v>
      </c>
      <c r="T836" s="4" t="n">
        <f aca="false">R836+S836</f>
        <v>3072.294</v>
      </c>
      <c r="U836" s="4" t="n">
        <f aca="false">T836-K836</f>
        <v>1411.704</v>
      </c>
      <c r="V836" s="4" t="n">
        <f aca="false">R836+S836-U836</f>
        <v>1660.59</v>
      </c>
      <c r="W836" s="5" t="str">
        <f aca="false">IF(ROUND(V836-K836,2)=0,"OK","ERRO")</f>
        <v>OK</v>
      </c>
      <c r="X836" s="5" t="str">
        <f aca="false">VLOOKUP(F836,DIM_SERVICO!$A$2:$D$151,3,FALSE())</f>
        <v>Revisão</v>
      </c>
    </row>
    <row r="837" customFormat="false" ht="15" hidden="false" customHeight="false" outlineLevel="0" collapsed="false">
      <c r="A837" s="6" t="n">
        <v>836</v>
      </c>
      <c r="B837" s="6" t="n">
        <v>551</v>
      </c>
      <c r="C837" s="6" t="n">
        <v>635</v>
      </c>
      <c r="D837" s="6" t="n">
        <v>61</v>
      </c>
      <c r="E837" s="6" t="n">
        <v>297</v>
      </c>
      <c r="F837" s="6" t="n">
        <v>103</v>
      </c>
      <c r="G837" s="6" t="n">
        <v>948</v>
      </c>
      <c r="H837" s="6" t="n">
        <v>4</v>
      </c>
      <c r="I837" s="7" t="n">
        <v>322.64</v>
      </c>
      <c r="J837" s="7" t="n">
        <v>96.61</v>
      </c>
      <c r="K837" s="7" t="n">
        <v>797.97</v>
      </c>
      <c r="L837" s="7" t="n">
        <v>435.5</v>
      </c>
      <c r="M837" s="6" t="n">
        <v>6.8</v>
      </c>
      <c r="N837" s="6" t="s">
        <v>24</v>
      </c>
      <c r="O837" s="8" t="n">
        <f aca="false">VLOOKUP(F837,DIM_SERVICO!$A$2:$D$151,4,FALSE())</f>
        <v>96.61</v>
      </c>
      <c r="P837" s="8" t="n">
        <f aca="false">VLOOKUP(E837,DIM_PECA!$A$2:$F$501,6,FALSE())</f>
        <v>175.34</v>
      </c>
      <c r="Q837" s="8" t="n">
        <f aca="false">VLOOKUP(E837,DIM_PECA!$A$2:$F$501,5,FALSE())</f>
        <v>80.66</v>
      </c>
      <c r="R837" s="8" t="n">
        <f aca="false">H837*P837</f>
        <v>701.36</v>
      </c>
      <c r="S837" s="8" t="n">
        <f aca="false">O837*M837</f>
        <v>656.948</v>
      </c>
      <c r="T837" s="8" t="n">
        <f aca="false">R837+S837</f>
        <v>1358.308</v>
      </c>
      <c r="U837" s="8" t="n">
        <f aca="false">T837-K837</f>
        <v>560.338</v>
      </c>
      <c r="V837" s="8" t="n">
        <f aca="false">R837+S837-U837</f>
        <v>797.97</v>
      </c>
      <c r="W837" s="9" t="str">
        <f aca="false">IF(ROUND(V837-K837,2)=0,"OK","ERRO")</f>
        <v>OK</v>
      </c>
      <c r="X837" s="9" t="str">
        <f aca="false">VLOOKUP(F837,DIM_SERVICO!$A$2:$D$151,3,FALSE())</f>
        <v>Revisão</v>
      </c>
    </row>
    <row r="838" customFormat="false" ht="15" hidden="false" customHeight="false" outlineLevel="0" collapsed="false">
      <c r="A838" s="2" t="n">
        <v>837</v>
      </c>
      <c r="B838" s="2" t="n">
        <v>154</v>
      </c>
      <c r="C838" s="2" t="n">
        <v>739</v>
      </c>
      <c r="D838" s="2" t="n">
        <v>889</v>
      </c>
      <c r="E838" s="2" t="n">
        <v>134</v>
      </c>
      <c r="F838" s="2" t="n">
        <v>9</v>
      </c>
      <c r="G838" s="2" t="n">
        <v>634</v>
      </c>
      <c r="H838" s="2" t="n">
        <v>1</v>
      </c>
      <c r="I838" s="3" t="n">
        <v>518.17</v>
      </c>
      <c r="J838" s="3" t="n">
        <v>1605.45</v>
      </c>
      <c r="K838" s="3" t="n">
        <v>2347.63</v>
      </c>
      <c r="L838" s="3" t="n">
        <v>1148.73</v>
      </c>
      <c r="M838" s="2" t="n">
        <v>8.2</v>
      </c>
      <c r="N838" s="2" t="s">
        <v>27</v>
      </c>
      <c r="O838" s="4" t="n">
        <f aca="false">VLOOKUP(F838,DIM_SERVICO!$A$2:$D$151,4,FALSE())</f>
        <v>1605.45</v>
      </c>
      <c r="P838" s="4" t="n">
        <f aca="false">VLOOKUP(E838,DIM_PECA!$A$2:$F$501,6,FALSE())</f>
        <v>1003.03</v>
      </c>
      <c r="Q838" s="4" t="n">
        <f aca="false">VLOOKUP(E838,DIM_PECA!$A$2:$F$501,5,FALSE())</f>
        <v>518.17</v>
      </c>
      <c r="R838" s="4" t="n">
        <f aca="false">H838*P838</f>
        <v>1003.03</v>
      </c>
      <c r="S838" s="4" t="n">
        <f aca="false">O838*M838</f>
        <v>13164.69</v>
      </c>
      <c r="T838" s="4" t="n">
        <f aca="false">R838+S838</f>
        <v>14167.72</v>
      </c>
      <c r="U838" s="4" t="n">
        <f aca="false">T838-K838</f>
        <v>11820.09</v>
      </c>
      <c r="V838" s="4" t="n">
        <f aca="false">R838+S838-U838</f>
        <v>2347.63</v>
      </c>
      <c r="W838" s="5" t="str">
        <f aca="false">IF(ROUND(V838-K838,2)=0,"OK","ERRO")</f>
        <v>OK</v>
      </c>
      <c r="X838" s="5" t="str">
        <f aca="false">VLOOKUP(F838,DIM_SERVICO!$A$2:$D$151,3,FALSE())</f>
        <v>Revisão</v>
      </c>
    </row>
    <row r="839" customFormat="false" ht="15" hidden="false" customHeight="false" outlineLevel="0" collapsed="false">
      <c r="A839" s="6" t="n">
        <v>838</v>
      </c>
      <c r="B839" s="6" t="n">
        <v>630</v>
      </c>
      <c r="C839" s="6" t="n">
        <v>994</v>
      </c>
      <c r="D839" s="6" t="n">
        <v>1141</v>
      </c>
      <c r="E839" s="6" t="n">
        <v>354</v>
      </c>
      <c r="F839" s="6" t="n">
        <v>120</v>
      </c>
      <c r="G839" s="6" t="n">
        <v>1619</v>
      </c>
      <c r="H839" s="6" t="n">
        <v>1</v>
      </c>
      <c r="I839" s="7" t="n">
        <v>303.71</v>
      </c>
      <c r="J839" s="7" t="n">
        <v>1729.81</v>
      </c>
      <c r="K839" s="7" t="n">
        <v>2350.55</v>
      </c>
      <c r="L839" s="7" t="n">
        <v>1314.03</v>
      </c>
      <c r="M839" s="6" t="n">
        <v>5.5</v>
      </c>
      <c r="N839" s="6" t="s">
        <v>24</v>
      </c>
      <c r="O839" s="8" t="n">
        <f aca="false">VLOOKUP(F839,DIM_SERVICO!$A$2:$D$151,4,FALSE())</f>
        <v>1729.81</v>
      </c>
      <c r="P839" s="8" t="n">
        <f aca="false">VLOOKUP(E839,DIM_PECA!$A$2:$F$501,6,FALSE())</f>
        <v>620.74</v>
      </c>
      <c r="Q839" s="8" t="n">
        <f aca="false">VLOOKUP(E839,DIM_PECA!$A$2:$F$501,5,FALSE())</f>
        <v>303.71</v>
      </c>
      <c r="R839" s="8" t="n">
        <f aca="false">H839*P839</f>
        <v>620.74</v>
      </c>
      <c r="S839" s="8" t="n">
        <f aca="false">O839*M839</f>
        <v>9513.955</v>
      </c>
      <c r="T839" s="8" t="n">
        <f aca="false">R839+S839</f>
        <v>10134.695</v>
      </c>
      <c r="U839" s="8" t="n">
        <f aca="false">T839-K839</f>
        <v>7784.145</v>
      </c>
      <c r="V839" s="8" t="n">
        <f aca="false">R839+S839-U839</f>
        <v>2350.55</v>
      </c>
      <c r="W839" s="9" t="str">
        <f aca="false">IF(ROUND(V839-K839,2)=0,"OK","ERRO")</f>
        <v>OK</v>
      </c>
      <c r="X839" s="9" t="str">
        <f aca="false">VLOOKUP(F839,DIM_SERVICO!$A$2:$D$151,3,FALSE())</f>
        <v>Suspensão</v>
      </c>
    </row>
    <row r="840" customFormat="false" ht="15" hidden="false" customHeight="false" outlineLevel="0" collapsed="false">
      <c r="A840" s="2" t="n">
        <v>839</v>
      </c>
      <c r="B840" s="2" t="n">
        <v>236</v>
      </c>
      <c r="C840" s="2" t="n">
        <v>475</v>
      </c>
      <c r="D840" s="2" t="n">
        <v>90</v>
      </c>
      <c r="E840" s="2" t="n">
        <v>494</v>
      </c>
      <c r="F840" s="2" t="n">
        <v>116</v>
      </c>
      <c r="G840" s="2" t="n">
        <v>1617</v>
      </c>
      <c r="H840" s="2" t="n">
        <v>4</v>
      </c>
      <c r="I840" s="3" t="n">
        <v>3836.84</v>
      </c>
      <c r="J840" s="3" t="n">
        <v>1593.06</v>
      </c>
      <c r="K840" s="3" t="n">
        <v>7316.01</v>
      </c>
      <c r="L840" s="3" t="n">
        <v>2662.91</v>
      </c>
      <c r="M840" s="2" t="n">
        <v>4.2</v>
      </c>
      <c r="N840" s="2" t="s">
        <v>24</v>
      </c>
      <c r="O840" s="4" t="n">
        <f aca="false">VLOOKUP(F840,DIM_SERVICO!$A$2:$D$151,4,FALSE())</f>
        <v>1593.06</v>
      </c>
      <c r="P840" s="4" t="n">
        <f aca="false">VLOOKUP(E840,DIM_PECA!$A$2:$F$501,6,FALSE())</f>
        <v>1527</v>
      </c>
      <c r="Q840" s="4" t="n">
        <f aca="false">VLOOKUP(E840,DIM_PECA!$A$2:$F$501,5,FALSE())</f>
        <v>959.21</v>
      </c>
      <c r="R840" s="4" t="n">
        <f aca="false">H840*P840</f>
        <v>6108</v>
      </c>
      <c r="S840" s="4" t="n">
        <f aca="false">O840*M840</f>
        <v>6690.852</v>
      </c>
      <c r="T840" s="4" t="n">
        <f aca="false">R840+S840</f>
        <v>12798.852</v>
      </c>
      <c r="U840" s="4" t="n">
        <f aca="false">T840-K840</f>
        <v>5482.842</v>
      </c>
      <c r="V840" s="4" t="n">
        <f aca="false">R840+S840-U840</f>
        <v>7316.01</v>
      </c>
      <c r="W840" s="5" t="str">
        <f aca="false">IF(ROUND(V840-K840,2)=0,"OK","ERRO")</f>
        <v>OK</v>
      </c>
      <c r="X840" s="5" t="str">
        <f aca="false">VLOOKUP(F840,DIM_SERVICO!$A$2:$D$151,3,FALSE())</f>
        <v>Motor</v>
      </c>
    </row>
    <row r="841" customFormat="false" ht="15" hidden="false" customHeight="false" outlineLevel="0" collapsed="false">
      <c r="A841" s="6" t="n">
        <v>840</v>
      </c>
      <c r="B841" s="6" t="n">
        <v>1294</v>
      </c>
      <c r="C841" s="6" t="n">
        <v>1367</v>
      </c>
      <c r="D841" s="6" t="n">
        <v>1156</v>
      </c>
      <c r="E841" s="6" t="n">
        <v>1</v>
      </c>
      <c r="F841" s="6" t="n">
        <v>150</v>
      </c>
      <c r="G841" s="6" t="n">
        <v>58</v>
      </c>
      <c r="H841" s="6" t="n">
        <v>4</v>
      </c>
      <c r="I841" s="7" t="n">
        <v>3976.08</v>
      </c>
      <c r="J841" s="7" t="n">
        <v>1370.46</v>
      </c>
      <c r="K841" s="7" t="n">
        <v>6736.77</v>
      </c>
      <c r="L841" s="7" t="n">
        <v>2101.34</v>
      </c>
      <c r="M841" s="6" t="n">
        <v>9.9</v>
      </c>
      <c r="N841" s="6" t="s">
        <v>26</v>
      </c>
      <c r="O841" s="8" t="n">
        <f aca="false">VLOOKUP(F841,DIM_SERVICO!$A$2:$D$151,4,FALSE())</f>
        <v>1370.46</v>
      </c>
      <c r="P841" s="8" t="n">
        <f aca="false">VLOOKUP(E841,DIM_PECA!$A$2:$F$501,6,FALSE())</f>
        <v>1488.03</v>
      </c>
      <c r="Q841" s="8" t="n">
        <f aca="false">VLOOKUP(E841,DIM_PECA!$A$2:$F$501,5,FALSE())</f>
        <v>994.02</v>
      </c>
      <c r="R841" s="8" t="n">
        <f aca="false">H841*P841</f>
        <v>5952.12</v>
      </c>
      <c r="S841" s="8" t="n">
        <f aca="false">O841*M841</f>
        <v>13567.554</v>
      </c>
      <c r="T841" s="8" t="n">
        <f aca="false">R841+S841</f>
        <v>19519.674</v>
      </c>
      <c r="U841" s="8" t="n">
        <f aca="false">T841-K841</f>
        <v>12782.904</v>
      </c>
      <c r="V841" s="8" t="n">
        <f aca="false">R841+S841-U841</f>
        <v>6736.77</v>
      </c>
      <c r="W841" s="9" t="str">
        <f aca="false">IF(ROUND(V841-K841,2)=0,"OK","ERRO")</f>
        <v>OK</v>
      </c>
      <c r="X841" s="9" t="str">
        <f aca="false">VLOOKUP(F841,DIM_SERVICO!$A$2:$D$151,3,FALSE())</f>
        <v>Revisão</v>
      </c>
    </row>
    <row r="842" customFormat="false" ht="15" hidden="false" customHeight="false" outlineLevel="0" collapsed="false">
      <c r="A842" s="2" t="n">
        <v>841</v>
      </c>
      <c r="B842" s="2" t="n">
        <v>1300</v>
      </c>
      <c r="C842" s="2" t="n">
        <v>202</v>
      </c>
      <c r="D842" s="2" t="n">
        <v>1108</v>
      </c>
      <c r="E842" s="2" t="n">
        <v>436</v>
      </c>
      <c r="F842" s="2" t="n">
        <v>73</v>
      </c>
      <c r="G842" s="2" t="n">
        <v>48</v>
      </c>
      <c r="H842" s="2" t="n">
        <v>4</v>
      </c>
      <c r="I842" s="3" t="n">
        <v>2094.28</v>
      </c>
      <c r="J842" s="3" t="n">
        <v>2131.99</v>
      </c>
      <c r="K842" s="3" t="n">
        <v>5097.79</v>
      </c>
      <c r="L842" s="3" t="n">
        <v>1904.87</v>
      </c>
      <c r="M842" s="2" t="n">
        <v>3.7</v>
      </c>
      <c r="N842" s="2" t="s">
        <v>24</v>
      </c>
      <c r="O842" s="4" t="n">
        <f aca="false">VLOOKUP(F842,DIM_SERVICO!$A$2:$D$151,4,FALSE())</f>
        <v>2131.99</v>
      </c>
      <c r="P842" s="4" t="n">
        <f aca="false">VLOOKUP(E842,DIM_PECA!$A$2:$F$501,6,FALSE())</f>
        <v>741.45</v>
      </c>
      <c r="Q842" s="4" t="n">
        <f aca="false">VLOOKUP(E842,DIM_PECA!$A$2:$F$501,5,FALSE())</f>
        <v>523.57</v>
      </c>
      <c r="R842" s="4" t="n">
        <f aca="false">H842*P842</f>
        <v>2965.8</v>
      </c>
      <c r="S842" s="4" t="n">
        <f aca="false">O842*M842</f>
        <v>7888.363</v>
      </c>
      <c r="T842" s="4" t="n">
        <f aca="false">R842+S842</f>
        <v>10854.163</v>
      </c>
      <c r="U842" s="4" t="n">
        <f aca="false">T842-K842</f>
        <v>5756.373</v>
      </c>
      <c r="V842" s="4" t="n">
        <f aca="false">R842+S842-U842</f>
        <v>5097.79</v>
      </c>
      <c r="W842" s="5" t="str">
        <f aca="false">IF(ROUND(V842-K842,2)=0,"OK","ERRO")</f>
        <v>OK</v>
      </c>
      <c r="X842" s="5" t="str">
        <f aca="false">VLOOKUP(F842,DIM_SERVICO!$A$2:$D$151,3,FALSE())</f>
        <v>Suspensão</v>
      </c>
    </row>
    <row r="843" customFormat="false" ht="15" hidden="false" customHeight="false" outlineLevel="0" collapsed="false">
      <c r="A843" s="6" t="n">
        <v>842</v>
      </c>
      <c r="B843" s="6" t="n">
        <v>744</v>
      </c>
      <c r="C843" s="6" t="n">
        <v>836</v>
      </c>
      <c r="D843" s="6" t="n">
        <v>188</v>
      </c>
      <c r="E843" s="6" t="n">
        <v>186</v>
      </c>
      <c r="F843" s="6" t="n">
        <v>11</v>
      </c>
      <c r="G843" s="6" t="n">
        <v>557</v>
      </c>
      <c r="H843" s="6" t="n">
        <v>1</v>
      </c>
      <c r="I843" s="7" t="n">
        <v>290.33</v>
      </c>
      <c r="J843" s="7" t="n">
        <v>2164.78</v>
      </c>
      <c r="K843" s="7" t="n">
        <v>2577.51</v>
      </c>
      <c r="L843" s="7" t="n">
        <v>1208.93</v>
      </c>
      <c r="M843" s="6" t="n">
        <v>1.1</v>
      </c>
      <c r="N843" s="6" t="s">
        <v>24</v>
      </c>
      <c r="O843" s="8" t="n">
        <f aca="false">VLOOKUP(F843,DIM_SERVICO!$A$2:$D$151,4,FALSE())</f>
        <v>2164.78</v>
      </c>
      <c r="P843" s="8" t="n">
        <f aca="false">VLOOKUP(E843,DIM_PECA!$A$2:$F$501,6,FALSE())</f>
        <v>636.86</v>
      </c>
      <c r="Q843" s="8" t="n">
        <f aca="false">VLOOKUP(E843,DIM_PECA!$A$2:$F$501,5,FALSE())</f>
        <v>290.33</v>
      </c>
      <c r="R843" s="8" t="n">
        <f aca="false">H843*P843</f>
        <v>636.86</v>
      </c>
      <c r="S843" s="8" t="n">
        <f aca="false">O843*M843</f>
        <v>2381.258</v>
      </c>
      <c r="T843" s="8" t="n">
        <f aca="false">R843+S843</f>
        <v>3018.118</v>
      </c>
      <c r="U843" s="8" t="n">
        <f aca="false">T843-K843</f>
        <v>440.608</v>
      </c>
      <c r="V843" s="8" t="n">
        <f aca="false">R843+S843-U843</f>
        <v>2577.51</v>
      </c>
      <c r="W843" s="9" t="str">
        <f aca="false">IF(ROUND(V843-K843,2)=0,"OK","ERRO")</f>
        <v>OK</v>
      </c>
      <c r="X843" s="9" t="str">
        <f aca="false">VLOOKUP(F843,DIM_SERVICO!$A$2:$D$151,3,FALSE())</f>
        <v>Freios</v>
      </c>
    </row>
    <row r="844" customFormat="false" ht="15" hidden="false" customHeight="false" outlineLevel="0" collapsed="false">
      <c r="A844" s="2" t="n">
        <v>843</v>
      </c>
      <c r="B844" s="2" t="n">
        <v>233</v>
      </c>
      <c r="C844" s="2" t="n">
        <v>314</v>
      </c>
      <c r="D844" s="2" t="n">
        <v>1006</v>
      </c>
      <c r="E844" s="2" t="n">
        <v>78</v>
      </c>
      <c r="F844" s="2" t="n">
        <v>36</v>
      </c>
      <c r="G844" s="2" t="n">
        <v>108</v>
      </c>
      <c r="H844" s="2" t="n">
        <v>2</v>
      </c>
      <c r="I844" s="3" t="n">
        <v>2368.54</v>
      </c>
      <c r="J844" s="3" t="n">
        <v>1564.33</v>
      </c>
      <c r="K844" s="3" t="n">
        <v>4411.99</v>
      </c>
      <c r="L844" s="3" t="n">
        <v>1396.53</v>
      </c>
      <c r="M844" s="2" t="n">
        <v>8.5</v>
      </c>
      <c r="N844" s="2" t="s">
        <v>26</v>
      </c>
      <c r="O844" s="4" t="n">
        <f aca="false">VLOOKUP(F844,DIM_SERVICO!$A$2:$D$151,4,FALSE())</f>
        <v>1564.33</v>
      </c>
      <c r="P844" s="4" t="n">
        <f aca="false">VLOOKUP(E844,DIM_PECA!$A$2:$F$501,6,FALSE())</f>
        <v>1668.94</v>
      </c>
      <c r="Q844" s="4" t="n">
        <f aca="false">VLOOKUP(E844,DIM_PECA!$A$2:$F$501,5,FALSE())</f>
        <v>1184.27</v>
      </c>
      <c r="R844" s="4" t="n">
        <f aca="false">H844*P844</f>
        <v>3337.88</v>
      </c>
      <c r="S844" s="4" t="n">
        <f aca="false">O844*M844</f>
        <v>13296.805</v>
      </c>
      <c r="T844" s="4" t="n">
        <f aca="false">R844+S844</f>
        <v>16634.685</v>
      </c>
      <c r="U844" s="4" t="n">
        <f aca="false">T844-K844</f>
        <v>12222.695</v>
      </c>
      <c r="V844" s="4" t="n">
        <f aca="false">R844+S844-U844</f>
        <v>4411.99</v>
      </c>
      <c r="W844" s="5" t="str">
        <f aca="false">IF(ROUND(V844-K844,2)=0,"OK","ERRO")</f>
        <v>OK</v>
      </c>
      <c r="X844" s="5" t="str">
        <f aca="false">VLOOKUP(F844,DIM_SERVICO!$A$2:$D$151,3,FALSE())</f>
        <v>Pintura</v>
      </c>
    </row>
    <row r="845" customFormat="false" ht="15" hidden="false" customHeight="false" outlineLevel="0" collapsed="false">
      <c r="A845" s="6" t="n">
        <v>844</v>
      </c>
      <c r="B845" s="6" t="n">
        <v>326</v>
      </c>
      <c r="C845" s="6" t="n">
        <v>1267</v>
      </c>
      <c r="D845" s="6" t="n">
        <v>57</v>
      </c>
      <c r="E845" s="6" t="n">
        <v>3</v>
      </c>
      <c r="F845" s="6" t="n">
        <v>46</v>
      </c>
      <c r="G845" s="6" t="n">
        <v>1199</v>
      </c>
      <c r="H845" s="6" t="n">
        <v>3</v>
      </c>
      <c r="I845" s="7" t="n">
        <v>177.15</v>
      </c>
      <c r="J845" s="7" t="n">
        <v>1282.78</v>
      </c>
      <c r="K845" s="7" t="n">
        <v>1566.61</v>
      </c>
      <c r="L845" s="7" t="n">
        <v>924.06</v>
      </c>
      <c r="M845" s="6" t="n">
        <v>1.6</v>
      </c>
      <c r="N845" s="6" t="s">
        <v>27</v>
      </c>
      <c r="O845" s="8" t="n">
        <f aca="false">VLOOKUP(F845,DIM_SERVICO!$A$2:$D$151,4,FALSE())</f>
        <v>1282.78</v>
      </c>
      <c r="P845" s="8" t="n">
        <f aca="false">VLOOKUP(E845,DIM_PECA!$A$2:$F$501,6,FALSE())</f>
        <v>94.61</v>
      </c>
      <c r="Q845" s="8" t="n">
        <f aca="false">VLOOKUP(E845,DIM_PECA!$A$2:$F$501,5,FALSE())</f>
        <v>59.05</v>
      </c>
      <c r="R845" s="8" t="n">
        <f aca="false">H845*P845</f>
        <v>283.83</v>
      </c>
      <c r="S845" s="8" t="n">
        <f aca="false">O845*M845</f>
        <v>2052.448</v>
      </c>
      <c r="T845" s="8" t="n">
        <f aca="false">R845+S845</f>
        <v>2336.278</v>
      </c>
      <c r="U845" s="8" t="n">
        <f aca="false">T845-K845</f>
        <v>769.668</v>
      </c>
      <c r="V845" s="8" t="n">
        <f aca="false">R845+S845-U845</f>
        <v>1566.61</v>
      </c>
      <c r="W845" s="9" t="str">
        <f aca="false">IF(ROUND(V845-K845,2)=0,"OK","ERRO")</f>
        <v>OK</v>
      </c>
      <c r="X845" s="9" t="str">
        <f aca="false">VLOOKUP(F845,DIM_SERVICO!$A$2:$D$151,3,FALSE())</f>
        <v>Revisão</v>
      </c>
    </row>
    <row r="846" customFormat="false" ht="15" hidden="false" customHeight="false" outlineLevel="0" collapsed="false">
      <c r="A846" s="2" t="n">
        <v>845</v>
      </c>
      <c r="B846" s="2" t="n">
        <v>623</v>
      </c>
      <c r="C846" s="2" t="n">
        <v>904</v>
      </c>
      <c r="D846" s="2" t="n">
        <v>460</v>
      </c>
      <c r="E846" s="2" t="n">
        <v>463</v>
      </c>
      <c r="F846" s="2" t="n">
        <v>115</v>
      </c>
      <c r="G846" s="2" t="n">
        <v>362</v>
      </c>
      <c r="H846" s="2" t="n">
        <v>1</v>
      </c>
      <c r="I846" s="3" t="n">
        <v>271.17</v>
      </c>
      <c r="J846" s="3" t="n">
        <v>1374.43</v>
      </c>
      <c r="K846" s="3" t="n">
        <v>1621.64</v>
      </c>
      <c r="L846" s="3" t="n">
        <v>773.91</v>
      </c>
      <c r="M846" s="2" t="n">
        <v>4.2</v>
      </c>
      <c r="N846" s="2" t="s">
        <v>24</v>
      </c>
      <c r="O846" s="4" t="n">
        <f aca="false">VLOOKUP(F846,DIM_SERVICO!$A$2:$D$151,4,FALSE())</f>
        <v>1374.43</v>
      </c>
      <c r="P846" s="4" t="n">
        <f aca="false">VLOOKUP(E846,DIM_PECA!$A$2:$F$501,6,FALSE())</f>
        <v>388.22</v>
      </c>
      <c r="Q846" s="4" t="n">
        <f aca="false">VLOOKUP(E846,DIM_PECA!$A$2:$F$501,5,FALSE())</f>
        <v>271.17</v>
      </c>
      <c r="R846" s="4" t="n">
        <f aca="false">H846*P846</f>
        <v>388.22</v>
      </c>
      <c r="S846" s="4" t="n">
        <f aca="false">O846*M846</f>
        <v>5772.606</v>
      </c>
      <c r="T846" s="4" t="n">
        <f aca="false">R846+S846</f>
        <v>6160.826</v>
      </c>
      <c r="U846" s="4" t="n">
        <f aca="false">T846-K846</f>
        <v>4539.186</v>
      </c>
      <c r="V846" s="4" t="n">
        <f aca="false">R846+S846-U846</f>
        <v>1621.64</v>
      </c>
      <c r="W846" s="5" t="str">
        <f aca="false">IF(ROUND(V846-K846,2)=0,"OK","ERRO")</f>
        <v>OK</v>
      </c>
      <c r="X846" s="5" t="str">
        <f aca="false">VLOOKUP(F846,DIM_SERVICO!$A$2:$D$151,3,FALSE())</f>
        <v>Suspensão</v>
      </c>
    </row>
    <row r="847" customFormat="false" ht="15" hidden="false" customHeight="false" outlineLevel="0" collapsed="false">
      <c r="A847" s="6" t="n">
        <v>846</v>
      </c>
      <c r="B847" s="6" t="n">
        <v>1441</v>
      </c>
      <c r="C847" s="6" t="n">
        <v>493</v>
      </c>
      <c r="D847" s="6" t="n">
        <v>869</v>
      </c>
      <c r="E847" s="6" t="n">
        <v>259</v>
      </c>
      <c r="F847" s="6" t="n">
        <v>49</v>
      </c>
      <c r="G847" s="6" t="n">
        <v>1422</v>
      </c>
      <c r="H847" s="6" t="n">
        <v>1</v>
      </c>
      <c r="I847" s="7" t="n">
        <v>512.01</v>
      </c>
      <c r="J847" s="7" t="n">
        <v>1883.63</v>
      </c>
      <c r="K847" s="7" t="n">
        <v>2733.9</v>
      </c>
      <c r="L847" s="7" t="n">
        <v>1331.61</v>
      </c>
      <c r="M847" s="6" t="n">
        <v>4.5</v>
      </c>
      <c r="N847" s="6" t="s">
        <v>24</v>
      </c>
      <c r="O847" s="8" t="n">
        <f aca="false">VLOOKUP(F847,DIM_SERVICO!$A$2:$D$151,4,FALSE())</f>
        <v>1883.63</v>
      </c>
      <c r="P847" s="8" t="n">
        <f aca="false">VLOOKUP(E847,DIM_PECA!$A$2:$F$501,6,FALSE())</f>
        <v>850.27</v>
      </c>
      <c r="Q847" s="8" t="n">
        <f aca="false">VLOOKUP(E847,DIM_PECA!$A$2:$F$501,5,FALSE())</f>
        <v>512.01</v>
      </c>
      <c r="R847" s="8" t="n">
        <f aca="false">H847*P847</f>
        <v>850.27</v>
      </c>
      <c r="S847" s="8" t="n">
        <f aca="false">O847*M847</f>
        <v>8476.335</v>
      </c>
      <c r="T847" s="8" t="n">
        <f aca="false">R847+S847</f>
        <v>9326.605</v>
      </c>
      <c r="U847" s="8" t="n">
        <f aca="false">T847-K847</f>
        <v>6592.705</v>
      </c>
      <c r="V847" s="8" t="n">
        <f aca="false">R847+S847-U847</f>
        <v>2733.9</v>
      </c>
      <c r="W847" s="9" t="str">
        <f aca="false">IF(ROUND(V847-K847,2)=0,"OK","ERRO")</f>
        <v>OK</v>
      </c>
      <c r="X847" s="9" t="str">
        <f aca="false">VLOOKUP(F847,DIM_SERVICO!$A$2:$D$151,3,FALSE())</f>
        <v>Suspensão</v>
      </c>
    </row>
    <row r="848" customFormat="false" ht="15" hidden="false" customHeight="false" outlineLevel="0" collapsed="false">
      <c r="A848" s="2" t="n">
        <v>847</v>
      </c>
      <c r="B848" s="2" t="n">
        <v>686</v>
      </c>
      <c r="C848" s="2" t="n">
        <v>1439</v>
      </c>
      <c r="D848" s="2" t="n">
        <v>530</v>
      </c>
      <c r="E848" s="2" t="n">
        <v>161</v>
      </c>
      <c r="F848" s="2" t="n">
        <v>97</v>
      </c>
      <c r="G848" s="2" t="n">
        <v>1115</v>
      </c>
      <c r="H848" s="2" t="n">
        <v>3</v>
      </c>
      <c r="I848" s="3" t="n">
        <v>2969.97</v>
      </c>
      <c r="J848" s="3" t="n">
        <v>1095.32</v>
      </c>
      <c r="K848" s="3" t="n">
        <v>5423.12</v>
      </c>
      <c r="L848" s="3" t="n">
        <v>2039.91</v>
      </c>
      <c r="M848" s="2" t="n">
        <v>3.2</v>
      </c>
      <c r="N848" s="2" t="s">
        <v>24</v>
      </c>
      <c r="O848" s="4" t="n">
        <f aca="false">VLOOKUP(F848,DIM_SERVICO!$A$2:$D$151,4,FALSE())</f>
        <v>1095.32</v>
      </c>
      <c r="P848" s="4" t="n">
        <f aca="false">VLOOKUP(E848,DIM_PECA!$A$2:$F$501,6,FALSE())</f>
        <v>1442.6</v>
      </c>
      <c r="Q848" s="4" t="n">
        <f aca="false">VLOOKUP(E848,DIM_PECA!$A$2:$F$501,5,FALSE())</f>
        <v>989.99</v>
      </c>
      <c r="R848" s="4" t="n">
        <f aca="false">H848*P848</f>
        <v>4327.8</v>
      </c>
      <c r="S848" s="4" t="n">
        <f aca="false">O848*M848</f>
        <v>3505.024</v>
      </c>
      <c r="T848" s="4" t="n">
        <f aca="false">R848+S848</f>
        <v>7832.824</v>
      </c>
      <c r="U848" s="4" t="n">
        <f aca="false">T848-K848</f>
        <v>2409.704</v>
      </c>
      <c r="V848" s="4" t="n">
        <f aca="false">R848+S848-U848</f>
        <v>5423.12</v>
      </c>
      <c r="W848" s="5" t="str">
        <f aca="false">IF(ROUND(V848-K848,2)=0,"OK","ERRO")</f>
        <v>OK</v>
      </c>
      <c r="X848" s="5" t="str">
        <f aca="false">VLOOKUP(F848,DIM_SERVICO!$A$2:$D$151,3,FALSE())</f>
        <v>Pintura</v>
      </c>
    </row>
    <row r="849" customFormat="false" ht="15" hidden="false" customHeight="false" outlineLevel="0" collapsed="false">
      <c r="A849" s="6" t="n">
        <v>848</v>
      </c>
      <c r="B849" s="6" t="n">
        <v>780</v>
      </c>
      <c r="C849" s="6" t="n">
        <v>432</v>
      </c>
      <c r="D849" s="6" t="n">
        <v>446</v>
      </c>
      <c r="E849" s="6" t="n">
        <v>398</v>
      </c>
      <c r="F849" s="6" t="n">
        <v>143</v>
      </c>
      <c r="G849" s="6" t="n">
        <v>1115</v>
      </c>
      <c r="H849" s="6" t="n">
        <v>3</v>
      </c>
      <c r="I849" s="7" t="n">
        <v>3054.21</v>
      </c>
      <c r="J849" s="7" t="n">
        <v>1722.21</v>
      </c>
      <c r="K849" s="7" t="n">
        <v>6795.42</v>
      </c>
      <c r="L849" s="7" t="n">
        <v>2839.97</v>
      </c>
      <c r="M849" s="6" t="n">
        <v>1.3</v>
      </c>
      <c r="N849" s="6" t="s">
        <v>24</v>
      </c>
      <c r="O849" s="8" t="n">
        <f aca="false">VLOOKUP(F849,DIM_SERVICO!$A$2:$D$151,4,FALSE())</f>
        <v>1722.21</v>
      </c>
      <c r="P849" s="8" t="n">
        <f aca="false">VLOOKUP(E849,DIM_PECA!$A$2:$F$501,6,FALSE())</f>
        <v>1888.04</v>
      </c>
      <c r="Q849" s="8" t="n">
        <f aca="false">VLOOKUP(E849,DIM_PECA!$A$2:$F$501,5,FALSE())</f>
        <v>1018.07</v>
      </c>
      <c r="R849" s="8" t="n">
        <f aca="false">H849*P849</f>
        <v>5664.12</v>
      </c>
      <c r="S849" s="8" t="n">
        <f aca="false">O849*M849</f>
        <v>2238.873</v>
      </c>
      <c r="T849" s="8" t="n">
        <f aca="false">R849+S849</f>
        <v>7902.993</v>
      </c>
      <c r="U849" s="8" t="n">
        <f aca="false">T849-K849</f>
        <v>1107.573</v>
      </c>
      <c r="V849" s="8" t="n">
        <f aca="false">R849+S849-U849</f>
        <v>6795.42</v>
      </c>
      <c r="W849" s="9" t="str">
        <f aca="false">IF(ROUND(V849-K849,2)=0,"OK","ERRO")</f>
        <v>OK</v>
      </c>
      <c r="X849" s="9" t="str">
        <f aca="false">VLOOKUP(F849,DIM_SERVICO!$A$2:$D$151,3,FALSE())</f>
        <v>Suspensão</v>
      </c>
    </row>
    <row r="850" customFormat="false" ht="15" hidden="false" customHeight="false" outlineLevel="0" collapsed="false">
      <c r="A850" s="2" t="n">
        <v>849</v>
      </c>
      <c r="B850" s="2" t="n">
        <v>406</v>
      </c>
      <c r="C850" s="2" t="n">
        <v>87</v>
      </c>
      <c r="D850" s="2" t="n">
        <v>383</v>
      </c>
      <c r="E850" s="2" t="n">
        <v>366</v>
      </c>
      <c r="F850" s="2" t="n">
        <v>75</v>
      </c>
      <c r="G850" s="2" t="n">
        <v>1150</v>
      </c>
      <c r="H850" s="2" t="n">
        <v>2</v>
      </c>
      <c r="I850" s="3" t="n">
        <v>1277.96</v>
      </c>
      <c r="J850" s="3" t="n">
        <v>1549.88</v>
      </c>
      <c r="K850" s="3" t="n">
        <v>3374.06</v>
      </c>
      <c r="L850" s="3" t="n">
        <v>1537.19</v>
      </c>
      <c r="M850" s="2" t="n">
        <v>3.9</v>
      </c>
      <c r="N850" s="2" t="s">
        <v>24</v>
      </c>
      <c r="O850" s="4" t="n">
        <f aca="false">VLOOKUP(F850,DIM_SERVICO!$A$2:$D$151,4,FALSE())</f>
        <v>1549.88</v>
      </c>
      <c r="P850" s="4" t="n">
        <f aca="false">VLOOKUP(E850,DIM_PECA!$A$2:$F$501,6,FALSE())</f>
        <v>1099.54</v>
      </c>
      <c r="Q850" s="4" t="n">
        <f aca="false">VLOOKUP(E850,DIM_PECA!$A$2:$F$501,5,FALSE())</f>
        <v>638.98</v>
      </c>
      <c r="R850" s="4" t="n">
        <f aca="false">H850*P850</f>
        <v>2199.08</v>
      </c>
      <c r="S850" s="4" t="n">
        <f aca="false">O850*M850</f>
        <v>6044.532</v>
      </c>
      <c r="T850" s="4" t="n">
        <f aca="false">R850+S850</f>
        <v>8243.612</v>
      </c>
      <c r="U850" s="4" t="n">
        <f aca="false">T850-K850</f>
        <v>4869.552</v>
      </c>
      <c r="V850" s="4" t="n">
        <f aca="false">R850+S850-U850</f>
        <v>3374.06</v>
      </c>
      <c r="W850" s="5" t="str">
        <f aca="false">IF(ROUND(V850-K850,2)=0,"OK","ERRO")</f>
        <v>OK</v>
      </c>
      <c r="X850" s="5" t="str">
        <f aca="false">VLOOKUP(F850,DIM_SERVICO!$A$2:$D$151,3,FALSE())</f>
        <v>Freios</v>
      </c>
    </row>
    <row r="851" customFormat="false" ht="15" hidden="false" customHeight="false" outlineLevel="0" collapsed="false">
      <c r="A851" s="6" t="n">
        <v>850</v>
      </c>
      <c r="B851" s="6" t="n">
        <v>285</v>
      </c>
      <c r="C851" s="6" t="n">
        <v>427</v>
      </c>
      <c r="D851" s="6" t="n">
        <v>76</v>
      </c>
      <c r="E851" s="6" t="n">
        <v>61</v>
      </c>
      <c r="F851" s="6" t="n">
        <v>109</v>
      </c>
      <c r="G851" s="6" t="n">
        <v>1628</v>
      </c>
      <c r="H851" s="6" t="n">
        <v>1</v>
      </c>
      <c r="I851" s="7" t="n">
        <v>1133.56</v>
      </c>
      <c r="J851" s="7" t="n">
        <v>1418.47</v>
      </c>
      <c r="K851" s="7" t="n">
        <v>3507.96</v>
      </c>
      <c r="L851" s="7" t="n">
        <v>1690.18</v>
      </c>
      <c r="M851" s="6" t="n">
        <v>3.4</v>
      </c>
      <c r="N851" s="6" t="s">
        <v>26</v>
      </c>
      <c r="O851" s="8" t="n">
        <f aca="false">VLOOKUP(F851,DIM_SERVICO!$A$2:$D$151,4,FALSE())</f>
        <v>1418.47</v>
      </c>
      <c r="P851" s="8" t="n">
        <f aca="false">VLOOKUP(E851,DIM_PECA!$A$2:$F$501,6,FALSE())</f>
        <v>2161.08</v>
      </c>
      <c r="Q851" s="8" t="n">
        <f aca="false">VLOOKUP(E851,DIM_PECA!$A$2:$F$501,5,FALSE())</f>
        <v>1133.56</v>
      </c>
      <c r="R851" s="8" t="n">
        <f aca="false">H851*P851</f>
        <v>2161.08</v>
      </c>
      <c r="S851" s="8" t="n">
        <f aca="false">O851*M851</f>
        <v>4822.798</v>
      </c>
      <c r="T851" s="8" t="n">
        <f aca="false">R851+S851</f>
        <v>6983.878</v>
      </c>
      <c r="U851" s="8" t="n">
        <f aca="false">T851-K851</f>
        <v>3475.918</v>
      </c>
      <c r="V851" s="8" t="n">
        <f aca="false">R851+S851-U851</f>
        <v>3507.96</v>
      </c>
      <c r="W851" s="9" t="str">
        <f aca="false">IF(ROUND(V851-K851,2)=0,"OK","ERRO")</f>
        <v>OK</v>
      </c>
      <c r="X851" s="9" t="str">
        <f aca="false">VLOOKUP(F851,DIM_SERVICO!$A$2:$D$151,3,FALSE())</f>
        <v>Pintura</v>
      </c>
    </row>
    <row r="852" customFormat="false" ht="15" hidden="false" customHeight="false" outlineLevel="0" collapsed="false">
      <c r="A852" s="2" t="n">
        <v>851</v>
      </c>
      <c r="B852" s="2" t="n">
        <v>110</v>
      </c>
      <c r="C852" s="2" t="n">
        <v>539</v>
      </c>
      <c r="D852" s="2" t="n">
        <v>1047</v>
      </c>
      <c r="E852" s="2" t="n">
        <v>22</v>
      </c>
      <c r="F852" s="2" t="n">
        <v>52</v>
      </c>
      <c r="G852" s="2" t="n">
        <v>750</v>
      </c>
      <c r="H852" s="2" t="n">
        <v>2</v>
      </c>
      <c r="I852" s="3" t="n">
        <v>2131.38</v>
      </c>
      <c r="J852" s="3" t="n">
        <v>188.62</v>
      </c>
      <c r="K852" s="3" t="n">
        <v>3863.52</v>
      </c>
      <c r="L852" s="3" t="n">
        <v>1628.57</v>
      </c>
      <c r="M852" s="2" t="n">
        <v>11.6</v>
      </c>
      <c r="N852" s="2" t="s">
        <v>24</v>
      </c>
      <c r="O852" s="4" t="n">
        <f aca="false">VLOOKUP(F852,DIM_SERVICO!$A$2:$D$151,4,FALSE())</f>
        <v>188.62</v>
      </c>
      <c r="P852" s="4" t="n">
        <f aca="false">VLOOKUP(E852,DIM_PECA!$A$2:$F$501,6,FALSE())</f>
        <v>2052.09</v>
      </c>
      <c r="Q852" s="4" t="n">
        <f aca="false">VLOOKUP(E852,DIM_PECA!$A$2:$F$501,5,FALSE())</f>
        <v>1065.69</v>
      </c>
      <c r="R852" s="4" t="n">
        <f aca="false">H852*P852</f>
        <v>4104.18</v>
      </c>
      <c r="S852" s="4" t="n">
        <f aca="false">O852*M852</f>
        <v>2187.992</v>
      </c>
      <c r="T852" s="4" t="n">
        <f aca="false">R852+S852</f>
        <v>6292.172</v>
      </c>
      <c r="U852" s="4" t="n">
        <f aca="false">T852-K852</f>
        <v>2428.652</v>
      </c>
      <c r="V852" s="4" t="n">
        <f aca="false">R852+S852-U852</f>
        <v>3863.52</v>
      </c>
      <c r="W852" s="5" t="str">
        <f aca="false">IF(ROUND(V852-K852,2)=0,"OK","ERRO")</f>
        <v>OK</v>
      </c>
      <c r="X852" s="5" t="str">
        <f aca="false">VLOOKUP(F852,DIM_SERVICO!$A$2:$D$151,3,FALSE())</f>
        <v>Funilaria</v>
      </c>
    </row>
    <row r="853" customFormat="false" ht="15" hidden="false" customHeight="false" outlineLevel="0" collapsed="false">
      <c r="A853" s="6" t="n">
        <v>852</v>
      </c>
      <c r="B853" s="6" t="n">
        <v>796</v>
      </c>
      <c r="C853" s="6" t="n">
        <v>1399</v>
      </c>
      <c r="D853" s="6" t="n">
        <v>871</v>
      </c>
      <c r="E853" s="6" t="n">
        <v>379</v>
      </c>
      <c r="F853" s="6" t="n">
        <v>50</v>
      </c>
      <c r="G853" s="6" t="n">
        <v>418</v>
      </c>
      <c r="H853" s="6" t="n">
        <v>3</v>
      </c>
      <c r="I853" s="7" t="n">
        <v>2250.24</v>
      </c>
      <c r="J853" s="7" t="n">
        <v>1357.79</v>
      </c>
      <c r="K853" s="7" t="n">
        <v>4434.65</v>
      </c>
      <c r="L853" s="7" t="n">
        <v>1522.55</v>
      </c>
      <c r="M853" s="6" t="n">
        <v>11.3</v>
      </c>
      <c r="N853" s="6" t="s">
        <v>24</v>
      </c>
      <c r="O853" s="8" t="n">
        <f aca="false">VLOOKUP(F853,DIM_SERVICO!$A$2:$D$151,4,FALSE())</f>
        <v>1357.79</v>
      </c>
      <c r="P853" s="8" t="n">
        <f aca="false">VLOOKUP(E853,DIM_PECA!$A$2:$F$501,6,FALSE())</f>
        <v>1154.16</v>
      </c>
      <c r="Q853" s="8" t="n">
        <f aca="false">VLOOKUP(E853,DIM_PECA!$A$2:$F$501,5,FALSE())</f>
        <v>750.08</v>
      </c>
      <c r="R853" s="8" t="n">
        <f aca="false">H853*P853</f>
        <v>3462.48</v>
      </c>
      <c r="S853" s="8" t="n">
        <f aca="false">O853*M853</f>
        <v>15343.027</v>
      </c>
      <c r="T853" s="8" t="n">
        <f aca="false">R853+S853</f>
        <v>18805.507</v>
      </c>
      <c r="U853" s="8" t="n">
        <f aca="false">T853-K853</f>
        <v>14370.857</v>
      </c>
      <c r="V853" s="8" t="n">
        <f aca="false">R853+S853-U853</f>
        <v>4434.65</v>
      </c>
      <c r="W853" s="9" t="str">
        <f aca="false">IF(ROUND(V853-K853,2)=0,"OK","ERRO")</f>
        <v>OK</v>
      </c>
      <c r="X853" s="9" t="str">
        <f aca="false">VLOOKUP(F853,DIM_SERVICO!$A$2:$D$151,3,FALSE())</f>
        <v>Pintura</v>
      </c>
    </row>
    <row r="854" customFormat="false" ht="15" hidden="false" customHeight="false" outlineLevel="0" collapsed="false">
      <c r="A854" s="2" t="n">
        <v>853</v>
      </c>
      <c r="B854" s="2" t="n">
        <v>935</v>
      </c>
      <c r="C854" s="2" t="n">
        <v>1452</v>
      </c>
      <c r="D854" s="2" t="n">
        <v>1125</v>
      </c>
      <c r="E854" s="2" t="n">
        <v>22</v>
      </c>
      <c r="F854" s="2" t="n">
        <v>117</v>
      </c>
      <c r="G854" s="2" t="n">
        <v>228</v>
      </c>
      <c r="H854" s="2" t="n">
        <v>2</v>
      </c>
      <c r="I854" s="3" t="n">
        <v>2131.38</v>
      </c>
      <c r="J854" s="3" t="n">
        <v>405.55</v>
      </c>
      <c r="K854" s="3" t="n">
        <v>4058.76</v>
      </c>
      <c r="L854" s="3" t="n">
        <v>1706.27</v>
      </c>
      <c r="M854" s="2" t="n">
        <v>10.3</v>
      </c>
      <c r="N854" s="2" t="s">
        <v>27</v>
      </c>
      <c r="O854" s="4" t="n">
        <f aca="false">VLOOKUP(F854,DIM_SERVICO!$A$2:$D$151,4,FALSE())</f>
        <v>405.55</v>
      </c>
      <c r="P854" s="4" t="n">
        <f aca="false">VLOOKUP(E854,DIM_PECA!$A$2:$F$501,6,FALSE())</f>
        <v>2052.09</v>
      </c>
      <c r="Q854" s="4" t="n">
        <f aca="false">VLOOKUP(E854,DIM_PECA!$A$2:$F$501,5,FALSE())</f>
        <v>1065.69</v>
      </c>
      <c r="R854" s="4" t="n">
        <f aca="false">H854*P854</f>
        <v>4104.18</v>
      </c>
      <c r="S854" s="4" t="n">
        <f aca="false">O854*M854</f>
        <v>4177.165</v>
      </c>
      <c r="T854" s="4" t="n">
        <f aca="false">R854+S854</f>
        <v>8281.345</v>
      </c>
      <c r="U854" s="4" t="n">
        <f aca="false">T854-K854</f>
        <v>4222.585</v>
      </c>
      <c r="V854" s="4" t="n">
        <f aca="false">R854+S854-U854</f>
        <v>4058.76</v>
      </c>
      <c r="W854" s="5" t="str">
        <f aca="false">IF(ROUND(V854-K854,2)=0,"OK","ERRO")</f>
        <v>OK</v>
      </c>
      <c r="X854" s="5" t="str">
        <f aca="false">VLOOKUP(F854,DIM_SERVICO!$A$2:$D$151,3,FALSE())</f>
        <v>Freios</v>
      </c>
    </row>
    <row r="855" customFormat="false" ht="15" hidden="false" customHeight="false" outlineLevel="0" collapsed="false">
      <c r="A855" s="6" t="n">
        <v>854</v>
      </c>
      <c r="B855" s="6" t="n">
        <v>740</v>
      </c>
      <c r="C855" s="6" t="n">
        <v>327</v>
      </c>
      <c r="D855" s="6" t="n">
        <v>166</v>
      </c>
      <c r="E855" s="6" t="n">
        <v>411</v>
      </c>
      <c r="F855" s="6" t="n">
        <v>99</v>
      </c>
      <c r="G855" s="6" t="n">
        <v>1374</v>
      </c>
      <c r="H855" s="6" t="n">
        <v>1</v>
      </c>
      <c r="I855" s="7" t="n">
        <v>192.36</v>
      </c>
      <c r="J855" s="7" t="n">
        <v>563.92</v>
      </c>
      <c r="K855" s="7" t="n">
        <v>882.79</v>
      </c>
      <c r="L855" s="7" t="n">
        <v>418.04</v>
      </c>
      <c r="M855" s="6" t="n">
        <v>2.4</v>
      </c>
      <c r="N855" s="6" t="s">
        <v>25</v>
      </c>
      <c r="O855" s="8" t="n">
        <f aca="false">VLOOKUP(F855,DIM_SERVICO!$A$2:$D$151,4,FALSE())</f>
        <v>563.92</v>
      </c>
      <c r="P855" s="8" t="n">
        <f aca="false">VLOOKUP(E855,DIM_PECA!$A$2:$F$501,6,FALSE())</f>
        <v>336.89</v>
      </c>
      <c r="Q855" s="8" t="n">
        <f aca="false">VLOOKUP(E855,DIM_PECA!$A$2:$F$501,5,FALSE())</f>
        <v>192.36</v>
      </c>
      <c r="R855" s="8" t="n">
        <f aca="false">H855*P855</f>
        <v>336.89</v>
      </c>
      <c r="S855" s="8" t="n">
        <f aca="false">O855*M855</f>
        <v>1353.408</v>
      </c>
      <c r="T855" s="8" t="n">
        <f aca="false">R855+S855</f>
        <v>1690.298</v>
      </c>
      <c r="U855" s="8" t="n">
        <f aca="false">T855-K855</f>
        <v>807.508</v>
      </c>
      <c r="V855" s="8" t="n">
        <f aca="false">R855+S855-U855</f>
        <v>882.79</v>
      </c>
      <c r="W855" s="9" t="str">
        <f aca="false">IF(ROUND(V855-K855,2)=0,"OK","ERRO")</f>
        <v>OK</v>
      </c>
      <c r="X855" s="9" t="str">
        <f aca="false">VLOOKUP(F855,DIM_SERVICO!$A$2:$D$151,3,FALSE())</f>
        <v>Funilaria</v>
      </c>
    </row>
    <row r="856" customFormat="false" ht="15" hidden="false" customHeight="false" outlineLevel="0" collapsed="false">
      <c r="A856" s="2" t="n">
        <v>855</v>
      </c>
      <c r="B856" s="2" t="n">
        <v>279</v>
      </c>
      <c r="C856" s="2" t="n">
        <v>451</v>
      </c>
      <c r="D856" s="2" t="n">
        <v>120</v>
      </c>
      <c r="E856" s="2" t="n">
        <v>271</v>
      </c>
      <c r="F856" s="2" t="n">
        <v>97</v>
      </c>
      <c r="G856" s="2" t="n">
        <v>945</v>
      </c>
      <c r="H856" s="2" t="n">
        <v>1</v>
      </c>
      <c r="I856" s="3" t="n">
        <v>417.61</v>
      </c>
      <c r="J856" s="3" t="n">
        <v>1095.32</v>
      </c>
      <c r="K856" s="3" t="n">
        <v>1774.8</v>
      </c>
      <c r="L856" s="3" t="n">
        <v>955.22</v>
      </c>
      <c r="M856" s="2" t="n">
        <v>10</v>
      </c>
      <c r="N856" s="2" t="s">
        <v>26</v>
      </c>
      <c r="O856" s="4" t="n">
        <f aca="false">VLOOKUP(F856,DIM_SERVICO!$A$2:$D$151,4,FALSE())</f>
        <v>1095.32</v>
      </c>
      <c r="P856" s="4" t="n">
        <f aca="false">VLOOKUP(E856,DIM_PECA!$A$2:$F$501,6,FALSE())</f>
        <v>833.81</v>
      </c>
      <c r="Q856" s="4" t="n">
        <f aca="false">VLOOKUP(E856,DIM_PECA!$A$2:$F$501,5,FALSE())</f>
        <v>417.61</v>
      </c>
      <c r="R856" s="4" t="n">
        <f aca="false">H856*P856</f>
        <v>833.81</v>
      </c>
      <c r="S856" s="4" t="n">
        <f aca="false">O856*M856</f>
        <v>10953.2</v>
      </c>
      <c r="T856" s="4" t="n">
        <f aca="false">R856+S856</f>
        <v>11787.01</v>
      </c>
      <c r="U856" s="4" t="n">
        <f aca="false">T856-K856</f>
        <v>10012.21</v>
      </c>
      <c r="V856" s="4" t="n">
        <f aca="false">R856+S856-U856</f>
        <v>1774.8</v>
      </c>
      <c r="W856" s="5" t="str">
        <f aca="false">IF(ROUND(V856-K856,2)=0,"OK","ERRO")</f>
        <v>OK</v>
      </c>
      <c r="X856" s="5" t="str">
        <f aca="false">VLOOKUP(F856,DIM_SERVICO!$A$2:$D$151,3,FALSE())</f>
        <v>Pintura</v>
      </c>
    </row>
    <row r="857" customFormat="false" ht="15" hidden="false" customHeight="false" outlineLevel="0" collapsed="false">
      <c r="A857" s="6" t="n">
        <v>856</v>
      </c>
      <c r="B857" s="6" t="n">
        <v>818</v>
      </c>
      <c r="C857" s="6" t="n">
        <v>1115</v>
      </c>
      <c r="D857" s="6" t="n">
        <v>113</v>
      </c>
      <c r="E857" s="6" t="n">
        <v>79</v>
      </c>
      <c r="F857" s="6" t="n">
        <v>61</v>
      </c>
      <c r="G857" s="6" t="n">
        <v>1110</v>
      </c>
      <c r="H857" s="6" t="n">
        <v>2</v>
      </c>
      <c r="I857" s="7" t="n">
        <v>2112.12</v>
      </c>
      <c r="J857" s="7" t="n">
        <v>1372.66</v>
      </c>
      <c r="K857" s="7" t="n">
        <v>4971.78</v>
      </c>
      <c r="L857" s="7" t="n">
        <v>2105.46</v>
      </c>
      <c r="M857" s="6" t="n">
        <v>6</v>
      </c>
      <c r="N857" s="6" t="s">
        <v>27</v>
      </c>
      <c r="O857" s="8" t="n">
        <f aca="false">VLOOKUP(F857,DIM_SERVICO!$A$2:$D$151,4,FALSE())</f>
        <v>1372.66</v>
      </c>
      <c r="P857" s="8" t="n">
        <f aca="false">VLOOKUP(E857,DIM_PECA!$A$2:$F$501,6,FALSE())</f>
        <v>1850.29</v>
      </c>
      <c r="Q857" s="8" t="n">
        <f aca="false">VLOOKUP(E857,DIM_PECA!$A$2:$F$501,5,FALSE())</f>
        <v>1056.06</v>
      </c>
      <c r="R857" s="8" t="n">
        <f aca="false">H857*P857</f>
        <v>3700.58</v>
      </c>
      <c r="S857" s="8" t="n">
        <f aca="false">O857*M857</f>
        <v>8235.96</v>
      </c>
      <c r="T857" s="8" t="n">
        <f aca="false">R857+S857</f>
        <v>11936.54</v>
      </c>
      <c r="U857" s="8" t="n">
        <f aca="false">T857-K857</f>
        <v>6964.76</v>
      </c>
      <c r="V857" s="8" t="n">
        <f aca="false">R857+S857-U857</f>
        <v>4971.78</v>
      </c>
      <c r="W857" s="9" t="str">
        <f aca="false">IF(ROUND(V857-K857,2)=0,"OK","ERRO")</f>
        <v>OK</v>
      </c>
      <c r="X857" s="9" t="str">
        <f aca="false">VLOOKUP(F857,DIM_SERVICO!$A$2:$D$151,3,FALSE())</f>
        <v>Funilaria</v>
      </c>
    </row>
    <row r="858" customFormat="false" ht="15" hidden="false" customHeight="false" outlineLevel="0" collapsed="false">
      <c r="A858" s="2" t="n">
        <v>857</v>
      </c>
      <c r="B858" s="2" t="n">
        <v>1209</v>
      </c>
      <c r="C858" s="2" t="n">
        <v>13</v>
      </c>
      <c r="D858" s="2" t="n">
        <v>249</v>
      </c>
      <c r="E858" s="2" t="n">
        <v>409</v>
      </c>
      <c r="F858" s="2" t="n">
        <v>92</v>
      </c>
      <c r="G858" s="2" t="n">
        <v>922</v>
      </c>
      <c r="H858" s="2" t="n">
        <v>3</v>
      </c>
      <c r="I858" s="3" t="n">
        <v>2202.72</v>
      </c>
      <c r="J858" s="3" t="n">
        <v>1754.32</v>
      </c>
      <c r="K858" s="3" t="n">
        <v>5509</v>
      </c>
      <c r="L858" s="3" t="n">
        <v>2417.77</v>
      </c>
      <c r="M858" s="2" t="n">
        <v>4.1</v>
      </c>
      <c r="N858" s="2" t="s">
        <v>24</v>
      </c>
      <c r="O858" s="4" t="n">
        <f aca="false">VLOOKUP(F858,DIM_SERVICO!$A$2:$D$151,4,FALSE())</f>
        <v>1754.32</v>
      </c>
      <c r="P858" s="4" t="n">
        <f aca="false">VLOOKUP(E858,DIM_PECA!$A$2:$F$501,6,FALSE())</f>
        <v>1251.56</v>
      </c>
      <c r="Q858" s="4" t="n">
        <f aca="false">VLOOKUP(E858,DIM_PECA!$A$2:$F$501,5,FALSE())</f>
        <v>734.24</v>
      </c>
      <c r="R858" s="4" t="n">
        <f aca="false">H858*P858</f>
        <v>3754.68</v>
      </c>
      <c r="S858" s="4" t="n">
        <f aca="false">O858*M858</f>
        <v>7192.712</v>
      </c>
      <c r="T858" s="4" t="n">
        <f aca="false">R858+S858</f>
        <v>10947.392</v>
      </c>
      <c r="U858" s="4" t="n">
        <f aca="false">T858-K858</f>
        <v>5438.392</v>
      </c>
      <c r="V858" s="4" t="n">
        <f aca="false">R858+S858-U858</f>
        <v>5509</v>
      </c>
      <c r="W858" s="5" t="str">
        <f aca="false">IF(ROUND(V858-K858,2)=0,"OK","ERRO")</f>
        <v>OK</v>
      </c>
      <c r="X858" s="5" t="str">
        <f aca="false">VLOOKUP(F858,DIM_SERVICO!$A$2:$D$151,3,FALSE())</f>
        <v>Revisão</v>
      </c>
    </row>
    <row r="859" customFormat="false" ht="15" hidden="false" customHeight="false" outlineLevel="0" collapsed="false">
      <c r="A859" s="6" t="n">
        <v>858</v>
      </c>
      <c r="B859" s="6" t="n">
        <v>191</v>
      </c>
      <c r="C859" s="6" t="n">
        <v>1351</v>
      </c>
      <c r="D859" s="6" t="n">
        <v>117</v>
      </c>
      <c r="E859" s="6" t="n">
        <v>463</v>
      </c>
      <c r="F859" s="6" t="n">
        <v>18</v>
      </c>
      <c r="G859" s="6" t="n">
        <v>1241</v>
      </c>
      <c r="H859" s="6" t="n">
        <v>2</v>
      </c>
      <c r="I859" s="7" t="n">
        <v>542.34</v>
      </c>
      <c r="J859" s="7" t="n">
        <v>1667.15</v>
      </c>
      <c r="K859" s="7" t="n">
        <v>2443.59</v>
      </c>
      <c r="L859" s="7" t="n">
        <v>1220.39</v>
      </c>
      <c r="M859" s="6" t="n">
        <v>5.7</v>
      </c>
      <c r="N859" s="6" t="s">
        <v>26</v>
      </c>
      <c r="O859" s="8" t="n">
        <f aca="false">VLOOKUP(F859,DIM_SERVICO!$A$2:$D$151,4,FALSE())</f>
        <v>1667.15</v>
      </c>
      <c r="P859" s="8" t="n">
        <f aca="false">VLOOKUP(E859,DIM_PECA!$A$2:$F$501,6,FALSE())</f>
        <v>388.22</v>
      </c>
      <c r="Q859" s="8" t="n">
        <f aca="false">VLOOKUP(E859,DIM_PECA!$A$2:$F$501,5,FALSE())</f>
        <v>271.17</v>
      </c>
      <c r="R859" s="8" t="n">
        <f aca="false">H859*P859</f>
        <v>776.44</v>
      </c>
      <c r="S859" s="8" t="n">
        <f aca="false">O859*M859</f>
        <v>9502.755</v>
      </c>
      <c r="T859" s="8" t="n">
        <f aca="false">R859+S859</f>
        <v>10279.195</v>
      </c>
      <c r="U859" s="8" t="n">
        <f aca="false">T859-K859</f>
        <v>7835.605</v>
      </c>
      <c r="V859" s="8" t="n">
        <f aca="false">R859+S859-U859</f>
        <v>2443.59</v>
      </c>
      <c r="W859" s="9" t="str">
        <f aca="false">IF(ROUND(V859-K859,2)=0,"OK","ERRO")</f>
        <v>OK</v>
      </c>
      <c r="X859" s="9" t="str">
        <f aca="false">VLOOKUP(F859,DIM_SERVICO!$A$2:$D$151,3,FALSE())</f>
        <v>Elétrica</v>
      </c>
    </row>
    <row r="860" customFormat="false" ht="15" hidden="false" customHeight="false" outlineLevel="0" collapsed="false">
      <c r="A860" s="2" t="n">
        <v>859</v>
      </c>
      <c r="B860" s="2" t="n">
        <v>1078</v>
      </c>
      <c r="C860" s="2" t="n">
        <v>379</v>
      </c>
      <c r="D860" s="2" t="n">
        <v>938</v>
      </c>
      <c r="E860" s="2" t="n">
        <v>201</v>
      </c>
      <c r="F860" s="2" t="n">
        <v>64</v>
      </c>
      <c r="G860" s="2" t="n">
        <v>1213</v>
      </c>
      <c r="H860" s="2" t="n">
        <v>4</v>
      </c>
      <c r="I860" s="3" t="n">
        <v>425.8</v>
      </c>
      <c r="J860" s="3" t="n">
        <v>1447.78</v>
      </c>
      <c r="K860" s="3" t="n">
        <v>2191.46</v>
      </c>
      <c r="L860" s="3" t="n">
        <v>1170.29</v>
      </c>
      <c r="M860" s="2" t="n">
        <v>8.1</v>
      </c>
      <c r="N860" s="2" t="s">
        <v>24</v>
      </c>
      <c r="O860" s="4" t="n">
        <f aca="false">VLOOKUP(F860,DIM_SERVICO!$A$2:$D$151,4,FALSE())</f>
        <v>1447.78</v>
      </c>
      <c r="P860" s="4" t="n">
        <f aca="false">VLOOKUP(E860,DIM_PECA!$A$2:$F$501,6,FALSE())</f>
        <v>185.92</v>
      </c>
      <c r="Q860" s="4" t="n">
        <f aca="false">VLOOKUP(E860,DIM_PECA!$A$2:$F$501,5,FALSE())</f>
        <v>106.45</v>
      </c>
      <c r="R860" s="4" t="n">
        <f aca="false">H860*P860</f>
        <v>743.68</v>
      </c>
      <c r="S860" s="4" t="n">
        <f aca="false">O860*M860</f>
        <v>11727.018</v>
      </c>
      <c r="T860" s="4" t="n">
        <f aca="false">R860+S860</f>
        <v>12470.698</v>
      </c>
      <c r="U860" s="4" t="n">
        <f aca="false">T860-K860</f>
        <v>10279.238</v>
      </c>
      <c r="V860" s="4" t="n">
        <f aca="false">R860+S860-U860</f>
        <v>2191.46</v>
      </c>
      <c r="W860" s="5" t="str">
        <f aca="false">IF(ROUND(V860-K860,2)=0,"OK","ERRO")</f>
        <v>OK</v>
      </c>
      <c r="X860" s="5" t="str">
        <f aca="false">VLOOKUP(F860,DIM_SERVICO!$A$2:$D$151,3,FALSE())</f>
        <v>Pintura</v>
      </c>
    </row>
    <row r="861" customFormat="false" ht="15" hidden="false" customHeight="false" outlineLevel="0" collapsed="false">
      <c r="A861" s="6" t="n">
        <v>860</v>
      </c>
      <c r="B861" s="6" t="n">
        <v>236</v>
      </c>
      <c r="C861" s="6" t="n">
        <v>475</v>
      </c>
      <c r="D861" s="6" t="n">
        <v>901</v>
      </c>
      <c r="E861" s="6" t="n">
        <v>360</v>
      </c>
      <c r="F861" s="6" t="n">
        <v>68</v>
      </c>
      <c r="G861" s="6" t="n">
        <v>1276</v>
      </c>
      <c r="H861" s="6" t="n">
        <v>2</v>
      </c>
      <c r="I861" s="7" t="n">
        <v>2072.74</v>
      </c>
      <c r="J861" s="7" t="n">
        <v>1974.4</v>
      </c>
      <c r="K861" s="7" t="n">
        <v>5925.96</v>
      </c>
      <c r="L861" s="7" t="n">
        <v>3073.14</v>
      </c>
      <c r="M861" s="6" t="n">
        <v>7.8</v>
      </c>
      <c r="N861" s="6" t="s">
        <v>24</v>
      </c>
      <c r="O861" s="8" t="n">
        <f aca="false">VLOOKUP(F861,DIM_SERVICO!$A$2:$D$151,4,FALSE())</f>
        <v>1974.4</v>
      </c>
      <c r="P861" s="8" t="n">
        <f aca="false">VLOOKUP(E861,DIM_PECA!$A$2:$F$501,6,FALSE())</f>
        <v>1975.78</v>
      </c>
      <c r="Q861" s="8" t="n">
        <f aca="false">VLOOKUP(E861,DIM_PECA!$A$2:$F$501,5,FALSE())</f>
        <v>1036.37</v>
      </c>
      <c r="R861" s="8" t="n">
        <f aca="false">H861*P861</f>
        <v>3951.56</v>
      </c>
      <c r="S861" s="8" t="n">
        <f aca="false">O861*M861</f>
        <v>15400.32</v>
      </c>
      <c r="T861" s="8" t="n">
        <f aca="false">R861+S861</f>
        <v>19351.88</v>
      </c>
      <c r="U861" s="8" t="n">
        <f aca="false">T861-K861</f>
        <v>13425.92</v>
      </c>
      <c r="V861" s="8" t="n">
        <f aca="false">R861+S861-U861</f>
        <v>5925.96</v>
      </c>
      <c r="W861" s="9" t="str">
        <f aca="false">IF(ROUND(V861-K861,2)=0,"OK","ERRO")</f>
        <v>OK</v>
      </c>
      <c r="X861" s="9" t="str">
        <f aca="false">VLOOKUP(F861,DIM_SERVICO!$A$2:$D$151,3,FALSE())</f>
        <v>Suspensão</v>
      </c>
    </row>
    <row r="862" customFormat="false" ht="15" hidden="false" customHeight="false" outlineLevel="0" collapsed="false">
      <c r="A862" s="2" t="n">
        <v>861</v>
      </c>
      <c r="B862" s="2" t="n">
        <v>1282</v>
      </c>
      <c r="C862" s="2" t="n">
        <v>1276</v>
      </c>
      <c r="D862" s="2" t="n">
        <v>136</v>
      </c>
      <c r="E862" s="2" t="n">
        <v>134</v>
      </c>
      <c r="F862" s="2" t="n">
        <v>83</v>
      </c>
      <c r="G862" s="2" t="n">
        <v>21</v>
      </c>
      <c r="H862" s="2" t="n">
        <v>1</v>
      </c>
      <c r="I862" s="3" t="n">
        <v>518.17</v>
      </c>
      <c r="J862" s="3" t="n">
        <v>2098.93</v>
      </c>
      <c r="K862" s="3" t="n">
        <v>2946.86</v>
      </c>
      <c r="L862" s="3" t="n">
        <v>1424.27</v>
      </c>
      <c r="M862" s="2" t="n">
        <v>2.7</v>
      </c>
      <c r="N862" s="2" t="s">
        <v>27</v>
      </c>
      <c r="O862" s="4" t="n">
        <f aca="false">VLOOKUP(F862,DIM_SERVICO!$A$2:$D$151,4,FALSE())</f>
        <v>2098.93</v>
      </c>
      <c r="P862" s="4" t="n">
        <f aca="false">VLOOKUP(E862,DIM_PECA!$A$2:$F$501,6,FALSE())</f>
        <v>1003.03</v>
      </c>
      <c r="Q862" s="4" t="n">
        <f aca="false">VLOOKUP(E862,DIM_PECA!$A$2:$F$501,5,FALSE())</f>
        <v>518.17</v>
      </c>
      <c r="R862" s="4" t="n">
        <f aca="false">H862*P862</f>
        <v>1003.03</v>
      </c>
      <c r="S862" s="4" t="n">
        <f aca="false">O862*M862</f>
        <v>5667.111</v>
      </c>
      <c r="T862" s="4" t="n">
        <f aca="false">R862+S862</f>
        <v>6670.141</v>
      </c>
      <c r="U862" s="4" t="n">
        <f aca="false">T862-K862</f>
        <v>3723.281</v>
      </c>
      <c r="V862" s="4" t="n">
        <f aca="false">R862+S862-U862</f>
        <v>2946.86</v>
      </c>
      <c r="W862" s="5" t="str">
        <f aca="false">IF(ROUND(V862-K862,2)=0,"OK","ERRO")</f>
        <v>OK</v>
      </c>
      <c r="X862" s="5" t="str">
        <f aca="false">VLOOKUP(F862,DIM_SERVICO!$A$2:$D$151,3,FALSE())</f>
        <v>Pintura</v>
      </c>
    </row>
    <row r="863" customFormat="false" ht="15" hidden="false" customHeight="false" outlineLevel="0" collapsed="false">
      <c r="A863" s="6" t="n">
        <v>862</v>
      </c>
      <c r="B863" s="6" t="n">
        <v>1392</v>
      </c>
      <c r="C863" s="6" t="n">
        <v>1383</v>
      </c>
      <c r="D863" s="6" t="n">
        <v>674</v>
      </c>
      <c r="E863" s="6" t="n">
        <v>393</v>
      </c>
      <c r="F863" s="6" t="n">
        <v>123</v>
      </c>
      <c r="G863" s="6" t="n">
        <v>284</v>
      </c>
      <c r="H863" s="6" t="n">
        <v>4</v>
      </c>
      <c r="I863" s="7" t="n">
        <v>4535</v>
      </c>
      <c r="J863" s="7" t="n">
        <v>2023.84</v>
      </c>
      <c r="K863" s="7" t="n">
        <v>9810.31</v>
      </c>
      <c r="L863" s="7" t="n">
        <v>4469.2</v>
      </c>
      <c r="M863" s="6" t="n">
        <v>3.2</v>
      </c>
      <c r="N863" s="6" t="s">
        <v>24</v>
      </c>
      <c r="O863" s="8" t="n">
        <f aca="false">VLOOKUP(F863,DIM_SERVICO!$A$2:$D$151,4,FALSE())</f>
        <v>2023.84</v>
      </c>
      <c r="P863" s="8" t="n">
        <f aca="false">VLOOKUP(E863,DIM_PECA!$A$2:$F$501,6,FALSE())</f>
        <v>2075.7</v>
      </c>
      <c r="Q863" s="8" t="n">
        <f aca="false">VLOOKUP(E863,DIM_PECA!$A$2:$F$501,5,FALSE())</f>
        <v>1133.75</v>
      </c>
      <c r="R863" s="8" t="n">
        <f aca="false">H863*P863</f>
        <v>8302.8</v>
      </c>
      <c r="S863" s="8" t="n">
        <f aca="false">O863*M863</f>
        <v>6476.288</v>
      </c>
      <c r="T863" s="8" t="n">
        <f aca="false">R863+S863</f>
        <v>14779.088</v>
      </c>
      <c r="U863" s="8" t="n">
        <f aca="false">T863-K863</f>
        <v>4968.778</v>
      </c>
      <c r="V863" s="8" t="n">
        <f aca="false">R863+S863-U863</f>
        <v>9810.31</v>
      </c>
      <c r="W863" s="9" t="str">
        <f aca="false">IF(ROUND(V863-K863,2)=0,"OK","ERRO")</f>
        <v>OK</v>
      </c>
      <c r="X863" s="9" t="str">
        <f aca="false">VLOOKUP(F863,DIM_SERVICO!$A$2:$D$151,3,FALSE())</f>
        <v>Diagnóstico</v>
      </c>
    </row>
    <row r="864" customFormat="false" ht="15" hidden="false" customHeight="false" outlineLevel="0" collapsed="false">
      <c r="A864" s="2" t="n">
        <v>863</v>
      </c>
      <c r="B864" s="2" t="n">
        <v>56</v>
      </c>
      <c r="C864" s="2" t="n">
        <v>1310</v>
      </c>
      <c r="D864" s="2" t="n">
        <v>155</v>
      </c>
      <c r="E864" s="2" t="n">
        <v>13</v>
      </c>
      <c r="F864" s="2" t="n">
        <v>99</v>
      </c>
      <c r="G864" s="2" t="n">
        <v>1742</v>
      </c>
      <c r="H864" s="2" t="n">
        <v>4</v>
      </c>
      <c r="I864" s="3" t="n">
        <v>1216.6</v>
      </c>
      <c r="J864" s="3" t="n">
        <v>563.92</v>
      </c>
      <c r="K864" s="3" t="n">
        <v>2715.96</v>
      </c>
      <c r="L864" s="3" t="n">
        <v>1277.16</v>
      </c>
      <c r="M864" s="2" t="n">
        <v>2.6</v>
      </c>
      <c r="N864" s="2" t="s">
        <v>25</v>
      </c>
      <c r="O864" s="4" t="n">
        <f aca="false">VLOOKUP(F864,DIM_SERVICO!$A$2:$D$151,4,FALSE())</f>
        <v>563.92</v>
      </c>
      <c r="P864" s="4" t="n">
        <f aca="false">VLOOKUP(E864,DIM_PECA!$A$2:$F$501,6,FALSE())</f>
        <v>538.01</v>
      </c>
      <c r="Q864" s="4" t="n">
        <f aca="false">VLOOKUP(E864,DIM_PECA!$A$2:$F$501,5,FALSE())</f>
        <v>304.15</v>
      </c>
      <c r="R864" s="4" t="n">
        <f aca="false">H864*P864</f>
        <v>2152.04</v>
      </c>
      <c r="S864" s="4" t="n">
        <f aca="false">O864*M864</f>
        <v>1466.192</v>
      </c>
      <c r="T864" s="4" t="n">
        <f aca="false">R864+S864</f>
        <v>3618.232</v>
      </c>
      <c r="U864" s="4" t="n">
        <f aca="false">T864-K864</f>
        <v>902.272</v>
      </c>
      <c r="V864" s="4" t="n">
        <f aca="false">R864+S864-U864</f>
        <v>2715.96</v>
      </c>
      <c r="W864" s="5" t="str">
        <f aca="false">IF(ROUND(V864-K864,2)=0,"OK","ERRO")</f>
        <v>OK</v>
      </c>
      <c r="X864" s="5" t="str">
        <f aca="false">VLOOKUP(F864,DIM_SERVICO!$A$2:$D$151,3,FALSE())</f>
        <v>Funilaria</v>
      </c>
    </row>
    <row r="865" customFormat="false" ht="15" hidden="false" customHeight="false" outlineLevel="0" collapsed="false">
      <c r="A865" s="6" t="n">
        <v>864</v>
      </c>
      <c r="B865" s="6" t="n">
        <v>1088</v>
      </c>
      <c r="C865" s="6" t="n">
        <v>787</v>
      </c>
      <c r="D865" s="6" t="n">
        <v>581</v>
      </c>
      <c r="E865" s="6" t="n">
        <v>420</v>
      </c>
      <c r="F865" s="6" t="n">
        <v>56</v>
      </c>
      <c r="G865" s="6" t="n">
        <v>1559</v>
      </c>
      <c r="H865" s="6" t="n">
        <v>3</v>
      </c>
      <c r="I865" s="7" t="n">
        <v>2062.53</v>
      </c>
      <c r="J865" s="7" t="n">
        <v>251.62</v>
      </c>
      <c r="K865" s="7" t="n">
        <v>4002.07</v>
      </c>
      <c r="L865" s="7" t="n">
        <v>1817.76</v>
      </c>
      <c r="M865" s="6" t="n">
        <v>2.5</v>
      </c>
      <c r="N865" s="6" t="s">
        <v>26</v>
      </c>
      <c r="O865" s="8" t="n">
        <f aca="false">VLOOKUP(F865,DIM_SERVICO!$A$2:$D$151,4,FALSE())</f>
        <v>251.62</v>
      </c>
      <c r="P865" s="8" t="n">
        <f aca="false">VLOOKUP(E865,DIM_PECA!$A$2:$F$501,6,FALSE())</f>
        <v>1320.36</v>
      </c>
      <c r="Q865" s="8" t="n">
        <f aca="false">VLOOKUP(E865,DIM_PECA!$A$2:$F$501,5,FALSE())</f>
        <v>687.51</v>
      </c>
      <c r="R865" s="8" t="n">
        <f aca="false">H865*P865</f>
        <v>3961.08</v>
      </c>
      <c r="S865" s="8" t="n">
        <f aca="false">O865*M865</f>
        <v>629.05</v>
      </c>
      <c r="T865" s="8" t="n">
        <f aca="false">R865+S865</f>
        <v>4590.13</v>
      </c>
      <c r="U865" s="8" t="n">
        <f aca="false">T865-K865</f>
        <v>588.06</v>
      </c>
      <c r="V865" s="8" t="n">
        <f aca="false">R865+S865-U865</f>
        <v>4002.07</v>
      </c>
      <c r="W865" s="9" t="str">
        <f aca="false">IF(ROUND(V865-K865,2)=0,"OK","ERRO")</f>
        <v>OK</v>
      </c>
      <c r="X865" s="9" t="str">
        <f aca="false">VLOOKUP(F865,DIM_SERVICO!$A$2:$D$151,3,FALSE())</f>
        <v>Revisão</v>
      </c>
    </row>
    <row r="866" customFormat="false" ht="15" hidden="false" customHeight="false" outlineLevel="0" collapsed="false">
      <c r="A866" s="2" t="n">
        <v>865</v>
      </c>
      <c r="B866" s="2" t="n">
        <v>680</v>
      </c>
      <c r="C866" s="2" t="n">
        <v>615</v>
      </c>
      <c r="D866" s="2" t="n">
        <v>1037</v>
      </c>
      <c r="E866" s="2" t="n">
        <v>200</v>
      </c>
      <c r="F866" s="2" t="n">
        <v>101</v>
      </c>
      <c r="G866" s="2" t="n">
        <v>1068</v>
      </c>
      <c r="H866" s="2" t="n">
        <v>2</v>
      </c>
      <c r="I866" s="3" t="n">
        <v>1653.88</v>
      </c>
      <c r="J866" s="3" t="n">
        <v>1690.47</v>
      </c>
      <c r="K866" s="3" t="n">
        <v>4247.05</v>
      </c>
      <c r="L866" s="3" t="n">
        <v>1675.97</v>
      </c>
      <c r="M866" s="2" t="n">
        <v>6.8</v>
      </c>
      <c r="N866" s="2" t="s">
        <v>24</v>
      </c>
      <c r="O866" s="4" t="n">
        <f aca="false">VLOOKUP(F866,DIM_SERVICO!$A$2:$D$151,4,FALSE())</f>
        <v>1690.47</v>
      </c>
      <c r="P866" s="4" t="n">
        <f aca="false">VLOOKUP(E866,DIM_PECA!$A$2:$F$501,6,FALSE())</f>
        <v>1278.29</v>
      </c>
      <c r="Q866" s="4" t="n">
        <f aca="false">VLOOKUP(E866,DIM_PECA!$A$2:$F$501,5,FALSE())</f>
        <v>826.94</v>
      </c>
      <c r="R866" s="4" t="n">
        <f aca="false">H866*P866</f>
        <v>2556.58</v>
      </c>
      <c r="S866" s="4" t="n">
        <f aca="false">O866*M866</f>
        <v>11495.196</v>
      </c>
      <c r="T866" s="4" t="n">
        <f aca="false">R866+S866</f>
        <v>14051.776</v>
      </c>
      <c r="U866" s="4" t="n">
        <f aca="false">T866-K866</f>
        <v>9804.726</v>
      </c>
      <c r="V866" s="4" t="n">
        <f aca="false">R866+S866-U866</f>
        <v>4247.05</v>
      </c>
      <c r="W866" s="5" t="str">
        <f aca="false">IF(ROUND(V866-K866,2)=0,"OK","ERRO")</f>
        <v>OK</v>
      </c>
      <c r="X866" s="5" t="str">
        <f aca="false">VLOOKUP(F866,DIM_SERVICO!$A$2:$D$151,3,FALSE())</f>
        <v>Revisão</v>
      </c>
    </row>
    <row r="867" customFormat="false" ht="15" hidden="false" customHeight="false" outlineLevel="0" collapsed="false">
      <c r="A867" s="6" t="n">
        <v>866</v>
      </c>
      <c r="B867" s="6" t="n">
        <v>987</v>
      </c>
      <c r="C867" s="6" t="n">
        <v>1484</v>
      </c>
      <c r="D867" s="6" t="n">
        <v>597</v>
      </c>
      <c r="E867" s="6" t="n">
        <v>379</v>
      </c>
      <c r="F867" s="6" t="n">
        <v>47</v>
      </c>
      <c r="G867" s="6" t="n">
        <v>56</v>
      </c>
      <c r="H867" s="6" t="n">
        <v>1</v>
      </c>
      <c r="I867" s="7" t="n">
        <v>750.08</v>
      </c>
      <c r="J867" s="7" t="n">
        <v>399.81</v>
      </c>
      <c r="K867" s="7" t="n">
        <v>1553.97</v>
      </c>
      <c r="L867" s="7" t="n">
        <v>609.57</v>
      </c>
      <c r="M867" s="6" t="n">
        <v>11.8</v>
      </c>
      <c r="N867" s="6" t="s">
        <v>24</v>
      </c>
      <c r="O867" s="8" t="n">
        <f aca="false">VLOOKUP(F867,DIM_SERVICO!$A$2:$D$151,4,FALSE())</f>
        <v>399.81</v>
      </c>
      <c r="P867" s="8" t="n">
        <f aca="false">VLOOKUP(E867,DIM_PECA!$A$2:$F$501,6,FALSE())</f>
        <v>1154.16</v>
      </c>
      <c r="Q867" s="8" t="n">
        <f aca="false">VLOOKUP(E867,DIM_PECA!$A$2:$F$501,5,FALSE())</f>
        <v>750.08</v>
      </c>
      <c r="R867" s="8" t="n">
        <f aca="false">H867*P867</f>
        <v>1154.16</v>
      </c>
      <c r="S867" s="8" t="n">
        <f aca="false">O867*M867</f>
        <v>4717.758</v>
      </c>
      <c r="T867" s="8" t="n">
        <f aca="false">R867+S867</f>
        <v>5871.918</v>
      </c>
      <c r="U867" s="8" t="n">
        <f aca="false">T867-K867</f>
        <v>4317.948</v>
      </c>
      <c r="V867" s="8" t="n">
        <f aca="false">R867+S867-U867</f>
        <v>1553.97</v>
      </c>
      <c r="W867" s="9" t="str">
        <f aca="false">IF(ROUND(V867-K867,2)=0,"OK","ERRO")</f>
        <v>OK</v>
      </c>
      <c r="X867" s="9" t="str">
        <f aca="false">VLOOKUP(F867,DIM_SERVICO!$A$2:$D$151,3,FALSE())</f>
        <v>Funilaria</v>
      </c>
    </row>
    <row r="868" customFormat="false" ht="15" hidden="false" customHeight="false" outlineLevel="0" collapsed="false">
      <c r="A868" s="2" t="n">
        <v>867</v>
      </c>
      <c r="B868" s="2" t="n">
        <v>326</v>
      </c>
      <c r="C868" s="2" t="n">
        <v>1433</v>
      </c>
      <c r="D868" s="2" t="n">
        <v>673</v>
      </c>
      <c r="E868" s="2" t="n">
        <v>348</v>
      </c>
      <c r="F868" s="2" t="n">
        <v>80</v>
      </c>
      <c r="G868" s="2" t="n">
        <v>621</v>
      </c>
      <c r="H868" s="2" t="n">
        <v>3</v>
      </c>
      <c r="I868" s="3" t="n">
        <v>2085.42</v>
      </c>
      <c r="J868" s="3" t="n">
        <v>2134.39</v>
      </c>
      <c r="K868" s="3" t="n">
        <v>6263.57</v>
      </c>
      <c r="L868" s="3" t="n">
        <v>3068.6</v>
      </c>
      <c r="M868" s="2" t="n">
        <v>7.3</v>
      </c>
      <c r="N868" s="2" t="s">
        <v>24</v>
      </c>
      <c r="O868" s="4" t="n">
        <f aca="false">VLOOKUP(F868,DIM_SERVICO!$A$2:$D$151,4,FALSE())</f>
        <v>2134.39</v>
      </c>
      <c r="P868" s="4" t="n">
        <f aca="false">VLOOKUP(E868,DIM_PECA!$A$2:$F$501,6,FALSE())</f>
        <v>1486.28</v>
      </c>
      <c r="Q868" s="4" t="n">
        <f aca="false">VLOOKUP(E868,DIM_PECA!$A$2:$F$501,5,FALSE())</f>
        <v>695.14</v>
      </c>
      <c r="R868" s="4" t="n">
        <f aca="false">H868*P868</f>
        <v>4458.84</v>
      </c>
      <c r="S868" s="4" t="n">
        <f aca="false">O868*M868</f>
        <v>15581.047</v>
      </c>
      <c r="T868" s="4" t="n">
        <f aca="false">R868+S868</f>
        <v>20039.887</v>
      </c>
      <c r="U868" s="4" t="n">
        <f aca="false">T868-K868</f>
        <v>13776.317</v>
      </c>
      <c r="V868" s="4" t="n">
        <f aca="false">R868+S868-U868</f>
        <v>6263.57</v>
      </c>
      <c r="W868" s="5" t="str">
        <f aca="false">IF(ROUND(V868-K868,2)=0,"OK","ERRO")</f>
        <v>OK</v>
      </c>
      <c r="X868" s="5" t="str">
        <f aca="false">VLOOKUP(F868,DIM_SERVICO!$A$2:$D$151,3,FALSE())</f>
        <v>Suspensão</v>
      </c>
    </row>
    <row r="869" customFormat="false" ht="15" hidden="false" customHeight="false" outlineLevel="0" collapsed="false">
      <c r="A869" s="6" t="n">
        <v>868</v>
      </c>
      <c r="B869" s="6" t="n">
        <v>793</v>
      </c>
      <c r="C869" s="6" t="n">
        <v>9</v>
      </c>
      <c r="D869" s="6" t="n">
        <v>815</v>
      </c>
      <c r="E869" s="6" t="n">
        <v>139</v>
      </c>
      <c r="F869" s="6" t="n">
        <v>15</v>
      </c>
      <c r="G869" s="6" t="n">
        <v>751</v>
      </c>
      <c r="H869" s="6" t="n">
        <v>1</v>
      </c>
      <c r="I869" s="7" t="n">
        <v>1091.22</v>
      </c>
      <c r="J869" s="7" t="n">
        <v>1426.42</v>
      </c>
      <c r="K869" s="7" t="n">
        <v>2694.11</v>
      </c>
      <c r="L869" s="7" t="n">
        <v>896.01</v>
      </c>
      <c r="M869" s="6" t="n">
        <v>6.8</v>
      </c>
      <c r="N869" s="6" t="s">
        <v>27</v>
      </c>
      <c r="O869" s="8" t="n">
        <f aca="false">VLOOKUP(F869,DIM_SERVICO!$A$2:$D$151,4,FALSE())</f>
        <v>1426.42</v>
      </c>
      <c r="P869" s="8" t="n">
        <f aca="false">VLOOKUP(E869,DIM_PECA!$A$2:$F$501,6,FALSE())</f>
        <v>1567.04</v>
      </c>
      <c r="Q869" s="8" t="n">
        <f aca="false">VLOOKUP(E869,DIM_PECA!$A$2:$F$501,5,FALSE())</f>
        <v>1091.22</v>
      </c>
      <c r="R869" s="8" t="n">
        <f aca="false">H869*P869</f>
        <v>1567.04</v>
      </c>
      <c r="S869" s="8" t="n">
        <f aca="false">O869*M869</f>
        <v>9699.656</v>
      </c>
      <c r="T869" s="8" t="n">
        <f aca="false">R869+S869</f>
        <v>11266.696</v>
      </c>
      <c r="U869" s="8" t="n">
        <f aca="false">T869-K869</f>
        <v>8572.586</v>
      </c>
      <c r="V869" s="8" t="n">
        <f aca="false">R869+S869-U869</f>
        <v>2694.11</v>
      </c>
      <c r="W869" s="9" t="str">
        <f aca="false">IF(ROUND(V869-K869,2)=0,"OK","ERRO")</f>
        <v>OK</v>
      </c>
      <c r="X869" s="9" t="str">
        <f aca="false">VLOOKUP(F869,DIM_SERVICO!$A$2:$D$151,3,FALSE())</f>
        <v>Pintura</v>
      </c>
    </row>
    <row r="870" customFormat="false" ht="15" hidden="false" customHeight="false" outlineLevel="0" collapsed="false">
      <c r="A870" s="2" t="n">
        <v>869</v>
      </c>
      <c r="B870" s="2" t="n">
        <v>1393</v>
      </c>
      <c r="C870" s="2" t="n">
        <v>955</v>
      </c>
      <c r="D870" s="2" t="n">
        <v>31</v>
      </c>
      <c r="E870" s="2" t="n">
        <v>499</v>
      </c>
      <c r="F870" s="2" t="n">
        <v>49</v>
      </c>
      <c r="G870" s="2" t="n">
        <v>1390</v>
      </c>
      <c r="H870" s="2" t="n">
        <v>2</v>
      </c>
      <c r="I870" s="3" t="n">
        <v>902.94</v>
      </c>
      <c r="J870" s="3" t="n">
        <v>1883.63</v>
      </c>
      <c r="K870" s="3" t="n">
        <v>3868.39</v>
      </c>
      <c r="L870" s="3" t="n">
        <v>2267.5</v>
      </c>
      <c r="M870" s="2" t="n">
        <v>5.7</v>
      </c>
      <c r="N870" s="2" t="s">
        <v>27</v>
      </c>
      <c r="O870" s="4" t="n">
        <f aca="false">VLOOKUP(F870,DIM_SERVICO!$A$2:$D$151,4,FALSE())</f>
        <v>1883.63</v>
      </c>
      <c r="P870" s="4" t="n">
        <f aca="false">VLOOKUP(E870,DIM_PECA!$A$2:$F$501,6,FALSE())</f>
        <v>992.38</v>
      </c>
      <c r="Q870" s="4" t="n">
        <f aca="false">VLOOKUP(E870,DIM_PECA!$A$2:$F$501,5,FALSE())</f>
        <v>451.47</v>
      </c>
      <c r="R870" s="4" t="n">
        <f aca="false">H870*P870</f>
        <v>1984.76</v>
      </c>
      <c r="S870" s="4" t="n">
        <f aca="false">O870*M870</f>
        <v>10736.691</v>
      </c>
      <c r="T870" s="4" t="n">
        <f aca="false">R870+S870</f>
        <v>12721.451</v>
      </c>
      <c r="U870" s="4" t="n">
        <f aca="false">T870-K870</f>
        <v>8853.061</v>
      </c>
      <c r="V870" s="4" t="n">
        <f aca="false">R870+S870-U870</f>
        <v>3868.39</v>
      </c>
      <c r="W870" s="5" t="str">
        <f aca="false">IF(ROUND(V870-K870,2)=0,"OK","ERRO")</f>
        <v>OK</v>
      </c>
      <c r="X870" s="5" t="str">
        <f aca="false">VLOOKUP(F870,DIM_SERVICO!$A$2:$D$151,3,FALSE())</f>
        <v>Suspensão</v>
      </c>
    </row>
    <row r="871" customFormat="false" ht="15" hidden="false" customHeight="false" outlineLevel="0" collapsed="false">
      <c r="A871" s="6" t="n">
        <v>870</v>
      </c>
      <c r="B871" s="6" t="n">
        <v>1154</v>
      </c>
      <c r="C871" s="6" t="n">
        <v>673</v>
      </c>
      <c r="D871" s="6" t="n">
        <v>1102</v>
      </c>
      <c r="E871" s="6" t="n">
        <v>314</v>
      </c>
      <c r="F871" s="6" t="n">
        <v>14</v>
      </c>
      <c r="G871" s="6" t="n">
        <v>275</v>
      </c>
      <c r="H871" s="6" t="n">
        <v>3</v>
      </c>
      <c r="I871" s="7" t="n">
        <v>3036.51</v>
      </c>
      <c r="J871" s="7" t="n">
        <v>1939.75</v>
      </c>
      <c r="K871" s="7" t="n">
        <v>7440.64</v>
      </c>
      <c r="L871" s="7" t="n">
        <v>3627.79</v>
      </c>
      <c r="M871" s="6" t="n">
        <v>7.4</v>
      </c>
      <c r="N871" s="6" t="s">
        <v>27</v>
      </c>
      <c r="O871" s="8" t="n">
        <f aca="false">VLOOKUP(F871,DIM_SERVICO!$A$2:$D$151,4,FALSE())</f>
        <v>1939.75</v>
      </c>
      <c r="P871" s="8" t="n">
        <f aca="false">VLOOKUP(E871,DIM_PECA!$A$2:$F$501,6,FALSE())</f>
        <v>2109.21</v>
      </c>
      <c r="Q871" s="8" t="n">
        <f aca="false">VLOOKUP(E871,DIM_PECA!$A$2:$F$501,5,FALSE())</f>
        <v>1012.17</v>
      </c>
      <c r="R871" s="8" t="n">
        <f aca="false">H871*P871</f>
        <v>6327.63</v>
      </c>
      <c r="S871" s="8" t="n">
        <f aca="false">O871*M871</f>
        <v>14354.15</v>
      </c>
      <c r="T871" s="8" t="n">
        <f aca="false">R871+S871</f>
        <v>20681.78</v>
      </c>
      <c r="U871" s="8" t="n">
        <f aca="false">T871-K871</f>
        <v>13241.14</v>
      </c>
      <c r="V871" s="8" t="n">
        <f aca="false">R871+S871-U871</f>
        <v>7440.64</v>
      </c>
      <c r="W871" s="9" t="str">
        <f aca="false">IF(ROUND(V871-K871,2)=0,"OK","ERRO")</f>
        <v>OK</v>
      </c>
      <c r="X871" s="9" t="str">
        <f aca="false">VLOOKUP(F871,DIM_SERVICO!$A$2:$D$151,3,FALSE())</f>
        <v>Funilaria</v>
      </c>
    </row>
    <row r="872" customFormat="false" ht="15" hidden="false" customHeight="false" outlineLevel="0" collapsed="false">
      <c r="A872" s="2" t="n">
        <v>871</v>
      </c>
      <c r="B872" s="2" t="n">
        <v>1295</v>
      </c>
      <c r="C872" s="2" t="n">
        <v>1085</v>
      </c>
      <c r="D872" s="2" t="n">
        <v>436</v>
      </c>
      <c r="E872" s="2" t="n">
        <v>294</v>
      </c>
      <c r="F872" s="2" t="n">
        <v>20</v>
      </c>
      <c r="G872" s="2" t="n">
        <v>54</v>
      </c>
      <c r="H872" s="2" t="n">
        <v>2</v>
      </c>
      <c r="I872" s="3" t="n">
        <v>2058.06</v>
      </c>
      <c r="J872" s="3" t="n">
        <v>295.88</v>
      </c>
      <c r="K872" s="3" t="n">
        <v>4447.68</v>
      </c>
      <c r="L872" s="3" t="n">
        <v>2285.69</v>
      </c>
      <c r="M872" s="2" t="n">
        <v>1.7</v>
      </c>
      <c r="N872" s="2" t="s">
        <v>24</v>
      </c>
      <c r="O872" s="4" t="n">
        <f aca="false">VLOOKUP(F872,DIM_SERVICO!$A$2:$D$151,4,FALSE())</f>
        <v>295.88</v>
      </c>
      <c r="P872" s="4" t="n">
        <f aca="false">VLOOKUP(E872,DIM_PECA!$A$2:$F$501,6,FALSE())</f>
        <v>2075.9</v>
      </c>
      <c r="Q872" s="4" t="n">
        <f aca="false">VLOOKUP(E872,DIM_PECA!$A$2:$F$501,5,FALSE())</f>
        <v>1029.03</v>
      </c>
      <c r="R872" s="4" t="n">
        <f aca="false">H872*P872</f>
        <v>4151.8</v>
      </c>
      <c r="S872" s="4" t="n">
        <f aca="false">O872*M872</f>
        <v>502.996</v>
      </c>
      <c r="T872" s="4" t="n">
        <f aca="false">R872+S872</f>
        <v>4654.796</v>
      </c>
      <c r="U872" s="4" t="n">
        <f aca="false">T872-K872</f>
        <v>207.116</v>
      </c>
      <c r="V872" s="4" t="n">
        <f aca="false">R872+S872-U872</f>
        <v>4447.68</v>
      </c>
      <c r="W872" s="5" t="str">
        <f aca="false">IF(ROUND(V872-K872,2)=0,"OK","ERRO")</f>
        <v>OK</v>
      </c>
      <c r="X872" s="5" t="str">
        <f aca="false">VLOOKUP(F872,DIM_SERVICO!$A$2:$D$151,3,FALSE())</f>
        <v>Elétrica</v>
      </c>
    </row>
    <row r="873" customFormat="false" ht="15" hidden="false" customHeight="false" outlineLevel="0" collapsed="false">
      <c r="A873" s="6" t="n">
        <v>872</v>
      </c>
      <c r="B873" s="6" t="n">
        <v>599</v>
      </c>
      <c r="C873" s="6" t="n">
        <v>107</v>
      </c>
      <c r="D873" s="6" t="n">
        <v>420</v>
      </c>
      <c r="E873" s="6" t="n">
        <v>328</v>
      </c>
      <c r="F873" s="6" t="n">
        <v>125</v>
      </c>
      <c r="G873" s="6" t="n">
        <v>269</v>
      </c>
      <c r="H873" s="6" t="n">
        <v>1</v>
      </c>
      <c r="I873" s="7" t="n">
        <v>57.75</v>
      </c>
      <c r="J873" s="7" t="n">
        <v>988.93</v>
      </c>
      <c r="K873" s="7" t="n">
        <v>1085.95</v>
      </c>
      <c r="L873" s="7" t="n">
        <v>486.81</v>
      </c>
      <c r="M873" s="6" t="n">
        <v>10.6</v>
      </c>
      <c r="N873" s="6" t="s">
        <v>26</v>
      </c>
      <c r="O873" s="8" t="n">
        <f aca="false">VLOOKUP(F873,DIM_SERVICO!$A$2:$D$151,4,FALSE())</f>
        <v>988.93</v>
      </c>
      <c r="P873" s="8" t="n">
        <f aca="false">VLOOKUP(E873,DIM_PECA!$A$2:$F$501,6,FALSE())</f>
        <v>97.02</v>
      </c>
      <c r="Q873" s="8" t="n">
        <f aca="false">VLOOKUP(E873,DIM_PECA!$A$2:$F$501,5,FALSE())</f>
        <v>57.75</v>
      </c>
      <c r="R873" s="8" t="n">
        <f aca="false">H873*P873</f>
        <v>97.02</v>
      </c>
      <c r="S873" s="8" t="n">
        <f aca="false">O873*M873</f>
        <v>10482.658</v>
      </c>
      <c r="T873" s="8" t="n">
        <f aca="false">R873+S873</f>
        <v>10579.678</v>
      </c>
      <c r="U873" s="8" t="n">
        <f aca="false">T873-K873</f>
        <v>9493.728</v>
      </c>
      <c r="V873" s="8" t="n">
        <f aca="false">R873+S873-U873</f>
        <v>1085.95</v>
      </c>
      <c r="W873" s="9" t="str">
        <f aca="false">IF(ROUND(V873-K873,2)=0,"OK","ERRO")</f>
        <v>OK</v>
      </c>
      <c r="X873" s="9" t="str">
        <f aca="false">VLOOKUP(F873,DIM_SERVICO!$A$2:$D$151,3,FALSE())</f>
        <v>Suspensão</v>
      </c>
    </row>
    <row r="874" customFormat="false" ht="15" hidden="false" customHeight="false" outlineLevel="0" collapsed="false">
      <c r="A874" s="2" t="n">
        <v>873</v>
      </c>
      <c r="B874" s="2" t="n">
        <v>840</v>
      </c>
      <c r="C874" s="2" t="n">
        <v>930</v>
      </c>
      <c r="D874" s="2" t="n">
        <v>313</v>
      </c>
      <c r="E874" s="2" t="n">
        <v>305</v>
      </c>
      <c r="F874" s="2" t="n">
        <v>88</v>
      </c>
      <c r="G874" s="2" t="n">
        <v>1675</v>
      </c>
      <c r="H874" s="2" t="n">
        <v>4</v>
      </c>
      <c r="I874" s="3" t="n">
        <v>4526.2</v>
      </c>
      <c r="J874" s="3" t="n">
        <v>757.58</v>
      </c>
      <c r="K874" s="3" t="n">
        <v>10482.58</v>
      </c>
      <c r="L874" s="3" t="n">
        <v>5540.69</v>
      </c>
      <c r="M874" s="2" t="n">
        <v>2.3</v>
      </c>
      <c r="N874" s="2" t="s">
        <v>24</v>
      </c>
      <c r="O874" s="4" t="n">
        <f aca="false">VLOOKUP(F874,DIM_SERVICO!$A$2:$D$151,4,FALSE())</f>
        <v>757.58</v>
      </c>
      <c r="P874" s="4" t="n">
        <f aca="false">VLOOKUP(E874,DIM_PECA!$A$2:$F$501,6,FALSE())</f>
        <v>2431.25</v>
      </c>
      <c r="Q874" s="4" t="n">
        <f aca="false">VLOOKUP(E874,DIM_PECA!$A$2:$F$501,5,FALSE())</f>
        <v>1131.55</v>
      </c>
      <c r="R874" s="4" t="n">
        <f aca="false">H874*P874</f>
        <v>9725</v>
      </c>
      <c r="S874" s="4" t="n">
        <f aca="false">O874*M874</f>
        <v>1742.434</v>
      </c>
      <c r="T874" s="4" t="n">
        <f aca="false">R874+S874</f>
        <v>11467.434</v>
      </c>
      <c r="U874" s="4" t="n">
        <f aca="false">T874-K874</f>
        <v>984.853999999999</v>
      </c>
      <c r="V874" s="4" t="n">
        <f aca="false">R874+S874-U874</f>
        <v>10482.58</v>
      </c>
      <c r="W874" s="5" t="str">
        <f aca="false">IF(ROUND(V874-K874,2)=0,"OK","ERRO")</f>
        <v>OK</v>
      </c>
      <c r="X874" s="5" t="str">
        <f aca="false">VLOOKUP(F874,DIM_SERVICO!$A$2:$D$151,3,FALSE())</f>
        <v>Motor</v>
      </c>
    </row>
    <row r="875" customFormat="false" ht="15" hidden="false" customHeight="false" outlineLevel="0" collapsed="false">
      <c r="A875" s="6" t="n">
        <v>874</v>
      </c>
      <c r="B875" s="6" t="n">
        <v>1246</v>
      </c>
      <c r="C875" s="6" t="n">
        <v>440</v>
      </c>
      <c r="D875" s="6" t="n">
        <v>839</v>
      </c>
      <c r="E875" s="6" t="n">
        <v>29</v>
      </c>
      <c r="F875" s="6" t="n">
        <v>15</v>
      </c>
      <c r="G875" s="6" t="n">
        <v>1012</v>
      </c>
      <c r="H875" s="6" t="n">
        <v>4</v>
      </c>
      <c r="I875" s="7" t="n">
        <v>559.6</v>
      </c>
      <c r="J875" s="7" t="n">
        <v>1426.42</v>
      </c>
      <c r="K875" s="7" t="n">
        <v>1991</v>
      </c>
      <c r="L875" s="7" t="n">
        <v>667.71</v>
      </c>
      <c r="M875" s="6" t="n">
        <v>9.1</v>
      </c>
      <c r="N875" s="6" t="s">
        <v>27</v>
      </c>
      <c r="O875" s="8" t="n">
        <f aca="false">VLOOKUP(F875,DIM_SERVICO!$A$2:$D$151,4,FALSE())</f>
        <v>1426.42</v>
      </c>
      <c r="P875" s="8" t="n">
        <f aca="false">VLOOKUP(E875,DIM_PECA!$A$2:$F$501,6,FALSE())</f>
        <v>196.45</v>
      </c>
      <c r="Q875" s="8" t="n">
        <f aca="false">VLOOKUP(E875,DIM_PECA!$A$2:$F$501,5,FALSE())</f>
        <v>139.9</v>
      </c>
      <c r="R875" s="8" t="n">
        <f aca="false">H875*P875</f>
        <v>785.8</v>
      </c>
      <c r="S875" s="8" t="n">
        <f aca="false">O875*M875</f>
        <v>12980.422</v>
      </c>
      <c r="T875" s="8" t="n">
        <f aca="false">R875+S875</f>
        <v>13766.222</v>
      </c>
      <c r="U875" s="8" t="n">
        <f aca="false">T875-K875</f>
        <v>11775.222</v>
      </c>
      <c r="V875" s="8" t="n">
        <f aca="false">R875+S875-U875</f>
        <v>1991</v>
      </c>
      <c r="W875" s="9" t="str">
        <f aca="false">IF(ROUND(V875-K875,2)=0,"OK","ERRO")</f>
        <v>OK</v>
      </c>
      <c r="X875" s="9" t="str">
        <f aca="false">VLOOKUP(F875,DIM_SERVICO!$A$2:$D$151,3,FALSE())</f>
        <v>Pintura</v>
      </c>
    </row>
    <row r="876" customFormat="false" ht="15" hidden="false" customHeight="false" outlineLevel="0" collapsed="false">
      <c r="A876" s="2" t="n">
        <v>875</v>
      </c>
      <c r="B876" s="2" t="n">
        <v>687</v>
      </c>
      <c r="C876" s="2" t="n">
        <v>426</v>
      </c>
      <c r="D876" s="2" t="n">
        <v>47</v>
      </c>
      <c r="E876" s="2" t="n">
        <v>408</v>
      </c>
      <c r="F876" s="2" t="n">
        <v>47</v>
      </c>
      <c r="G876" s="2" t="n">
        <v>325</v>
      </c>
      <c r="H876" s="2" t="n">
        <v>3</v>
      </c>
      <c r="I876" s="3" t="n">
        <v>1019.19</v>
      </c>
      <c r="J876" s="3" t="n">
        <v>399.81</v>
      </c>
      <c r="K876" s="3" t="n">
        <v>2578.74</v>
      </c>
      <c r="L876" s="3" t="n">
        <v>1382.28</v>
      </c>
      <c r="M876" s="2" t="n">
        <v>5.5</v>
      </c>
      <c r="N876" s="2" t="s">
        <v>24</v>
      </c>
      <c r="O876" s="4" t="n">
        <f aca="false">VLOOKUP(F876,DIM_SERVICO!$A$2:$D$151,4,FALSE())</f>
        <v>399.81</v>
      </c>
      <c r="P876" s="4" t="n">
        <f aca="false">VLOOKUP(E876,DIM_PECA!$A$2:$F$501,6,FALSE())</f>
        <v>726.31</v>
      </c>
      <c r="Q876" s="4" t="n">
        <f aca="false">VLOOKUP(E876,DIM_PECA!$A$2:$F$501,5,FALSE())</f>
        <v>339.73</v>
      </c>
      <c r="R876" s="4" t="n">
        <f aca="false">H876*P876</f>
        <v>2178.93</v>
      </c>
      <c r="S876" s="4" t="n">
        <f aca="false">O876*M876</f>
        <v>2198.955</v>
      </c>
      <c r="T876" s="4" t="n">
        <f aca="false">R876+S876</f>
        <v>4377.885</v>
      </c>
      <c r="U876" s="4" t="n">
        <f aca="false">T876-K876</f>
        <v>1799.145</v>
      </c>
      <c r="V876" s="4" t="n">
        <f aca="false">R876+S876-U876</f>
        <v>2578.74</v>
      </c>
      <c r="W876" s="5" t="str">
        <f aca="false">IF(ROUND(V876-K876,2)=0,"OK","ERRO")</f>
        <v>OK</v>
      </c>
      <c r="X876" s="5" t="str">
        <f aca="false">VLOOKUP(F876,DIM_SERVICO!$A$2:$D$151,3,FALSE())</f>
        <v>Funilaria</v>
      </c>
    </row>
    <row r="877" customFormat="false" ht="15" hidden="false" customHeight="false" outlineLevel="0" collapsed="false">
      <c r="A877" s="6" t="n">
        <v>876</v>
      </c>
      <c r="B877" s="6" t="n">
        <v>1319</v>
      </c>
      <c r="C877" s="6" t="n">
        <v>1091</v>
      </c>
      <c r="D877" s="6" t="n">
        <v>1111</v>
      </c>
      <c r="E877" s="6" t="n">
        <v>313</v>
      </c>
      <c r="F877" s="6" t="n">
        <v>45</v>
      </c>
      <c r="G877" s="6" t="n">
        <v>242</v>
      </c>
      <c r="H877" s="6" t="n">
        <v>2</v>
      </c>
      <c r="I877" s="7" t="n">
        <v>172.66</v>
      </c>
      <c r="J877" s="7" t="n">
        <v>510.5</v>
      </c>
      <c r="K877" s="7" t="n">
        <v>831.9</v>
      </c>
      <c r="L877" s="7" t="n">
        <v>451.4</v>
      </c>
      <c r="M877" s="6" t="n">
        <v>1.6</v>
      </c>
      <c r="N877" s="6" t="s">
        <v>24</v>
      </c>
      <c r="O877" s="8" t="n">
        <f aca="false">VLOOKUP(F877,DIM_SERVICO!$A$2:$D$151,4,FALSE())</f>
        <v>510.5</v>
      </c>
      <c r="P877" s="8" t="n">
        <f aca="false">VLOOKUP(E877,DIM_PECA!$A$2:$F$501,6,FALSE())</f>
        <v>169.19</v>
      </c>
      <c r="Q877" s="8" t="n">
        <f aca="false">VLOOKUP(E877,DIM_PECA!$A$2:$F$501,5,FALSE())</f>
        <v>86.33</v>
      </c>
      <c r="R877" s="8" t="n">
        <f aca="false">H877*P877</f>
        <v>338.38</v>
      </c>
      <c r="S877" s="8" t="n">
        <f aca="false">O877*M877</f>
        <v>816.8</v>
      </c>
      <c r="T877" s="8" t="n">
        <f aca="false">R877+S877</f>
        <v>1155.18</v>
      </c>
      <c r="U877" s="8" t="n">
        <f aca="false">T877-K877</f>
        <v>323.28</v>
      </c>
      <c r="V877" s="8" t="n">
        <f aca="false">R877+S877-U877</f>
        <v>831.9</v>
      </c>
      <c r="W877" s="9" t="str">
        <f aca="false">IF(ROUND(V877-K877,2)=0,"OK","ERRO")</f>
        <v>OK</v>
      </c>
      <c r="X877" s="9" t="str">
        <f aca="false">VLOOKUP(F877,DIM_SERVICO!$A$2:$D$151,3,FALSE())</f>
        <v>Revisão</v>
      </c>
    </row>
    <row r="878" customFormat="false" ht="15" hidden="false" customHeight="false" outlineLevel="0" collapsed="false">
      <c r="A878" s="2" t="n">
        <v>877</v>
      </c>
      <c r="B878" s="2" t="n">
        <v>687</v>
      </c>
      <c r="C878" s="2" t="n">
        <v>426</v>
      </c>
      <c r="D878" s="2" t="n">
        <v>397</v>
      </c>
      <c r="E878" s="2" t="n">
        <v>156</v>
      </c>
      <c r="F878" s="2" t="n">
        <v>94</v>
      </c>
      <c r="G878" s="2" t="n">
        <v>1182</v>
      </c>
      <c r="H878" s="2" t="n">
        <v>3</v>
      </c>
      <c r="I878" s="3" t="n">
        <v>225.33</v>
      </c>
      <c r="J878" s="3" t="n">
        <v>308.51</v>
      </c>
      <c r="K878" s="3" t="n">
        <v>587.4</v>
      </c>
      <c r="L878" s="3" t="n">
        <v>243.17</v>
      </c>
      <c r="M878" s="2" t="n">
        <v>11.4</v>
      </c>
      <c r="N878" s="2" t="s">
        <v>25</v>
      </c>
      <c r="O878" s="4" t="n">
        <f aca="false">VLOOKUP(F878,DIM_SERVICO!$A$2:$D$151,4,FALSE())</f>
        <v>308.51</v>
      </c>
      <c r="P878" s="4" t="n">
        <f aca="false">VLOOKUP(E878,DIM_PECA!$A$2:$F$501,6,FALSE())</f>
        <v>103.27</v>
      </c>
      <c r="Q878" s="4" t="n">
        <f aca="false">VLOOKUP(E878,DIM_PECA!$A$2:$F$501,5,FALSE())</f>
        <v>75.11</v>
      </c>
      <c r="R878" s="4" t="n">
        <f aca="false">H878*P878</f>
        <v>309.81</v>
      </c>
      <c r="S878" s="4" t="n">
        <f aca="false">O878*M878</f>
        <v>3517.014</v>
      </c>
      <c r="T878" s="4" t="n">
        <f aca="false">R878+S878</f>
        <v>3826.824</v>
      </c>
      <c r="U878" s="4" t="n">
        <f aca="false">T878-K878</f>
        <v>3239.424</v>
      </c>
      <c r="V878" s="4" t="n">
        <f aca="false">R878+S878-U878</f>
        <v>587.4</v>
      </c>
      <c r="W878" s="5" t="str">
        <f aca="false">IF(ROUND(V878-K878,2)=0,"OK","ERRO")</f>
        <v>OK</v>
      </c>
      <c r="X878" s="5" t="str">
        <f aca="false">VLOOKUP(F878,DIM_SERVICO!$A$2:$D$151,3,FALSE())</f>
        <v>Funilaria</v>
      </c>
    </row>
    <row r="879" customFormat="false" ht="15" hidden="false" customHeight="false" outlineLevel="0" collapsed="false">
      <c r="A879" s="6" t="n">
        <v>878</v>
      </c>
      <c r="B879" s="6" t="n">
        <v>520</v>
      </c>
      <c r="C879" s="6" t="n">
        <v>815</v>
      </c>
      <c r="D879" s="6" t="n">
        <v>645</v>
      </c>
      <c r="E879" s="6" t="n">
        <v>204</v>
      </c>
      <c r="F879" s="6" t="n">
        <v>41</v>
      </c>
      <c r="G879" s="6" t="n">
        <v>131</v>
      </c>
      <c r="H879" s="6" t="n">
        <v>2</v>
      </c>
      <c r="I879" s="7" t="n">
        <v>150.5</v>
      </c>
      <c r="J879" s="7" t="n">
        <v>1317.9</v>
      </c>
      <c r="K879" s="7" t="n">
        <v>1446.79</v>
      </c>
      <c r="L879" s="7" t="n">
        <v>588.58</v>
      </c>
      <c r="M879" s="6" t="n">
        <v>10.2</v>
      </c>
      <c r="N879" s="6" t="s">
        <v>24</v>
      </c>
      <c r="O879" s="8" t="n">
        <f aca="false">VLOOKUP(F879,DIM_SERVICO!$A$2:$D$151,4,FALSE())</f>
        <v>1317.9</v>
      </c>
      <c r="P879" s="8" t="n">
        <f aca="false">VLOOKUP(E879,DIM_PECA!$A$2:$F$501,6,FALSE())</f>
        <v>102.52</v>
      </c>
      <c r="Q879" s="8" t="n">
        <f aca="false">VLOOKUP(E879,DIM_PECA!$A$2:$F$501,5,FALSE())</f>
        <v>75.25</v>
      </c>
      <c r="R879" s="8" t="n">
        <f aca="false">H879*P879</f>
        <v>205.04</v>
      </c>
      <c r="S879" s="8" t="n">
        <f aca="false">O879*M879</f>
        <v>13442.58</v>
      </c>
      <c r="T879" s="8" t="n">
        <f aca="false">R879+S879</f>
        <v>13647.62</v>
      </c>
      <c r="U879" s="8" t="n">
        <f aca="false">T879-K879</f>
        <v>12200.83</v>
      </c>
      <c r="V879" s="8" t="n">
        <f aca="false">R879+S879-U879</f>
        <v>1446.79</v>
      </c>
      <c r="W879" s="9" t="str">
        <f aca="false">IF(ROUND(V879-K879,2)=0,"OK","ERRO")</f>
        <v>OK</v>
      </c>
      <c r="X879" s="9" t="str">
        <f aca="false">VLOOKUP(F879,DIM_SERVICO!$A$2:$D$151,3,FALSE())</f>
        <v>Motor</v>
      </c>
    </row>
    <row r="880" customFormat="false" ht="15" hidden="false" customHeight="false" outlineLevel="0" collapsed="false">
      <c r="A880" s="2" t="n">
        <v>879</v>
      </c>
      <c r="B880" s="2" t="n">
        <v>568</v>
      </c>
      <c r="C880" s="2" t="n">
        <v>68</v>
      </c>
      <c r="D880" s="2" t="n">
        <v>1050</v>
      </c>
      <c r="E880" s="2" t="n">
        <v>459</v>
      </c>
      <c r="F880" s="2" t="n">
        <v>146</v>
      </c>
      <c r="G880" s="2" t="n">
        <v>623</v>
      </c>
      <c r="H880" s="2" t="n">
        <v>3</v>
      </c>
      <c r="I880" s="3" t="n">
        <v>1699.23</v>
      </c>
      <c r="J880" s="3" t="n">
        <v>482.6</v>
      </c>
      <c r="K880" s="3" t="n">
        <v>4045.07</v>
      </c>
      <c r="L880" s="3" t="n">
        <v>2104.47</v>
      </c>
      <c r="M880" s="2" t="n">
        <v>4.7</v>
      </c>
      <c r="N880" s="2" t="s">
        <v>24</v>
      </c>
      <c r="O880" s="4" t="n">
        <f aca="false">VLOOKUP(F880,DIM_SERVICO!$A$2:$D$151,4,FALSE())</f>
        <v>482.6</v>
      </c>
      <c r="P880" s="4" t="n">
        <f aca="false">VLOOKUP(E880,DIM_PECA!$A$2:$F$501,6,FALSE())</f>
        <v>1187.49</v>
      </c>
      <c r="Q880" s="4" t="n">
        <f aca="false">VLOOKUP(E880,DIM_PECA!$A$2:$F$501,5,FALSE())</f>
        <v>566.41</v>
      </c>
      <c r="R880" s="4" t="n">
        <f aca="false">H880*P880</f>
        <v>3562.47</v>
      </c>
      <c r="S880" s="4" t="n">
        <f aca="false">O880*M880</f>
        <v>2268.22</v>
      </c>
      <c r="T880" s="4" t="n">
        <f aca="false">R880+S880</f>
        <v>5830.69</v>
      </c>
      <c r="U880" s="4" t="n">
        <f aca="false">T880-K880</f>
        <v>1785.62</v>
      </c>
      <c r="V880" s="4" t="n">
        <f aca="false">R880+S880-U880</f>
        <v>4045.07</v>
      </c>
      <c r="W880" s="5" t="str">
        <f aca="false">IF(ROUND(V880-K880,2)=0,"OK","ERRO")</f>
        <v>OK</v>
      </c>
      <c r="X880" s="5" t="str">
        <f aca="false">VLOOKUP(F880,DIM_SERVICO!$A$2:$D$151,3,FALSE())</f>
        <v>Funilaria</v>
      </c>
    </row>
    <row r="881" customFormat="false" ht="15" hidden="false" customHeight="false" outlineLevel="0" collapsed="false">
      <c r="A881" s="6" t="n">
        <v>880</v>
      </c>
      <c r="B881" s="6" t="n">
        <v>285</v>
      </c>
      <c r="C881" s="6" t="n">
        <v>427</v>
      </c>
      <c r="D881" s="6" t="n">
        <v>802</v>
      </c>
      <c r="E881" s="6" t="n">
        <v>219</v>
      </c>
      <c r="F881" s="6" t="n">
        <v>51</v>
      </c>
      <c r="G881" s="6" t="n">
        <v>1547</v>
      </c>
      <c r="H881" s="6" t="n">
        <v>4</v>
      </c>
      <c r="I881" s="7" t="n">
        <v>1376.2</v>
      </c>
      <c r="J881" s="7" t="n">
        <v>876</v>
      </c>
      <c r="K881" s="7" t="n">
        <v>2918.92</v>
      </c>
      <c r="L881" s="7" t="n">
        <v>1138.77</v>
      </c>
      <c r="M881" s="6" t="n">
        <v>11.8</v>
      </c>
      <c r="N881" s="6" t="s">
        <v>27</v>
      </c>
      <c r="O881" s="8" t="n">
        <f aca="false">VLOOKUP(F881,DIM_SERVICO!$A$2:$D$151,4,FALSE())</f>
        <v>876</v>
      </c>
      <c r="P881" s="8" t="n">
        <f aca="false">VLOOKUP(E881,DIM_PECA!$A$2:$F$501,6,FALSE())</f>
        <v>591.81</v>
      </c>
      <c r="Q881" s="8" t="n">
        <f aca="false">VLOOKUP(E881,DIM_PECA!$A$2:$F$501,5,FALSE())</f>
        <v>344.05</v>
      </c>
      <c r="R881" s="8" t="n">
        <f aca="false">H881*P881</f>
        <v>2367.24</v>
      </c>
      <c r="S881" s="8" t="n">
        <f aca="false">O881*M881</f>
        <v>10336.8</v>
      </c>
      <c r="T881" s="8" t="n">
        <f aca="false">R881+S881</f>
        <v>12704.04</v>
      </c>
      <c r="U881" s="8" t="n">
        <f aca="false">T881-K881</f>
        <v>9785.12</v>
      </c>
      <c r="V881" s="8" t="n">
        <f aca="false">R881+S881-U881</f>
        <v>2918.92</v>
      </c>
      <c r="W881" s="9" t="str">
        <f aca="false">IF(ROUND(V881-K881,2)=0,"OK","ERRO")</f>
        <v>OK</v>
      </c>
      <c r="X881" s="9" t="str">
        <f aca="false">VLOOKUP(F881,DIM_SERVICO!$A$2:$D$151,3,FALSE())</f>
        <v>Revisão</v>
      </c>
    </row>
    <row r="882" customFormat="false" ht="15" hidden="false" customHeight="false" outlineLevel="0" collapsed="false">
      <c r="A882" s="2" t="n">
        <v>881</v>
      </c>
      <c r="B882" s="2" t="n">
        <v>303</v>
      </c>
      <c r="C882" s="2" t="n">
        <v>360</v>
      </c>
      <c r="D882" s="2" t="n">
        <v>644</v>
      </c>
      <c r="E882" s="2" t="n">
        <v>493</v>
      </c>
      <c r="F882" s="2" t="n">
        <v>107</v>
      </c>
      <c r="G882" s="2" t="n">
        <v>599</v>
      </c>
      <c r="H882" s="2" t="n">
        <v>3</v>
      </c>
      <c r="I882" s="3" t="n">
        <v>3063.63</v>
      </c>
      <c r="J882" s="3" t="n">
        <v>550.68</v>
      </c>
      <c r="K882" s="3" t="n">
        <v>5058.29</v>
      </c>
      <c r="L882" s="3" t="n">
        <v>1754.74</v>
      </c>
      <c r="M882" s="2" t="n">
        <v>11.9</v>
      </c>
      <c r="N882" s="2" t="s">
        <v>24</v>
      </c>
      <c r="O882" s="4" t="n">
        <f aca="false">VLOOKUP(F882,DIM_SERVICO!$A$2:$D$151,4,FALSE())</f>
        <v>550.68</v>
      </c>
      <c r="P882" s="4" t="n">
        <f aca="false">VLOOKUP(E882,DIM_PECA!$A$2:$F$501,6,FALSE())</f>
        <v>1591.28</v>
      </c>
      <c r="Q882" s="4" t="n">
        <f aca="false">VLOOKUP(E882,DIM_PECA!$A$2:$F$501,5,FALSE())</f>
        <v>1021.21</v>
      </c>
      <c r="R882" s="4" t="n">
        <f aca="false">H882*P882</f>
        <v>4773.84</v>
      </c>
      <c r="S882" s="4" t="n">
        <f aca="false">O882*M882</f>
        <v>6553.092</v>
      </c>
      <c r="T882" s="4" t="n">
        <f aca="false">R882+S882</f>
        <v>11326.932</v>
      </c>
      <c r="U882" s="4" t="n">
        <f aca="false">T882-K882</f>
        <v>6268.642</v>
      </c>
      <c r="V882" s="4" t="n">
        <f aca="false">R882+S882-U882</f>
        <v>5058.29</v>
      </c>
      <c r="W882" s="5" t="str">
        <f aca="false">IF(ROUND(V882-K882,2)=0,"OK","ERRO")</f>
        <v>OK</v>
      </c>
      <c r="X882" s="5" t="str">
        <f aca="false">VLOOKUP(F882,DIM_SERVICO!$A$2:$D$151,3,FALSE())</f>
        <v>Diagnóstico</v>
      </c>
    </row>
    <row r="883" customFormat="false" ht="15" hidden="false" customHeight="false" outlineLevel="0" collapsed="false">
      <c r="A883" s="6" t="n">
        <v>882</v>
      </c>
      <c r="B883" s="6" t="n">
        <v>1182</v>
      </c>
      <c r="C883" s="6" t="n">
        <v>895</v>
      </c>
      <c r="D883" s="6" t="n">
        <v>767</v>
      </c>
      <c r="E883" s="6" t="n">
        <v>299</v>
      </c>
      <c r="F883" s="6" t="n">
        <v>92</v>
      </c>
      <c r="G883" s="6" t="n">
        <v>1360</v>
      </c>
      <c r="H883" s="6" t="n">
        <v>3</v>
      </c>
      <c r="I883" s="7" t="n">
        <v>2240.94</v>
      </c>
      <c r="J883" s="7" t="n">
        <v>1754.32</v>
      </c>
      <c r="K883" s="7" t="n">
        <v>4459.92</v>
      </c>
      <c r="L883" s="7" t="n">
        <v>1430.71</v>
      </c>
      <c r="M883" s="6" t="n">
        <v>0.6</v>
      </c>
      <c r="N883" s="6" t="s">
        <v>27</v>
      </c>
      <c r="O883" s="8" t="n">
        <f aca="false">VLOOKUP(F883,DIM_SERVICO!$A$2:$D$151,4,FALSE())</f>
        <v>1754.32</v>
      </c>
      <c r="P883" s="8" t="n">
        <f aca="false">VLOOKUP(E883,DIM_PECA!$A$2:$F$501,6,FALSE())</f>
        <v>1031.14</v>
      </c>
      <c r="Q883" s="8" t="n">
        <f aca="false">VLOOKUP(E883,DIM_PECA!$A$2:$F$501,5,FALSE())</f>
        <v>746.98</v>
      </c>
      <c r="R883" s="8" t="n">
        <f aca="false">H883*P883</f>
        <v>3093.42</v>
      </c>
      <c r="S883" s="8" t="n">
        <f aca="false">O883*M883</f>
        <v>1052.592</v>
      </c>
      <c r="T883" s="8" t="n">
        <f aca="false">R883+S883</f>
        <v>4146.012</v>
      </c>
      <c r="U883" s="8" t="n">
        <f aca="false">T883-K883</f>
        <v>-313.908</v>
      </c>
      <c r="V883" s="8" t="n">
        <f aca="false">R883+S883-U883</f>
        <v>4459.92</v>
      </c>
      <c r="W883" s="9" t="str">
        <f aca="false">IF(ROUND(V883-K883,2)=0,"OK","ERRO")</f>
        <v>OK</v>
      </c>
      <c r="X883" s="9" t="str">
        <f aca="false">VLOOKUP(F883,DIM_SERVICO!$A$2:$D$151,3,FALSE())</f>
        <v>Revisão</v>
      </c>
    </row>
    <row r="884" customFormat="false" ht="15" hidden="false" customHeight="false" outlineLevel="0" collapsed="false">
      <c r="A884" s="2" t="n">
        <v>883</v>
      </c>
      <c r="B884" s="2" t="n">
        <v>1298</v>
      </c>
      <c r="C884" s="2" t="n">
        <v>241</v>
      </c>
      <c r="D884" s="2" t="n">
        <v>1002</v>
      </c>
      <c r="E884" s="2" t="n">
        <v>209</v>
      </c>
      <c r="F884" s="2" t="n">
        <v>94</v>
      </c>
      <c r="G884" s="2" t="n">
        <v>1704</v>
      </c>
      <c r="H884" s="2" t="n">
        <v>1</v>
      </c>
      <c r="I884" s="3" t="n">
        <v>924.81</v>
      </c>
      <c r="J884" s="3" t="n">
        <v>308.51</v>
      </c>
      <c r="K884" s="3" t="n">
        <v>2253.88</v>
      </c>
      <c r="L884" s="3" t="n">
        <v>1192.46</v>
      </c>
      <c r="M884" s="2" t="n">
        <v>9.4</v>
      </c>
      <c r="N884" s="2" t="s">
        <v>27</v>
      </c>
      <c r="O884" s="4" t="n">
        <f aca="false">VLOOKUP(F884,DIM_SERVICO!$A$2:$D$151,4,FALSE())</f>
        <v>308.51</v>
      </c>
      <c r="P884" s="4" t="n">
        <f aca="false">VLOOKUP(E884,DIM_PECA!$A$2:$F$501,6,FALSE())</f>
        <v>1991.37</v>
      </c>
      <c r="Q884" s="4" t="n">
        <f aca="false">VLOOKUP(E884,DIM_PECA!$A$2:$F$501,5,FALSE())</f>
        <v>924.81</v>
      </c>
      <c r="R884" s="4" t="n">
        <f aca="false">H884*P884</f>
        <v>1991.37</v>
      </c>
      <c r="S884" s="4" t="n">
        <f aca="false">O884*M884</f>
        <v>2899.994</v>
      </c>
      <c r="T884" s="4" t="n">
        <f aca="false">R884+S884</f>
        <v>4891.364</v>
      </c>
      <c r="U884" s="4" t="n">
        <f aca="false">T884-K884</f>
        <v>2637.484</v>
      </c>
      <c r="V884" s="4" t="n">
        <f aca="false">R884+S884-U884</f>
        <v>2253.88</v>
      </c>
      <c r="W884" s="5" t="str">
        <f aca="false">IF(ROUND(V884-K884,2)=0,"OK","ERRO")</f>
        <v>OK</v>
      </c>
      <c r="X884" s="5" t="str">
        <f aca="false">VLOOKUP(F884,DIM_SERVICO!$A$2:$D$151,3,FALSE())</f>
        <v>Funilaria</v>
      </c>
    </row>
    <row r="885" customFormat="false" ht="15" hidden="false" customHeight="false" outlineLevel="0" collapsed="false">
      <c r="A885" s="6" t="n">
        <v>884</v>
      </c>
      <c r="B885" s="6" t="n">
        <v>485</v>
      </c>
      <c r="C885" s="6" t="n">
        <v>847</v>
      </c>
      <c r="D885" s="6" t="n">
        <v>506</v>
      </c>
      <c r="E885" s="6" t="n">
        <v>443</v>
      </c>
      <c r="F885" s="6" t="n">
        <v>87</v>
      </c>
      <c r="G885" s="6" t="n">
        <v>137</v>
      </c>
      <c r="H885" s="6" t="n">
        <v>1</v>
      </c>
      <c r="I885" s="7" t="n">
        <v>912.96</v>
      </c>
      <c r="J885" s="7" t="n">
        <v>1231.26</v>
      </c>
      <c r="K885" s="7" t="n">
        <v>2549.8</v>
      </c>
      <c r="L885" s="7" t="n">
        <v>1061.62</v>
      </c>
      <c r="M885" s="6" t="n">
        <v>4.1</v>
      </c>
      <c r="N885" s="6" t="s">
        <v>24</v>
      </c>
      <c r="O885" s="8" t="n">
        <f aca="false">VLOOKUP(F885,DIM_SERVICO!$A$2:$D$151,4,FALSE())</f>
        <v>1231.26</v>
      </c>
      <c r="P885" s="8" t="n">
        <f aca="false">VLOOKUP(E885,DIM_PECA!$A$2:$F$501,6,FALSE())</f>
        <v>1318.54</v>
      </c>
      <c r="Q885" s="8" t="n">
        <f aca="false">VLOOKUP(E885,DIM_PECA!$A$2:$F$501,5,FALSE())</f>
        <v>912.96</v>
      </c>
      <c r="R885" s="8" t="n">
        <f aca="false">H885*P885</f>
        <v>1318.54</v>
      </c>
      <c r="S885" s="8" t="n">
        <f aca="false">O885*M885</f>
        <v>5048.166</v>
      </c>
      <c r="T885" s="8" t="n">
        <f aca="false">R885+S885</f>
        <v>6366.706</v>
      </c>
      <c r="U885" s="8" t="n">
        <f aca="false">T885-K885</f>
        <v>3816.906</v>
      </c>
      <c r="V885" s="8" t="n">
        <f aca="false">R885+S885-U885</f>
        <v>2549.8</v>
      </c>
      <c r="W885" s="9" t="str">
        <f aca="false">IF(ROUND(V885-K885,2)=0,"OK","ERRO")</f>
        <v>OK</v>
      </c>
      <c r="X885" s="9" t="str">
        <f aca="false">VLOOKUP(F885,DIM_SERVICO!$A$2:$D$151,3,FALSE())</f>
        <v>Elétrica</v>
      </c>
    </row>
    <row r="886" customFormat="false" ht="15" hidden="false" customHeight="false" outlineLevel="0" collapsed="false">
      <c r="A886" s="2" t="n">
        <v>885</v>
      </c>
      <c r="B886" s="2" t="n">
        <v>1353</v>
      </c>
      <c r="C886" s="2" t="n">
        <v>282</v>
      </c>
      <c r="D886" s="2" t="n">
        <v>597</v>
      </c>
      <c r="E886" s="2" t="n">
        <v>212</v>
      </c>
      <c r="F886" s="2" t="n">
        <v>129</v>
      </c>
      <c r="G886" s="2" t="n">
        <v>935</v>
      </c>
      <c r="H886" s="2" t="n">
        <v>1</v>
      </c>
      <c r="I886" s="3" t="n">
        <v>768.35</v>
      </c>
      <c r="J886" s="3" t="n">
        <v>404</v>
      </c>
      <c r="K886" s="3" t="n">
        <v>1525.77</v>
      </c>
      <c r="L886" s="3" t="n">
        <v>545.52</v>
      </c>
      <c r="M886" s="2" t="n">
        <v>3.5</v>
      </c>
      <c r="N886" s="2" t="s">
        <v>24</v>
      </c>
      <c r="O886" s="4" t="n">
        <f aca="false">VLOOKUP(F886,DIM_SERVICO!$A$2:$D$151,4,FALSE())</f>
        <v>404</v>
      </c>
      <c r="P886" s="4" t="n">
        <f aca="false">VLOOKUP(E886,DIM_PECA!$A$2:$F$501,6,FALSE())</f>
        <v>1121.77</v>
      </c>
      <c r="Q886" s="4" t="n">
        <f aca="false">VLOOKUP(E886,DIM_PECA!$A$2:$F$501,5,FALSE())</f>
        <v>768.35</v>
      </c>
      <c r="R886" s="4" t="n">
        <f aca="false">H886*P886</f>
        <v>1121.77</v>
      </c>
      <c r="S886" s="4" t="n">
        <f aca="false">O886*M886</f>
        <v>1414</v>
      </c>
      <c r="T886" s="4" t="n">
        <f aca="false">R886+S886</f>
        <v>2535.77</v>
      </c>
      <c r="U886" s="4" t="n">
        <f aca="false">T886-K886</f>
        <v>1010</v>
      </c>
      <c r="V886" s="4" t="n">
        <f aca="false">R886+S886-U886</f>
        <v>1525.77</v>
      </c>
      <c r="W886" s="5" t="str">
        <f aca="false">IF(ROUND(V886-K886,2)=0,"OK","ERRO")</f>
        <v>OK</v>
      </c>
      <c r="X886" s="5" t="str">
        <f aca="false">VLOOKUP(F886,DIM_SERVICO!$A$2:$D$151,3,FALSE())</f>
        <v>Diagnóstico</v>
      </c>
    </row>
    <row r="887" customFormat="false" ht="15" hidden="false" customHeight="false" outlineLevel="0" collapsed="false">
      <c r="A887" s="6" t="n">
        <v>886</v>
      </c>
      <c r="B887" s="6" t="n">
        <v>183</v>
      </c>
      <c r="C887" s="6" t="n">
        <v>1251</v>
      </c>
      <c r="D887" s="6" t="n">
        <v>895</v>
      </c>
      <c r="E887" s="6" t="n">
        <v>317</v>
      </c>
      <c r="F887" s="6" t="n">
        <v>92</v>
      </c>
      <c r="G887" s="6" t="n">
        <v>95</v>
      </c>
      <c r="H887" s="6" t="n">
        <v>1</v>
      </c>
      <c r="I887" s="7" t="n">
        <v>51.87</v>
      </c>
      <c r="J887" s="7" t="n">
        <v>1754.32</v>
      </c>
      <c r="K887" s="7" t="n">
        <v>1667.16</v>
      </c>
      <c r="L887" s="7" t="n">
        <v>728.78</v>
      </c>
      <c r="M887" s="6" t="n">
        <v>5.1</v>
      </c>
      <c r="N887" s="6" t="s">
        <v>27</v>
      </c>
      <c r="O887" s="8" t="n">
        <f aca="false">VLOOKUP(F887,DIM_SERVICO!$A$2:$D$151,4,FALSE())</f>
        <v>1754.32</v>
      </c>
      <c r="P887" s="8" t="n">
        <f aca="false">VLOOKUP(E887,DIM_PECA!$A$2:$F$501,6,FALSE())</f>
        <v>98.08</v>
      </c>
      <c r="Q887" s="8" t="n">
        <f aca="false">VLOOKUP(E887,DIM_PECA!$A$2:$F$501,5,FALSE())</f>
        <v>51.87</v>
      </c>
      <c r="R887" s="8" t="n">
        <f aca="false">H887*P887</f>
        <v>98.08</v>
      </c>
      <c r="S887" s="8" t="n">
        <f aca="false">O887*M887</f>
        <v>8947.032</v>
      </c>
      <c r="T887" s="8" t="n">
        <f aca="false">R887+S887</f>
        <v>9045.112</v>
      </c>
      <c r="U887" s="8" t="n">
        <f aca="false">T887-K887</f>
        <v>7377.952</v>
      </c>
      <c r="V887" s="8" t="n">
        <f aca="false">R887+S887-U887</f>
        <v>1667.16</v>
      </c>
      <c r="W887" s="9" t="str">
        <f aca="false">IF(ROUND(V887-K887,2)=0,"OK","ERRO")</f>
        <v>OK</v>
      </c>
      <c r="X887" s="9" t="str">
        <f aca="false">VLOOKUP(F887,DIM_SERVICO!$A$2:$D$151,3,FALSE())</f>
        <v>Revisão</v>
      </c>
    </row>
    <row r="888" customFormat="false" ht="15" hidden="false" customHeight="false" outlineLevel="0" collapsed="false">
      <c r="A888" s="2" t="n">
        <v>887</v>
      </c>
      <c r="B888" s="2" t="n">
        <v>752</v>
      </c>
      <c r="C888" s="2" t="n">
        <v>14</v>
      </c>
      <c r="D888" s="2" t="n">
        <v>1120</v>
      </c>
      <c r="E888" s="2" t="n">
        <v>200</v>
      </c>
      <c r="F888" s="2" t="n">
        <v>57</v>
      </c>
      <c r="G888" s="2" t="n">
        <v>1039</v>
      </c>
      <c r="H888" s="2" t="n">
        <v>2</v>
      </c>
      <c r="I888" s="3" t="n">
        <v>1653.88</v>
      </c>
      <c r="J888" s="3" t="n">
        <v>719.54</v>
      </c>
      <c r="K888" s="3" t="n">
        <v>3112.31</v>
      </c>
      <c r="L888" s="3" t="n">
        <v>1153.16</v>
      </c>
      <c r="M888" s="2" t="n">
        <v>3.9</v>
      </c>
      <c r="N888" s="2" t="s">
        <v>27</v>
      </c>
      <c r="O888" s="4" t="n">
        <f aca="false">VLOOKUP(F888,DIM_SERVICO!$A$2:$D$151,4,FALSE())</f>
        <v>719.54</v>
      </c>
      <c r="P888" s="4" t="n">
        <f aca="false">VLOOKUP(E888,DIM_PECA!$A$2:$F$501,6,FALSE())</f>
        <v>1278.29</v>
      </c>
      <c r="Q888" s="4" t="n">
        <f aca="false">VLOOKUP(E888,DIM_PECA!$A$2:$F$501,5,FALSE())</f>
        <v>826.94</v>
      </c>
      <c r="R888" s="4" t="n">
        <f aca="false">H888*P888</f>
        <v>2556.58</v>
      </c>
      <c r="S888" s="4" t="n">
        <f aca="false">O888*M888</f>
        <v>2806.206</v>
      </c>
      <c r="T888" s="4" t="n">
        <f aca="false">R888+S888</f>
        <v>5362.786</v>
      </c>
      <c r="U888" s="4" t="n">
        <f aca="false">T888-K888</f>
        <v>2250.476</v>
      </c>
      <c r="V888" s="4" t="n">
        <f aca="false">R888+S888-U888</f>
        <v>3112.31</v>
      </c>
      <c r="W888" s="5" t="str">
        <f aca="false">IF(ROUND(V888-K888,2)=0,"OK","ERRO")</f>
        <v>OK</v>
      </c>
      <c r="X888" s="5" t="str">
        <f aca="false">VLOOKUP(F888,DIM_SERVICO!$A$2:$D$151,3,FALSE())</f>
        <v>Diagnóstico</v>
      </c>
    </row>
    <row r="889" customFormat="false" ht="15" hidden="false" customHeight="false" outlineLevel="0" collapsed="false">
      <c r="A889" s="6" t="n">
        <v>888</v>
      </c>
      <c r="B889" s="6" t="n">
        <v>462</v>
      </c>
      <c r="C889" s="6" t="n">
        <v>856</v>
      </c>
      <c r="D889" s="6" t="n">
        <v>252</v>
      </c>
      <c r="E889" s="6" t="n">
        <v>391</v>
      </c>
      <c r="F889" s="6" t="n">
        <v>119</v>
      </c>
      <c r="G889" s="6" t="n">
        <v>677</v>
      </c>
      <c r="H889" s="6" t="n">
        <v>1</v>
      </c>
      <c r="I889" s="7" t="n">
        <v>976.37</v>
      </c>
      <c r="J889" s="7" t="n">
        <v>92.23</v>
      </c>
      <c r="K889" s="7" t="n">
        <v>1761.49</v>
      </c>
      <c r="L889" s="7" t="n">
        <v>738.11</v>
      </c>
      <c r="M889" s="6" t="n">
        <v>2.4</v>
      </c>
      <c r="N889" s="6" t="s">
        <v>27</v>
      </c>
      <c r="O889" s="8" t="n">
        <f aca="false">VLOOKUP(F889,DIM_SERVICO!$A$2:$D$151,4,FALSE())</f>
        <v>92.23</v>
      </c>
      <c r="P889" s="8" t="n">
        <f aca="false">VLOOKUP(E889,DIM_PECA!$A$2:$F$501,6,FALSE())</f>
        <v>1864.98</v>
      </c>
      <c r="Q889" s="8" t="n">
        <f aca="false">VLOOKUP(E889,DIM_PECA!$A$2:$F$501,5,FALSE())</f>
        <v>976.37</v>
      </c>
      <c r="R889" s="8" t="n">
        <f aca="false">H889*P889</f>
        <v>1864.98</v>
      </c>
      <c r="S889" s="8" t="n">
        <f aca="false">O889*M889</f>
        <v>221.352</v>
      </c>
      <c r="T889" s="8" t="n">
        <f aca="false">R889+S889</f>
        <v>2086.332</v>
      </c>
      <c r="U889" s="8" t="n">
        <f aca="false">T889-K889</f>
        <v>324.842</v>
      </c>
      <c r="V889" s="8" t="n">
        <f aca="false">R889+S889-U889</f>
        <v>1761.49</v>
      </c>
      <c r="W889" s="9" t="str">
        <f aca="false">IF(ROUND(V889-K889,2)=0,"OK","ERRO")</f>
        <v>OK</v>
      </c>
      <c r="X889" s="9" t="str">
        <f aca="false">VLOOKUP(F889,DIM_SERVICO!$A$2:$D$151,3,FALSE())</f>
        <v>Motor</v>
      </c>
    </row>
    <row r="890" customFormat="false" ht="15" hidden="false" customHeight="false" outlineLevel="0" collapsed="false">
      <c r="A890" s="2" t="n">
        <v>889</v>
      </c>
      <c r="B890" s="2" t="n">
        <v>56</v>
      </c>
      <c r="C890" s="2" t="n">
        <v>1310</v>
      </c>
      <c r="D890" s="2" t="n">
        <v>1100</v>
      </c>
      <c r="E890" s="2" t="n">
        <v>81</v>
      </c>
      <c r="F890" s="2" t="n">
        <v>47</v>
      </c>
      <c r="G890" s="2" t="n">
        <v>686</v>
      </c>
      <c r="H890" s="2" t="n">
        <v>2</v>
      </c>
      <c r="I890" s="3" t="n">
        <v>1814.36</v>
      </c>
      <c r="J890" s="3" t="n">
        <v>399.81</v>
      </c>
      <c r="K890" s="3" t="n">
        <v>3074.13</v>
      </c>
      <c r="L890" s="3" t="n">
        <v>1105.09</v>
      </c>
      <c r="M890" s="2" t="n">
        <v>9.9</v>
      </c>
      <c r="N890" s="2" t="s">
        <v>26</v>
      </c>
      <c r="O890" s="4" t="n">
        <f aca="false">VLOOKUP(F890,DIM_SERVICO!$A$2:$D$151,4,FALSE())</f>
        <v>399.81</v>
      </c>
      <c r="P890" s="4" t="n">
        <f aca="false">VLOOKUP(E890,DIM_PECA!$A$2:$F$501,6,FALSE())</f>
        <v>1337.16</v>
      </c>
      <c r="Q890" s="4" t="n">
        <f aca="false">VLOOKUP(E890,DIM_PECA!$A$2:$F$501,5,FALSE())</f>
        <v>907.18</v>
      </c>
      <c r="R890" s="4" t="n">
        <f aca="false">H890*P890</f>
        <v>2674.32</v>
      </c>
      <c r="S890" s="4" t="n">
        <f aca="false">O890*M890</f>
        <v>3958.119</v>
      </c>
      <c r="T890" s="4" t="n">
        <f aca="false">R890+S890</f>
        <v>6632.439</v>
      </c>
      <c r="U890" s="4" t="n">
        <f aca="false">T890-K890</f>
        <v>3558.309</v>
      </c>
      <c r="V890" s="4" t="n">
        <f aca="false">R890+S890-U890</f>
        <v>3074.13</v>
      </c>
      <c r="W890" s="5" t="str">
        <f aca="false">IF(ROUND(V890-K890,2)=0,"OK","ERRO")</f>
        <v>OK</v>
      </c>
      <c r="X890" s="5" t="str">
        <f aca="false">VLOOKUP(F890,DIM_SERVICO!$A$2:$D$151,3,FALSE())</f>
        <v>Funilaria</v>
      </c>
    </row>
    <row r="891" customFormat="false" ht="15" hidden="false" customHeight="false" outlineLevel="0" collapsed="false">
      <c r="A891" s="6" t="n">
        <v>890</v>
      </c>
      <c r="B891" s="6" t="n">
        <v>421</v>
      </c>
      <c r="C891" s="6" t="n">
        <v>1150</v>
      </c>
      <c r="D891" s="6" t="n">
        <v>29</v>
      </c>
      <c r="E891" s="6" t="n">
        <v>90</v>
      </c>
      <c r="F891" s="6" t="n">
        <v>149</v>
      </c>
      <c r="G891" s="6" t="n">
        <v>1674</v>
      </c>
      <c r="H891" s="6" t="n">
        <v>3</v>
      </c>
      <c r="I891" s="7" t="n">
        <v>3410.04</v>
      </c>
      <c r="J891" s="7" t="n">
        <v>142.63</v>
      </c>
      <c r="K891" s="7" t="n">
        <v>6926.05</v>
      </c>
      <c r="L891" s="7" t="n">
        <v>3446.12</v>
      </c>
      <c r="M891" s="6" t="n">
        <v>11.8</v>
      </c>
      <c r="N891" s="6" t="s">
        <v>24</v>
      </c>
      <c r="O891" s="8" t="n">
        <f aca="false">VLOOKUP(F891,DIM_SERVICO!$A$2:$D$151,4,FALSE())</f>
        <v>142.63</v>
      </c>
      <c r="P891" s="8" t="n">
        <f aca="false">VLOOKUP(E891,DIM_PECA!$A$2:$F$501,6,FALSE())</f>
        <v>2261.14</v>
      </c>
      <c r="Q891" s="8" t="n">
        <f aca="false">VLOOKUP(E891,DIM_PECA!$A$2:$F$501,5,FALSE())</f>
        <v>1136.68</v>
      </c>
      <c r="R891" s="8" t="n">
        <f aca="false">H891*P891</f>
        <v>6783.42</v>
      </c>
      <c r="S891" s="8" t="n">
        <f aca="false">O891*M891</f>
        <v>1683.034</v>
      </c>
      <c r="T891" s="8" t="n">
        <f aca="false">R891+S891</f>
        <v>8466.454</v>
      </c>
      <c r="U891" s="8" t="n">
        <f aca="false">T891-K891</f>
        <v>1540.404</v>
      </c>
      <c r="V891" s="8" t="n">
        <f aca="false">R891+S891-U891</f>
        <v>6926.05</v>
      </c>
      <c r="W891" s="9" t="str">
        <f aca="false">IF(ROUND(V891-K891,2)=0,"OK","ERRO")</f>
        <v>OK</v>
      </c>
      <c r="X891" s="9" t="str">
        <f aca="false">VLOOKUP(F891,DIM_SERVICO!$A$2:$D$151,3,FALSE())</f>
        <v>Motor</v>
      </c>
    </row>
    <row r="892" customFormat="false" ht="15" hidden="false" customHeight="false" outlineLevel="0" collapsed="false">
      <c r="A892" s="2" t="n">
        <v>891</v>
      </c>
      <c r="B892" s="2" t="n">
        <v>619</v>
      </c>
      <c r="C892" s="2" t="n">
        <v>276</v>
      </c>
      <c r="D892" s="2" t="n">
        <v>885</v>
      </c>
      <c r="E892" s="2" t="n">
        <v>194</v>
      </c>
      <c r="F892" s="2" t="n">
        <v>63</v>
      </c>
      <c r="G892" s="2" t="n">
        <v>664</v>
      </c>
      <c r="H892" s="2" t="n">
        <v>1</v>
      </c>
      <c r="I892" s="3" t="n">
        <v>778.89</v>
      </c>
      <c r="J892" s="3" t="n">
        <v>263.48</v>
      </c>
      <c r="K892" s="3" t="n">
        <v>1578.23</v>
      </c>
      <c r="L892" s="3" t="n">
        <v>691.65</v>
      </c>
      <c r="M892" s="2" t="n">
        <v>3.5</v>
      </c>
      <c r="N892" s="2" t="s">
        <v>24</v>
      </c>
      <c r="O892" s="4" t="n">
        <f aca="false">VLOOKUP(F892,DIM_SERVICO!$A$2:$D$151,4,FALSE())</f>
        <v>263.48</v>
      </c>
      <c r="P892" s="4" t="n">
        <f aca="false">VLOOKUP(E892,DIM_PECA!$A$2:$F$501,6,FALSE())</f>
        <v>1490.11</v>
      </c>
      <c r="Q892" s="4" t="n">
        <f aca="false">VLOOKUP(E892,DIM_PECA!$A$2:$F$501,5,FALSE())</f>
        <v>778.89</v>
      </c>
      <c r="R892" s="4" t="n">
        <f aca="false">H892*P892</f>
        <v>1490.11</v>
      </c>
      <c r="S892" s="4" t="n">
        <f aca="false">O892*M892</f>
        <v>922.18</v>
      </c>
      <c r="T892" s="4" t="n">
        <f aca="false">R892+S892</f>
        <v>2412.29</v>
      </c>
      <c r="U892" s="4" t="n">
        <f aca="false">T892-K892</f>
        <v>834.06</v>
      </c>
      <c r="V892" s="4" t="n">
        <f aca="false">R892+S892-U892</f>
        <v>1578.23</v>
      </c>
      <c r="W892" s="5" t="str">
        <f aca="false">IF(ROUND(V892-K892,2)=0,"OK","ERRO")</f>
        <v>OK</v>
      </c>
      <c r="X892" s="5" t="str">
        <f aca="false">VLOOKUP(F892,DIM_SERVICO!$A$2:$D$151,3,FALSE())</f>
        <v>Funilaria</v>
      </c>
    </row>
    <row r="893" customFormat="false" ht="15" hidden="false" customHeight="false" outlineLevel="0" collapsed="false">
      <c r="A893" s="6" t="n">
        <v>892</v>
      </c>
      <c r="B893" s="6" t="n">
        <v>1190</v>
      </c>
      <c r="C893" s="6" t="n">
        <v>966</v>
      </c>
      <c r="D893" s="6" t="n">
        <v>1125</v>
      </c>
      <c r="E893" s="6" t="n">
        <v>47</v>
      </c>
      <c r="F893" s="6" t="n">
        <v>81</v>
      </c>
      <c r="G893" s="6" t="n">
        <v>1373</v>
      </c>
      <c r="H893" s="6" t="n">
        <v>1</v>
      </c>
      <c r="I893" s="7" t="n">
        <v>823.49</v>
      </c>
      <c r="J893" s="7" t="n">
        <v>2146.9</v>
      </c>
      <c r="K893" s="7" t="n">
        <v>3909.56</v>
      </c>
      <c r="L893" s="7" t="n">
        <v>2045.71</v>
      </c>
      <c r="M893" s="6" t="n">
        <v>3.7</v>
      </c>
      <c r="N893" s="6" t="s">
        <v>24</v>
      </c>
      <c r="O893" s="8" t="n">
        <f aca="false">VLOOKUP(F893,DIM_SERVICO!$A$2:$D$151,4,FALSE())</f>
        <v>2146.9</v>
      </c>
      <c r="P893" s="8" t="n">
        <f aca="false">VLOOKUP(E893,DIM_PECA!$A$2:$F$501,6,FALSE())</f>
        <v>1762.66</v>
      </c>
      <c r="Q893" s="8" t="n">
        <f aca="false">VLOOKUP(E893,DIM_PECA!$A$2:$F$501,5,FALSE())</f>
        <v>823.49</v>
      </c>
      <c r="R893" s="8" t="n">
        <f aca="false">H893*P893</f>
        <v>1762.66</v>
      </c>
      <c r="S893" s="8" t="n">
        <f aca="false">O893*M893</f>
        <v>7943.53</v>
      </c>
      <c r="T893" s="8" t="n">
        <f aca="false">R893+S893</f>
        <v>9706.19</v>
      </c>
      <c r="U893" s="8" t="n">
        <f aca="false">T893-K893</f>
        <v>5796.63</v>
      </c>
      <c r="V893" s="8" t="n">
        <f aca="false">R893+S893-U893</f>
        <v>3909.56</v>
      </c>
      <c r="W893" s="9" t="str">
        <f aca="false">IF(ROUND(V893-K893,2)=0,"OK","ERRO")</f>
        <v>OK</v>
      </c>
      <c r="X893" s="9" t="str">
        <f aca="false">VLOOKUP(F893,DIM_SERVICO!$A$2:$D$151,3,FALSE())</f>
        <v>Revisão</v>
      </c>
    </row>
    <row r="894" customFormat="false" ht="15" hidden="false" customHeight="false" outlineLevel="0" collapsed="false">
      <c r="A894" s="2" t="n">
        <v>893</v>
      </c>
      <c r="B894" s="2" t="n">
        <v>1229</v>
      </c>
      <c r="C894" s="2" t="n">
        <v>1148</v>
      </c>
      <c r="D894" s="2" t="n">
        <v>1075</v>
      </c>
      <c r="E894" s="2" t="n">
        <v>124</v>
      </c>
      <c r="F894" s="2" t="n">
        <v>140</v>
      </c>
      <c r="G894" s="2" t="n">
        <v>642</v>
      </c>
      <c r="H894" s="2" t="n">
        <v>2</v>
      </c>
      <c r="I894" s="3" t="n">
        <v>1783.02</v>
      </c>
      <c r="J894" s="3" t="n">
        <v>1109.33</v>
      </c>
      <c r="K894" s="3" t="n">
        <v>3950.1</v>
      </c>
      <c r="L894" s="3" t="n">
        <v>1559.19</v>
      </c>
      <c r="M894" s="2" t="n">
        <v>4.3</v>
      </c>
      <c r="N894" s="2" t="s">
        <v>24</v>
      </c>
      <c r="O894" s="4" t="n">
        <f aca="false">VLOOKUP(F894,DIM_SERVICO!$A$2:$D$151,4,FALSE())</f>
        <v>1109.33</v>
      </c>
      <c r="P894" s="4" t="n">
        <f aca="false">VLOOKUP(E894,DIM_PECA!$A$2:$F$501,6,FALSE())</f>
        <v>1592.13</v>
      </c>
      <c r="Q894" s="4" t="n">
        <f aca="false">VLOOKUP(E894,DIM_PECA!$A$2:$F$501,5,FALSE())</f>
        <v>891.51</v>
      </c>
      <c r="R894" s="4" t="n">
        <f aca="false">H894*P894</f>
        <v>3184.26</v>
      </c>
      <c r="S894" s="4" t="n">
        <f aca="false">O894*M894</f>
        <v>4770.119</v>
      </c>
      <c r="T894" s="4" t="n">
        <f aca="false">R894+S894</f>
        <v>7954.379</v>
      </c>
      <c r="U894" s="4" t="n">
        <f aca="false">T894-K894</f>
        <v>4004.279</v>
      </c>
      <c r="V894" s="4" t="n">
        <f aca="false">R894+S894-U894</f>
        <v>3950.1</v>
      </c>
      <c r="W894" s="5" t="str">
        <f aca="false">IF(ROUND(V894-K894,2)=0,"OK","ERRO")</f>
        <v>OK</v>
      </c>
      <c r="X894" s="5" t="str">
        <f aca="false">VLOOKUP(F894,DIM_SERVICO!$A$2:$D$151,3,FALSE())</f>
        <v>Revisão</v>
      </c>
    </row>
    <row r="895" customFormat="false" ht="15" hidden="false" customHeight="false" outlineLevel="0" collapsed="false">
      <c r="A895" s="6" t="n">
        <v>894</v>
      </c>
      <c r="B895" s="6" t="n">
        <v>481</v>
      </c>
      <c r="C895" s="6" t="n">
        <v>1354</v>
      </c>
      <c r="D895" s="6" t="n">
        <v>531</v>
      </c>
      <c r="E895" s="6" t="n">
        <v>293</v>
      </c>
      <c r="F895" s="6" t="n">
        <v>18</v>
      </c>
      <c r="G895" s="6" t="n">
        <v>888</v>
      </c>
      <c r="H895" s="6" t="n">
        <v>3</v>
      </c>
      <c r="I895" s="7" t="n">
        <v>3529.92</v>
      </c>
      <c r="J895" s="7" t="n">
        <v>1667.15</v>
      </c>
      <c r="K895" s="7" t="n">
        <v>7887.56</v>
      </c>
      <c r="L895" s="7" t="n">
        <v>3459.38</v>
      </c>
      <c r="M895" s="6" t="n">
        <v>7.9</v>
      </c>
      <c r="N895" s="6" t="s">
        <v>26</v>
      </c>
      <c r="O895" s="8" t="n">
        <f aca="false">VLOOKUP(F895,DIM_SERVICO!$A$2:$D$151,4,FALSE())</f>
        <v>1667.15</v>
      </c>
      <c r="P895" s="8" t="n">
        <f aca="false">VLOOKUP(E895,DIM_PECA!$A$2:$F$501,6,FALSE())</f>
        <v>2073.47</v>
      </c>
      <c r="Q895" s="8" t="n">
        <f aca="false">VLOOKUP(E895,DIM_PECA!$A$2:$F$501,5,FALSE())</f>
        <v>1176.64</v>
      </c>
      <c r="R895" s="8" t="n">
        <f aca="false">H895*P895</f>
        <v>6220.41</v>
      </c>
      <c r="S895" s="8" t="n">
        <f aca="false">O895*M895</f>
        <v>13170.485</v>
      </c>
      <c r="T895" s="8" t="n">
        <f aca="false">R895+S895</f>
        <v>19390.895</v>
      </c>
      <c r="U895" s="8" t="n">
        <f aca="false">T895-K895</f>
        <v>11503.335</v>
      </c>
      <c r="V895" s="8" t="n">
        <f aca="false">R895+S895-U895</f>
        <v>7887.56</v>
      </c>
      <c r="W895" s="9" t="str">
        <f aca="false">IF(ROUND(V895-K895,2)=0,"OK","ERRO")</f>
        <v>OK</v>
      </c>
      <c r="X895" s="9" t="str">
        <f aca="false">VLOOKUP(F895,DIM_SERVICO!$A$2:$D$151,3,FALSE())</f>
        <v>Elétrica</v>
      </c>
    </row>
    <row r="896" customFormat="false" ht="15" hidden="false" customHeight="false" outlineLevel="0" collapsed="false">
      <c r="A896" s="2" t="n">
        <v>895</v>
      </c>
      <c r="B896" s="2" t="n">
        <v>636</v>
      </c>
      <c r="C896" s="2" t="n">
        <v>1229</v>
      </c>
      <c r="D896" s="2" t="n">
        <v>613</v>
      </c>
      <c r="E896" s="2" t="n">
        <v>74</v>
      </c>
      <c r="F896" s="2" t="n">
        <v>35</v>
      </c>
      <c r="G896" s="2" t="n">
        <v>1127</v>
      </c>
      <c r="H896" s="2" t="n">
        <v>4</v>
      </c>
      <c r="I896" s="3" t="n">
        <v>331.36</v>
      </c>
      <c r="J896" s="3" t="n">
        <v>1082.38</v>
      </c>
      <c r="K896" s="3" t="n">
        <v>1639.09</v>
      </c>
      <c r="L896" s="3" t="n">
        <v>781.79</v>
      </c>
      <c r="M896" s="2" t="n">
        <v>2</v>
      </c>
      <c r="N896" s="2" t="s">
        <v>24</v>
      </c>
      <c r="O896" s="4" t="n">
        <f aca="false">VLOOKUP(F896,DIM_SERVICO!$A$2:$D$151,4,FALSE())</f>
        <v>1082.38</v>
      </c>
      <c r="P896" s="4" t="n">
        <f aca="false">VLOOKUP(E896,DIM_PECA!$A$2:$F$501,6,FALSE())</f>
        <v>174.81</v>
      </c>
      <c r="Q896" s="4" t="n">
        <f aca="false">VLOOKUP(E896,DIM_PECA!$A$2:$F$501,5,FALSE())</f>
        <v>82.84</v>
      </c>
      <c r="R896" s="4" t="n">
        <f aca="false">H896*P896</f>
        <v>699.24</v>
      </c>
      <c r="S896" s="4" t="n">
        <f aca="false">O896*M896</f>
        <v>2164.76</v>
      </c>
      <c r="T896" s="4" t="n">
        <f aca="false">R896+S896</f>
        <v>2864</v>
      </c>
      <c r="U896" s="4" t="n">
        <f aca="false">T896-K896</f>
        <v>1224.91</v>
      </c>
      <c r="V896" s="4" t="n">
        <f aca="false">R896+S896-U896</f>
        <v>1639.09</v>
      </c>
      <c r="W896" s="5" t="str">
        <f aca="false">IF(ROUND(V896-K896,2)=0,"OK","ERRO")</f>
        <v>OK</v>
      </c>
      <c r="X896" s="5" t="str">
        <f aca="false">VLOOKUP(F896,DIM_SERVICO!$A$2:$D$151,3,FALSE())</f>
        <v>Diagnóstico</v>
      </c>
    </row>
    <row r="897" customFormat="false" ht="15" hidden="false" customHeight="false" outlineLevel="0" collapsed="false">
      <c r="A897" s="6" t="n">
        <v>896</v>
      </c>
      <c r="B897" s="6" t="n">
        <v>731</v>
      </c>
      <c r="C897" s="6" t="n">
        <v>15</v>
      </c>
      <c r="D897" s="6" t="n">
        <v>1027</v>
      </c>
      <c r="E897" s="6" t="n">
        <v>355</v>
      </c>
      <c r="F897" s="6" t="n">
        <v>12</v>
      </c>
      <c r="G897" s="6" t="n">
        <v>135</v>
      </c>
      <c r="H897" s="6" t="n">
        <v>1</v>
      </c>
      <c r="I897" s="7" t="n">
        <v>1050.93</v>
      </c>
      <c r="J897" s="7" t="n">
        <v>1399.41</v>
      </c>
      <c r="K897" s="7" t="n">
        <v>3177.54</v>
      </c>
      <c r="L897" s="7" t="n">
        <v>1450.03</v>
      </c>
      <c r="M897" s="6" t="n">
        <v>7.1</v>
      </c>
      <c r="N897" s="6" t="s">
        <v>26</v>
      </c>
      <c r="O897" s="8" t="n">
        <f aca="false">VLOOKUP(F897,DIM_SERVICO!$A$2:$D$151,4,FALSE())</f>
        <v>1399.41</v>
      </c>
      <c r="P897" s="8" t="n">
        <f aca="false">VLOOKUP(E897,DIM_PECA!$A$2:$F$501,6,FALSE())</f>
        <v>1842.98</v>
      </c>
      <c r="Q897" s="8" t="n">
        <f aca="false">VLOOKUP(E897,DIM_PECA!$A$2:$F$501,5,FALSE())</f>
        <v>1050.93</v>
      </c>
      <c r="R897" s="8" t="n">
        <f aca="false">H897*P897</f>
        <v>1842.98</v>
      </c>
      <c r="S897" s="8" t="n">
        <f aca="false">O897*M897</f>
        <v>9935.811</v>
      </c>
      <c r="T897" s="8" t="n">
        <f aca="false">R897+S897</f>
        <v>11778.791</v>
      </c>
      <c r="U897" s="8" t="n">
        <f aca="false">T897-K897</f>
        <v>8601.251</v>
      </c>
      <c r="V897" s="8" t="n">
        <f aca="false">R897+S897-U897</f>
        <v>3177.54</v>
      </c>
      <c r="W897" s="9" t="str">
        <f aca="false">IF(ROUND(V897-K897,2)=0,"OK","ERRO")</f>
        <v>OK</v>
      </c>
      <c r="X897" s="9" t="str">
        <f aca="false">VLOOKUP(F897,DIM_SERVICO!$A$2:$D$151,3,FALSE())</f>
        <v>Revisão</v>
      </c>
    </row>
    <row r="898" customFormat="false" ht="15" hidden="false" customHeight="false" outlineLevel="0" collapsed="false">
      <c r="A898" s="2" t="n">
        <v>897</v>
      </c>
      <c r="B898" s="2" t="n">
        <v>91</v>
      </c>
      <c r="C898" s="2" t="n">
        <v>511</v>
      </c>
      <c r="D898" s="2" t="n">
        <v>116</v>
      </c>
      <c r="E898" s="2" t="n">
        <v>63</v>
      </c>
      <c r="F898" s="2" t="n">
        <v>21</v>
      </c>
      <c r="G898" s="2" t="n">
        <v>589</v>
      </c>
      <c r="H898" s="2" t="n">
        <v>4</v>
      </c>
      <c r="I898" s="3" t="n">
        <v>95.28</v>
      </c>
      <c r="J898" s="3" t="n">
        <v>126.78</v>
      </c>
      <c r="K898" s="3" t="n">
        <v>265.3</v>
      </c>
      <c r="L898" s="3" t="n">
        <v>120.32</v>
      </c>
      <c r="M898" s="2" t="n">
        <v>0.8</v>
      </c>
      <c r="N898" s="2" t="s">
        <v>26</v>
      </c>
      <c r="O898" s="4" t="n">
        <f aca="false">VLOOKUP(F898,DIM_SERVICO!$A$2:$D$151,4,FALSE())</f>
        <v>126.78</v>
      </c>
      <c r="P898" s="4" t="n">
        <f aca="false">VLOOKUP(E898,DIM_PECA!$A$2:$F$501,6,FALSE())</f>
        <v>34.63</v>
      </c>
      <c r="Q898" s="4" t="n">
        <f aca="false">VLOOKUP(E898,DIM_PECA!$A$2:$F$501,5,FALSE())</f>
        <v>23.82</v>
      </c>
      <c r="R898" s="4" t="n">
        <f aca="false">H898*P898</f>
        <v>138.52</v>
      </c>
      <c r="S898" s="4" t="n">
        <f aca="false">O898*M898</f>
        <v>101.424</v>
      </c>
      <c r="T898" s="4" t="n">
        <f aca="false">R898+S898</f>
        <v>239.944</v>
      </c>
      <c r="U898" s="4" t="n">
        <f aca="false">T898-K898</f>
        <v>-25.356</v>
      </c>
      <c r="V898" s="4" t="n">
        <f aca="false">R898+S898-U898</f>
        <v>265.3</v>
      </c>
      <c r="W898" s="5" t="str">
        <f aca="false">IF(ROUND(V898-K898,2)=0,"OK","ERRO")</f>
        <v>OK</v>
      </c>
      <c r="X898" s="5" t="str">
        <f aca="false">VLOOKUP(F898,DIM_SERVICO!$A$2:$D$151,3,FALSE())</f>
        <v>Suspensão</v>
      </c>
    </row>
    <row r="899" customFormat="false" ht="15" hidden="false" customHeight="false" outlineLevel="0" collapsed="false">
      <c r="A899" s="6" t="n">
        <v>898</v>
      </c>
      <c r="B899" s="6" t="n">
        <v>1317</v>
      </c>
      <c r="C899" s="6" t="n">
        <v>1112</v>
      </c>
      <c r="D899" s="6" t="n">
        <v>1093</v>
      </c>
      <c r="E899" s="6" t="n">
        <v>368</v>
      </c>
      <c r="F899" s="6" t="n">
        <v>25</v>
      </c>
      <c r="G899" s="6" t="n">
        <v>1783</v>
      </c>
      <c r="H899" s="6" t="n">
        <v>1</v>
      </c>
      <c r="I899" s="7" t="n">
        <v>1104.4</v>
      </c>
      <c r="J899" s="7" t="n">
        <v>1419.73</v>
      </c>
      <c r="K899" s="7" t="n">
        <v>2989.02</v>
      </c>
      <c r="L899" s="7" t="n">
        <v>1197.63</v>
      </c>
      <c r="M899" s="6" t="n">
        <v>8.2</v>
      </c>
      <c r="N899" s="6" t="s">
        <v>24</v>
      </c>
      <c r="O899" s="8" t="n">
        <f aca="false">VLOOKUP(F899,DIM_SERVICO!$A$2:$D$151,4,FALSE())</f>
        <v>1419.73</v>
      </c>
      <c r="P899" s="8" t="n">
        <f aca="false">VLOOKUP(E899,DIM_PECA!$A$2:$F$501,6,FALSE())</f>
        <v>1569.29</v>
      </c>
      <c r="Q899" s="8" t="n">
        <f aca="false">VLOOKUP(E899,DIM_PECA!$A$2:$F$501,5,FALSE())</f>
        <v>1104.4</v>
      </c>
      <c r="R899" s="8" t="n">
        <f aca="false">H899*P899</f>
        <v>1569.29</v>
      </c>
      <c r="S899" s="8" t="n">
        <f aca="false">O899*M899</f>
        <v>11641.786</v>
      </c>
      <c r="T899" s="8" t="n">
        <f aca="false">R899+S899</f>
        <v>13211.076</v>
      </c>
      <c r="U899" s="8" t="n">
        <f aca="false">T899-K899</f>
        <v>10222.056</v>
      </c>
      <c r="V899" s="8" t="n">
        <f aca="false">R899+S899-U899</f>
        <v>2989.02</v>
      </c>
      <c r="W899" s="9" t="str">
        <f aca="false">IF(ROUND(V899-K899,2)=0,"OK","ERRO")</f>
        <v>OK</v>
      </c>
      <c r="X899" s="9" t="str">
        <f aca="false">VLOOKUP(F899,DIM_SERVICO!$A$2:$D$151,3,FALSE())</f>
        <v>Motor</v>
      </c>
    </row>
    <row r="900" customFormat="false" ht="15" hidden="false" customHeight="false" outlineLevel="0" collapsed="false">
      <c r="A900" s="2" t="n">
        <v>899</v>
      </c>
      <c r="B900" s="2" t="n">
        <v>1302</v>
      </c>
      <c r="C900" s="2" t="n">
        <v>660</v>
      </c>
      <c r="D900" s="2" t="n">
        <v>1085</v>
      </c>
      <c r="E900" s="2" t="n">
        <v>385</v>
      </c>
      <c r="F900" s="2" t="n">
        <v>100</v>
      </c>
      <c r="G900" s="2" t="n">
        <v>1301</v>
      </c>
      <c r="H900" s="2" t="n">
        <v>1</v>
      </c>
      <c r="I900" s="3" t="n">
        <v>841.36</v>
      </c>
      <c r="J900" s="3" t="n">
        <v>2148.55</v>
      </c>
      <c r="K900" s="3" t="n">
        <v>3164.73</v>
      </c>
      <c r="L900" s="3" t="n">
        <v>1290.17</v>
      </c>
      <c r="M900" s="2" t="n">
        <v>11.6</v>
      </c>
      <c r="N900" s="2" t="s">
        <v>27</v>
      </c>
      <c r="O900" s="4" t="n">
        <f aca="false">VLOOKUP(F900,DIM_SERVICO!$A$2:$D$151,4,FALSE())</f>
        <v>2148.55</v>
      </c>
      <c r="P900" s="4" t="n">
        <f aca="false">VLOOKUP(E900,DIM_PECA!$A$2:$F$501,6,FALSE())</f>
        <v>1182.75</v>
      </c>
      <c r="Q900" s="4" t="n">
        <f aca="false">VLOOKUP(E900,DIM_PECA!$A$2:$F$501,5,FALSE())</f>
        <v>841.36</v>
      </c>
      <c r="R900" s="4" t="n">
        <f aca="false">H900*P900</f>
        <v>1182.75</v>
      </c>
      <c r="S900" s="4" t="n">
        <f aca="false">O900*M900</f>
        <v>24923.18</v>
      </c>
      <c r="T900" s="4" t="n">
        <f aca="false">R900+S900</f>
        <v>26105.93</v>
      </c>
      <c r="U900" s="4" t="n">
        <f aca="false">T900-K900</f>
        <v>22941.2</v>
      </c>
      <c r="V900" s="4" t="n">
        <f aca="false">R900+S900-U900</f>
        <v>3164.73</v>
      </c>
      <c r="W900" s="5" t="str">
        <f aca="false">IF(ROUND(V900-K900,2)=0,"OK","ERRO")</f>
        <v>OK</v>
      </c>
      <c r="X900" s="5" t="str">
        <f aca="false">VLOOKUP(F900,DIM_SERVICO!$A$2:$D$151,3,FALSE())</f>
        <v>Motor</v>
      </c>
    </row>
    <row r="901" customFormat="false" ht="15" hidden="false" customHeight="false" outlineLevel="0" collapsed="false">
      <c r="A901" s="6" t="n">
        <v>900</v>
      </c>
      <c r="B901" s="6" t="n">
        <v>1141</v>
      </c>
      <c r="C901" s="6" t="n">
        <v>127</v>
      </c>
      <c r="D901" s="6" t="n">
        <v>56</v>
      </c>
      <c r="E901" s="6" t="n">
        <v>434</v>
      </c>
      <c r="F901" s="6" t="n">
        <v>93</v>
      </c>
      <c r="G901" s="6" t="n">
        <v>1264</v>
      </c>
      <c r="H901" s="6" t="n">
        <v>4</v>
      </c>
      <c r="I901" s="7" t="n">
        <v>4356.84</v>
      </c>
      <c r="J901" s="7" t="n">
        <v>2049.66</v>
      </c>
      <c r="K901" s="7" t="n">
        <v>7952.06</v>
      </c>
      <c r="L901" s="7" t="n">
        <v>2559.51</v>
      </c>
      <c r="M901" s="6" t="n">
        <v>3.5</v>
      </c>
      <c r="N901" s="6" t="s">
        <v>24</v>
      </c>
      <c r="O901" s="8" t="n">
        <f aca="false">VLOOKUP(F901,DIM_SERVICO!$A$2:$D$151,4,FALSE())</f>
        <v>2049.66</v>
      </c>
      <c r="P901" s="8" t="n">
        <f aca="false">VLOOKUP(E901,DIM_PECA!$A$2:$F$501,6,FALSE())</f>
        <v>1475.6</v>
      </c>
      <c r="Q901" s="8" t="n">
        <f aca="false">VLOOKUP(E901,DIM_PECA!$A$2:$F$501,5,FALSE())</f>
        <v>1089.21</v>
      </c>
      <c r="R901" s="8" t="n">
        <f aca="false">H901*P901</f>
        <v>5902.4</v>
      </c>
      <c r="S901" s="8" t="n">
        <f aca="false">O901*M901</f>
        <v>7173.81</v>
      </c>
      <c r="T901" s="8" t="n">
        <f aca="false">R901+S901</f>
        <v>13076.21</v>
      </c>
      <c r="U901" s="8" t="n">
        <f aca="false">T901-K901</f>
        <v>5124.15</v>
      </c>
      <c r="V901" s="8" t="n">
        <f aca="false">R901+S901-U901</f>
        <v>7952.06</v>
      </c>
      <c r="W901" s="9" t="str">
        <f aca="false">IF(ROUND(V901-K901,2)=0,"OK","ERRO")</f>
        <v>OK</v>
      </c>
      <c r="X901" s="9" t="str">
        <f aca="false">VLOOKUP(F901,DIM_SERVICO!$A$2:$D$151,3,FALSE())</f>
        <v>Revisão</v>
      </c>
    </row>
    <row r="902" customFormat="false" ht="15" hidden="false" customHeight="false" outlineLevel="0" collapsed="false">
      <c r="A902" s="2" t="n">
        <v>901</v>
      </c>
      <c r="B902" s="2" t="n">
        <v>1325</v>
      </c>
      <c r="C902" s="2" t="n">
        <v>1378</v>
      </c>
      <c r="D902" s="2" t="n">
        <v>525</v>
      </c>
      <c r="E902" s="2" t="n">
        <v>184</v>
      </c>
      <c r="F902" s="2" t="n">
        <v>70</v>
      </c>
      <c r="G902" s="2" t="n">
        <v>345</v>
      </c>
      <c r="H902" s="2" t="n">
        <v>1</v>
      </c>
      <c r="I902" s="3" t="n">
        <v>805.56</v>
      </c>
      <c r="J902" s="3" t="n">
        <v>688.79</v>
      </c>
      <c r="K902" s="3" t="n">
        <v>2309.73</v>
      </c>
      <c r="L902" s="3" t="n">
        <v>1164.45</v>
      </c>
      <c r="M902" s="2" t="n">
        <v>0.7</v>
      </c>
      <c r="N902" s="2" t="s">
        <v>24</v>
      </c>
      <c r="O902" s="4" t="n">
        <f aca="false">VLOOKUP(F902,DIM_SERVICO!$A$2:$D$151,4,FALSE())</f>
        <v>688.79</v>
      </c>
      <c r="P902" s="4" t="n">
        <f aca="false">VLOOKUP(E902,DIM_PECA!$A$2:$F$501,6,FALSE())</f>
        <v>1620.94</v>
      </c>
      <c r="Q902" s="4" t="n">
        <f aca="false">VLOOKUP(E902,DIM_PECA!$A$2:$F$501,5,FALSE())</f>
        <v>805.56</v>
      </c>
      <c r="R902" s="4" t="n">
        <f aca="false">H902*P902</f>
        <v>1620.94</v>
      </c>
      <c r="S902" s="4" t="n">
        <f aca="false">O902*M902</f>
        <v>482.153</v>
      </c>
      <c r="T902" s="4" t="n">
        <f aca="false">R902+S902</f>
        <v>2103.093</v>
      </c>
      <c r="U902" s="4" t="n">
        <f aca="false">T902-K902</f>
        <v>-206.637</v>
      </c>
      <c r="V902" s="4" t="n">
        <f aca="false">R902+S902-U902</f>
        <v>2309.73</v>
      </c>
      <c r="W902" s="5" t="str">
        <f aca="false">IF(ROUND(V902-K902,2)=0,"OK","ERRO")</f>
        <v>OK</v>
      </c>
      <c r="X902" s="5" t="str">
        <f aca="false">VLOOKUP(F902,DIM_SERVICO!$A$2:$D$151,3,FALSE())</f>
        <v>Freios</v>
      </c>
    </row>
    <row r="903" customFormat="false" ht="15" hidden="false" customHeight="false" outlineLevel="0" collapsed="false">
      <c r="A903" s="6" t="n">
        <v>902</v>
      </c>
      <c r="B903" s="6" t="n">
        <v>908</v>
      </c>
      <c r="C903" s="6" t="n">
        <v>1043</v>
      </c>
      <c r="D903" s="6" t="n">
        <v>532</v>
      </c>
      <c r="E903" s="6" t="n">
        <v>417</v>
      </c>
      <c r="F903" s="6" t="n">
        <v>23</v>
      </c>
      <c r="G903" s="6" t="n">
        <v>1795</v>
      </c>
      <c r="H903" s="6" t="n">
        <v>2</v>
      </c>
      <c r="I903" s="7" t="n">
        <v>407.68</v>
      </c>
      <c r="J903" s="7" t="n">
        <v>1828.61</v>
      </c>
      <c r="K903" s="7" t="n">
        <v>2515.88</v>
      </c>
      <c r="L903" s="7" t="n">
        <v>1238.81</v>
      </c>
      <c r="M903" s="6" t="n">
        <v>4.2</v>
      </c>
      <c r="N903" s="6" t="s">
        <v>24</v>
      </c>
      <c r="O903" s="8" t="n">
        <f aca="false">VLOOKUP(F903,DIM_SERVICO!$A$2:$D$151,4,FALSE())</f>
        <v>1828.61</v>
      </c>
      <c r="P903" s="8" t="n">
        <f aca="false">VLOOKUP(E903,DIM_PECA!$A$2:$F$501,6,FALSE())</f>
        <v>409.84</v>
      </c>
      <c r="Q903" s="8" t="n">
        <f aca="false">VLOOKUP(E903,DIM_PECA!$A$2:$F$501,5,FALSE())</f>
        <v>203.84</v>
      </c>
      <c r="R903" s="8" t="n">
        <f aca="false">H903*P903</f>
        <v>819.68</v>
      </c>
      <c r="S903" s="8" t="n">
        <f aca="false">O903*M903</f>
        <v>7680.162</v>
      </c>
      <c r="T903" s="8" t="n">
        <f aca="false">R903+S903</f>
        <v>8499.842</v>
      </c>
      <c r="U903" s="8" t="n">
        <f aca="false">T903-K903</f>
        <v>5983.962</v>
      </c>
      <c r="V903" s="8" t="n">
        <f aca="false">R903+S903-U903</f>
        <v>2515.88</v>
      </c>
      <c r="W903" s="9" t="str">
        <f aca="false">IF(ROUND(V903-K903,2)=0,"OK","ERRO")</f>
        <v>OK</v>
      </c>
      <c r="X903" s="9" t="str">
        <f aca="false">VLOOKUP(F903,DIM_SERVICO!$A$2:$D$151,3,FALSE())</f>
        <v>Freios</v>
      </c>
    </row>
    <row r="904" customFormat="false" ht="15" hidden="false" customHeight="false" outlineLevel="0" collapsed="false">
      <c r="A904" s="2" t="n">
        <v>903</v>
      </c>
      <c r="B904" s="2" t="n">
        <v>775</v>
      </c>
      <c r="C904" s="2" t="n">
        <v>1168</v>
      </c>
      <c r="D904" s="2" t="n">
        <v>65</v>
      </c>
      <c r="E904" s="2" t="n">
        <v>427</v>
      </c>
      <c r="F904" s="2" t="n">
        <v>120</v>
      </c>
      <c r="G904" s="2" t="n">
        <v>1121</v>
      </c>
      <c r="H904" s="2" t="n">
        <v>4</v>
      </c>
      <c r="I904" s="3" t="n">
        <v>2572.36</v>
      </c>
      <c r="J904" s="3" t="n">
        <v>1729.81</v>
      </c>
      <c r="K904" s="3" t="n">
        <v>5334.97</v>
      </c>
      <c r="L904" s="3" t="n">
        <v>2044.94</v>
      </c>
      <c r="M904" s="2" t="n">
        <v>8.6</v>
      </c>
      <c r="N904" s="2" t="s">
        <v>24</v>
      </c>
      <c r="O904" s="4" t="n">
        <f aca="false">VLOOKUP(F904,DIM_SERVICO!$A$2:$D$151,4,FALSE())</f>
        <v>1729.81</v>
      </c>
      <c r="P904" s="4" t="n">
        <f aca="false">VLOOKUP(E904,DIM_PECA!$A$2:$F$501,6,FALSE())</f>
        <v>901.29</v>
      </c>
      <c r="Q904" s="4" t="n">
        <f aca="false">VLOOKUP(E904,DIM_PECA!$A$2:$F$501,5,FALSE())</f>
        <v>643.09</v>
      </c>
      <c r="R904" s="4" t="n">
        <f aca="false">H904*P904</f>
        <v>3605.16</v>
      </c>
      <c r="S904" s="4" t="n">
        <f aca="false">O904*M904</f>
        <v>14876.366</v>
      </c>
      <c r="T904" s="4" t="n">
        <f aca="false">R904+S904</f>
        <v>18481.526</v>
      </c>
      <c r="U904" s="4" t="n">
        <f aca="false">T904-K904</f>
        <v>13146.556</v>
      </c>
      <c r="V904" s="4" t="n">
        <f aca="false">R904+S904-U904</f>
        <v>5334.97</v>
      </c>
      <c r="W904" s="5" t="str">
        <f aca="false">IF(ROUND(V904-K904,2)=0,"OK","ERRO")</f>
        <v>OK</v>
      </c>
      <c r="X904" s="5" t="str">
        <f aca="false">VLOOKUP(F904,DIM_SERVICO!$A$2:$D$151,3,FALSE())</f>
        <v>Suspensão</v>
      </c>
    </row>
    <row r="905" customFormat="false" ht="15" hidden="false" customHeight="false" outlineLevel="0" collapsed="false">
      <c r="A905" s="6" t="n">
        <v>904</v>
      </c>
      <c r="B905" s="6" t="n">
        <v>131</v>
      </c>
      <c r="C905" s="6" t="n">
        <v>637</v>
      </c>
      <c r="D905" s="6" t="n">
        <v>211</v>
      </c>
      <c r="E905" s="6" t="n">
        <v>172</v>
      </c>
      <c r="F905" s="6" t="n">
        <v>31</v>
      </c>
      <c r="G905" s="6" t="n">
        <v>1242</v>
      </c>
      <c r="H905" s="6" t="n">
        <v>1</v>
      </c>
      <c r="I905" s="7" t="n">
        <v>456.27</v>
      </c>
      <c r="J905" s="7" t="n">
        <v>1359.86</v>
      </c>
      <c r="K905" s="7" t="n">
        <v>2107.16</v>
      </c>
      <c r="L905" s="7" t="n">
        <v>1119.17</v>
      </c>
      <c r="M905" s="6" t="n">
        <v>10.1</v>
      </c>
      <c r="N905" s="6" t="s">
        <v>24</v>
      </c>
      <c r="O905" s="8" t="n">
        <f aca="false">VLOOKUP(F905,DIM_SERVICO!$A$2:$D$151,4,FALSE())</f>
        <v>1359.86</v>
      </c>
      <c r="P905" s="8" t="n">
        <f aca="false">VLOOKUP(E905,DIM_PECA!$A$2:$F$501,6,FALSE())</f>
        <v>858.2</v>
      </c>
      <c r="Q905" s="8" t="n">
        <f aca="false">VLOOKUP(E905,DIM_PECA!$A$2:$F$501,5,FALSE())</f>
        <v>456.27</v>
      </c>
      <c r="R905" s="8" t="n">
        <f aca="false">H905*P905</f>
        <v>858.2</v>
      </c>
      <c r="S905" s="8" t="n">
        <f aca="false">O905*M905</f>
        <v>13734.586</v>
      </c>
      <c r="T905" s="8" t="n">
        <f aca="false">R905+S905</f>
        <v>14592.786</v>
      </c>
      <c r="U905" s="8" t="n">
        <f aca="false">T905-K905</f>
        <v>12485.626</v>
      </c>
      <c r="V905" s="8" t="n">
        <f aca="false">R905+S905-U905</f>
        <v>2107.16</v>
      </c>
      <c r="W905" s="9" t="str">
        <f aca="false">IF(ROUND(V905-K905,2)=0,"OK","ERRO")</f>
        <v>OK</v>
      </c>
      <c r="X905" s="9" t="str">
        <f aca="false">VLOOKUP(F905,DIM_SERVICO!$A$2:$D$151,3,FALSE())</f>
        <v>Suspensão</v>
      </c>
    </row>
    <row r="906" customFormat="false" ht="15" hidden="false" customHeight="false" outlineLevel="0" collapsed="false">
      <c r="A906" s="2" t="n">
        <v>905</v>
      </c>
      <c r="B906" s="2" t="n">
        <v>1393</v>
      </c>
      <c r="C906" s="2" t="n">
        <v>955</v>
      </c>
      <c r="D906" s="2" t="n">
        <v>3</v>
      </c>
      <c r="E906" s="2" t="n">
        <v>429</v>
      </c>
      <c r="F906" s="2" t="n">
        <v>114</v>
      </c>
      <c r="G906" s="2" t="n">
        <v>1697</v>
      </c>
      <c r="H906" s="2" t="n">
        <v>4</v>
      </c>
      <c r="I906" s="3" t="n">
        <v>2137.32</v>
      </c>
      <c r="J906" s="3" t="n">
        <v>767.72</v>
      </c>
      <c r="K906" s="3" t="n">
        <v>4216.25</v>
      </c>
      <c r="L906" s="3" t="n">
        <v>1671.62</v>
      </c>
      <c r="M906" s="2" t="n">
        <v>8.3</v>
      </c>
      <c r="N906" s="2" t="s">
        <v>26</v>
      </c>
      <c r="O906" s="4" t="n">
        <f aca="false">VLOOKUP(F906,DIM_SERVICO!$A$2:$D$151,4,FALSE())</f>
        <v>767.72</v>
      </c>
      <c r="P906" s="4" t="n">
        <f aca="false">VLOOKUP(E906,DIM_PECA!$A$2:$F$501,6,FALSE())</f>
        <v>953.79</v>
      </c>
      <c r="Q906" s="4" t="n">
        <f aca="false">VLOOKUP(E906,DIM_PECA!$A$2:$F$501,5,FALSE())</f>
        <v>534.33</v>
      </c>
      <c r="R906" s="4" t="n">
        <f aca="false">H906*P906</f>
        <v>3815.16</v>
      </c>
      <c r="S906" s="4" t="n">
        <f aca="false">O906*M906</f>
        <v>6372.076</v>
      </c>
      <c r="T906" s="4" t="n">
        <f aca="false">R906+S906</f>
        <v>10187.236</v>
      </c>
      <c r="U906" s="4" t="n">
        <f aca="false">T906-K906</f>
        <v>5970.986</v>
      </c>
      <c r="V906" s="4" t="n">
        <f aca="false">R906+S906-U906</f>
        <v>4216.25</v>
      </c>
      <c r="W906" s="5" t="str">
        <f aca="false">IF(ROUND(V906-K906,2)=0,"OK","ERRO")</f>
        <v>OK</v>
      </c>
      <c r="X906" s="5" t="str">
        <f aca="false">VLOOKUP(F906,DIM_SERVICO!$A$2:$D$151,3,FALSE())</f>
        <v>Elétrica</v>
      </c>
    </row>
    <row r="907" customFormat="false" ht="15" hidden="false" customHeight="false" outlineLevel="0" collapsed="false">
      <c r="A907" s="6" t="n">
        <v>906</v>
      </c>
      <c r="B907" s="6" t="n">
        <v>167</v>
      </c>
      <c r="C907" s="6" t="n">
        <v>190</v>
      </c>
      <c r="D907" s="6" t="n">
        <v>778</v>
      </c>
      <c r="E907" s="6" t="n">
        <v>301</v>
      </c>
      <c r="F907" s="6" t="n">
        <v>71</v>
      </c>
      <c r="G907" s="6" t="n">
        <v>231</v>
      </c>
      <c r="H907" s="6" t="n">
        <v>2</v>
      </c>
      <c r="I907" s="7" t="n">
        <v>797.34</v>
      </c>
      <c r="J907" s="7" t="n">
        <v>482.15</v>
      </c>
      <c r="K907" s="7" t="n">
        <v>1628.5</v>
      </c>
      <c r="L907" s="7" t="n">
        <v>627.21</v>
      </c>
      <c r="M907" s="6" t="n">
        <v>2.5</v>
      </c>
      <c r="N907" s="6" t="s">
        <v>24</v>
      </c>
      <c r="O907" s="8" t="n">
        <f aca="false">VLOOKUP(F907,DIM_SERVICO!$A$2:$D$151,4,FALSE())</f>
        <v>482.15</v>
      </c>
      <c r="P907" s="8" t="n">
        <f aca="false">VLOOKUP(E907,DIM_PECA!$A$2:$F$501,6,FALSE())</f>
        <v>663.65</v>
      </c>
      <c r="Q907" s="8" t="n">
        <f aca="false">VLOOKUP(E907,DIM_PECA!$A$2:$F$501,5,FALSE())</f>
        <v>398.67</v>
      </c>
      <c r="R907" s="8" t="n">
        <f aca="false">H907*P907</f>
        <v>1327.3</v>
      </c>
      <c r="S907" s="8" t="n">
        <f aca="false">O907*M907</f>
        <v>1205.375</v>
      </c>
      <c r="T907" s="8" t="n">
        <f aca="false">R907+S907</f>
        <v>2532.675</v>
      </c>
      <c r="U907" s="8" t="n">
        <f aca="false">T907-K907</f>
        <v>904.175</v>
      </c>
      <c r="V907" s="8" t="n">
        <f aca="false">R907+S907-U907</f>
        <v>1628.5</v>
      </c>
      <c r="W907" s="9" t="str">
        <f aca="false">IF(ROUND(V907-K907,2)=0,"OK","ERRO")</f>
        <v>OK</v>
      </c>
      <c r="X907" s="9" t="str">
        <f aca="false">VLOOKUP(F907,DIM_SERVICO!$A$2:$D$151,3,FALSE())</f>
        <v>Elétrica</v>
      </c>
    </row>
    <row r="908" customFormat="false" ht="15" hidden="false" customHeight="false" outlineLevel="0" collapsed="false">
      <c r="A908" s="2" t="n">
        <v>907</v>
      </c>
      <c r="B908" s="2" t="n">
        <v>1264</v>
      </c>
      <c r="C908" s="2" t="n">
        <v>1110</v>
      </c>
      <c r="D908" s="2" t="n">
        <v>472</v>
      </c>
      <c r="E908" s="2" t="n">
        <v>404</v>
      </c>
      <c r="F908" s="2" t="n">
        <v>143</v>
      </c>
      <c r="G908" s="2" t="n">
        <v>420</v>
      </c>
      <c r="H908" s="2" t="n">
        <v>4</v>
      </c>
      <c r="I908" s="3" t="n">
        <v>1209.08</v>
      </c>
      <c r="J908" s="3" t="n">
        <v>1722.21</v>
      </c>
      <c r="K908" s="3" t="n">
        <v>3083.81</v>
      </c>
      <c r="L908" s="3" t="n">
        <v>1064.97</v>
      </c>
      <c r="M908" s="2" t="n">
        <v>9.5</v>
      </c>
      <c r="N908" s="2" t="s">
        <v>26</v>
      </c>
      <c r="O908" s="4" t="n">
        <f aca="false">VLOOKUP(F908,DIM_SERVICO!$A$2:$D$151,4,FALSE())</f>
        <v>1722.21</v>
      </c>
      <c r="P908" s="4" t="n">
        <f aca="false">VLOOKUP(E908,DIM_PECA!$A$2:$F$501,6,FALSE())</f>
        <v>426.06</v>
      </c>
      <c r="Q908" s="4" t="n">
        <f aca="false">VLOOKUP(E908,DIM_PECA!$A$2:$F$501,5,FALSE())</f>
        <v>302.27</v>
      </c>
      <c r="R908" s="4" t="n">
        <f aca="false">H908*P908</f>
        <v>1704.24</v>
      </c>
      <c r="S908" s="4" t="n">
        <f aca="false">O908*M908</f>
        <v>16360.995</v>
      </c>
      <c r="T908" s="4" t="n">
        <f aca="false">R908+S908</f>
        <v>18065.235</v>
      </c>
      <c r="U908" s="4" t="n">
        <f aca="false">T908-K908</f>
        <v>14981.425</v>
      </c>
      <c r="V908" s="4" t="n">
        <f aca="false">R908+S908-U908</f>
        <v>3083.81</v>
      </c>
      <c r="W908" s="5" t="str">
        <f aca="false">IF(ROUND(V908-K908,2)=0,"OK","ERRO")</f>
        <v>OK</v>
      </c>
      <c r="X908" s="5" t="str">
        <f aca="false">VLOOKUP(F908,DIM_SERVICO!$A$2:$D$151,3,FALSE())</f>
        <v>Suspensão</v>
      </c>
    </row>
    <row r="909" customFormat="false" ht="15" hidden="false" customHeight="false" outlineLevel="0" collapsed="false">
      <c r="A909" s="6" t="n">
        <v>908</v>
      </c>
      <c r="B909" s="6" t="n">
        <v>283</v>
      </c>
      <c r="C909" s="6" t="n">
        <v>1205</v>
      </c>
      <c r="D909" s="6" t="n">
        <v>674</v>
      </c>
      <c r="E909" s="6" t="n">
        <v>276</v>
      </c>
      <c r="F909" s="6" t="n">
        <v>41</v>
      </c>
      <c r="G909" s="6" t="n">
        <v>993</v>
      </c>
      <c r="H909" s="6" t="n">
        <v>4</v>
      </c>
      <c r="I909" s="7" t="n">
        <v>3217.2</v>
      </c>
      <c r="J909" s="7" t="n">
        <v>1317.9</v>
      </c>
      <c r="K909" s="7" t="n">
        <v>6902.85</v>
      </c>
      <c r="L909" s="7" t="n">
        <v>3208.15</v>
      </c>
      <c r="M909" s="6" t="n">
        <v>7.2</v>
      </c>
      <c r="N909" s="6" t="s">
        <v>24</v>
      </c>
      <c r="O909" s="8" t="n">
        <f aca="false">VLOOKUP(F909,DIM_SERVICO!$A$2:$D$151,4,FALSE())</f>
        <v>1317.9</v>
      </c>
      <c r="P909" s="8" t="n">
        <f aca="false">VLOOKUP(E909,DIM_PECA!$A$2:$F$501,6,FALSE())</f>
        <v>1546.3</v>
      </c>
      <c r="Q909" s="8" t="n">
        <f aca="false">VLOOKUP(E909,DIM_PECA!$A$2:$F$501,5,FALSE())</f>
        <v>804.3</v>
      </c>
      <c r="R909" s="8" t="n">
        <f aca="false">H909*P909</f>
        <v>6185.2</v>
      </c>
      <c r="S909" s="8" t="n">
        <f aca="false">O909*M909</f>
        <v>9488.88</v>
      </c>
      <c r="T909" s="8" t="n">
        <f aca="false">R909+S909</f>
        <v>15674.08</v>
      </c>
      <c r="U909" s="8" t="n">
        <f aca="false">T909-K909</f>
        <v>8771.23</v>
      </c>
      <c r="V909" s="8" t="n">
        <f aca="false">R909+S909-U909</f>
        <v>6902.85</v>
      </c>
      <c r="W909" s="9" t="str">
        <f aca="false">IF(ROUND(V909-K909,2)=0,"OK","ERRO")</f>
        <v>OK</v>
      </c>
      <c r="X909" s="9" t="str">
        <f aca="false">VLOOKUP(F909,DIM_SERVICO!$A$2:$D$151,3,FALSE())</f>
        <v>Motor</v>
      </c>
    </row>
    <row r="910" customFormat="false" ht="15" hidden="false" customHeight="false" outlineLevel="0" collapsed="false">
      <c r="A910" s="2" t="n">
        <v>909</v>
      </c>
      <c r="B910" s="2" t="n">
        <v>352</v>
      </c>
      <c r="C910" s="2" t="n">
        <v>270</v>
      </c>
      <c r="D910" s="2" t="n">
        <v>240</v>
      </c>
      <c r="E910" s="2" t="n">
        <v>213</v>
      </c>
      <c r="F910" s="2" t="n">
        <v>29</v>
      </c>
      <c r="G910" s="2" t="n">
        <v>1681</v>
      </c>
      <c r="H910" s="2" t="n">
        <v>3</v>
      </c>
      <c r="I910" s="3" t="n">
        <v>3267.69</v>
      </c>
      <c r="J910" s="3" t="n">
        <v>223.62</v>
      </c>
      <c r="K910" s="3" t="n">
        <v>6578.46</v>
      </c>
      <c r="L910" s="3" t="n">
        <v>3207.31</v>
      </c>
      <c r="M910" s="2" t="n">
        <v>10.7</v>
      </c>
      <c r="N910" s="2" t="s">
        <v>27</v>
      </c>
      <c r="O910" s="4" t="n">
        <f aca="false">VLOOKUP(F910,DIM_SERVICO!$A$2:$D$151,4,FALSE())</f>
        <v>223.62</v>
      </c>
      <c r="P910" s="4" t="n">
        <f aca="false">VLOOKUP(E910,DIM_PECA!$A$2:$F$501,6,FALSE())</f>
        <v>2163.03</v>
      </c>
      <c r="Q910" s="4" t="n">
        <f aca="false">VLOOKUP(E910,DIM_PECA!$A$2:$F$501,5,FALSE())</f>
        <v>1089.23</v>
      </c>
      <c r="R910" s="4" t="n">
        <f aca="false">H910*P910</f>
        <v>6489.09</v>
      </c>
      <c r="S910" s="4" t="n">
        <f aca="false">O910*M910</f>
        <v>2392.734</v>
      </c>
      <c r="T910" s="4" t="n">
        <f aca="false">R910+S910</f>
        <v>8881.824</v>
      </c>
      <c r="U910" s="4" t="n">
        <f aca="false">T910-K910</f>
        <v>2303.364</v>
      </c>
      <c r="V910" s="4" t="n">
        <f aca="false">R910+S910-U910</f>
        <v>6578.46</v>
      </c>
      <c r="W910" s="5" t="str">
        <f aca="false">IF(ROUND(V910-K910,2)=0,"OK","ERRO")</f>
        <v>OK</v>
      </c>
      <c r="X910" s="5" t="str">
        <f aca="false">VLOOKUP(F910,DIM_SERVICO!$A$2:$D$151,3,FALSE())</f>
        <v>Diagnóstico</v>
      </c>
    </row>
    <row r="911" customFormat="false" ht="15" hidden="false" customHeight="false" outlineLevel="0" collapsed="false">
      <c r="A911" s="6" t="n">
        <v>910</v>
      </c>
      <c r="B911" s="6" t="n">
        <v>1274</v>
      </c>
      <c r="C911" s="6" t="n">
        <v>1225</v>
      </c>
      <c r="D911" s="6" t="n">
        <v>57</v>
      </c>
      <c r="E911" s="6" t="n">
        <v>223</v>
      </c>
      <c r="F911" s="6" t="n">
        <v>6</v>
      </c>
      <c r="G911" s="6" t="n">
        <v>1743</v>
      </c>
      <c r="H911" s="6" t="n">
        <v>2</v>
      </c>
      <c r="I911" s="7" t="n">
        <v>161.62</v>
      </c>
      <c r="J911" s="7" t="n">
        <v>1505.67</v>
      </c>
      <c r="K911" s="7" t="n">
        <v>1818.32</v>
      </c>
      <c r="L911" s="7" t="n">
        <v>1001.82</v>
      </c>
      <c r="M911" s="6" t="n">
        <v>0.6</v>
      </c>
      <c r="N911" s="6" t="s">
        <v>24</v>
      </c>
      <c r="O911" s="8" t="n">
        <f aca="false">VLOOKUP(F911,DIM_SERVICO!$A$2:$D$151,4,FALSE())</f>
        <v>1505.67</v>
      </c>
      <c r="P911" s="8" t="n">
        <f aca="false">VLOOKUP(E911,DIM_PECA!$A$2:$F$501,6,FALSE())</f>
        <v>174.88</v>
      </c>
      <c r="Q911" s="8" t="n">
        <f aca="false">VLOOKUP(E911,DIM_PECA!$A$2:$F$501,5,FALSE())</f>
        <v>80.81</v>
      </c>
      <c r="R911" s="8" t="n">
        <f aca="false">H911*P911</f>
        <v>349.76</v>
      </c>
      <c r="S911" s="8" t="n">
        <f aca="false">O911*M911</f>
        <v>903.402</v>
      </c>
      <c r="T911" s="8" t="n">
        <f aca="false">R911+S911</f>
        <v>1253.162</v>
      </c>
      <c r="U911" s="8" t="n">
        <f aca="false">T911-K911</f>
        <v>-565.158</v>
      </c>
      <c r="V911" s="8" t="n">
        <f aca="false">R911+S911-U911</f>
        <v>1818.32</v>
      </c>
      <c r="W911" s="9" t="str">
        <f aca="false">IF(ROUND(V911-K911,2)=0,"OK","ERRO")</f>
        <v>OK</v>
      </c>
      <c r="X911" s="9" t="str">
        <f aca="false">VLOOKUP(F911,DIM_SERVICO!$A$2:$D$151,3,FALSE())</f>
        <v>Motor</v>
      </c>
    </row>
    <row r="912" customFormat="false" ht="15" hidden="false" customHeight="false" outlineLevel="0" collapsed="false">
      <c r="A912" s="2" t="n">
        <v>911</v>
      </c>
      <c r="B912" s="2" t="n">
        <v>1360</v>
      </c>
      <c r="C912" s="2" t="n">
        <v>1458</v>
      </c>
      <c r="D912" s="2" t="n">
        <v>413</v>
      </c>
      <c r="E912" s="2" t="n">
        <v>182</v>
      </c>
      <c r="F912" s="2" t="n">
        <v>20</v>
      </c>
      <c r="G912" s="2" t="n">
        <v>1348</v>
      </c>
      <c r="H912" s="2" t="n">
        <v>2</v>
      </c>
      <c r="I912" s="3" t="n">
        <v>1570.52</v>
      </c>
      <c r="J912" s="3" t="n">
        <v>295.88</v>
      </c>
      <c r="K912" s="3" t="n">
        <v>3093.84</v>
      </c>
      <c r="L912" s="3" t="n">
        <v>1365.15</v>
      </c>
      <c r="M912" s="2" t="n">
        <v>10.5</v>
      </c>
      <c r="N912" s="2" t="s">
        <v>26</v>
      </c>
      <c r="O912" s="4" t="n">
        <f aca="false">VLOOKUP(F912,DIM_SERVICO!$A$2:$D$151,4,FALSE())</f>
        <v>295.88</v>
      </c>
      <c r="P912" s="4" t="n">
        <f aca="false">VLOOKUP(E912,DIM_PECA!$A$2:$F$501,6,FALSE())</f>
        <v>1398.98</v>
      </c>
      <c r="Q912" s="4" t="n">
        <f aca="false">VLOOKUP(E912,DIM_PECA!$A$2:$F$501,5,FALSE())</f>
        <v>785.26</v>
      </c>
      <c r="R912" s="4" t="n">
        <f aca="false">H912*P912</f>
        <v>2797.96</v>
      </c>
      <c r="S912" s="4" t="n">
        <f aca="false">O912*M912</f>
        <v>3106.74</v>
      </c>
      <c r="T912" s="4" t="n">
        <f aca="false">R912+S912</f>
        <v>5904.7</v>
      </c>
      <c r="U912" s="4" t="n">
        <f aca="false">T912-K912</f>
        <v>2810.86</v>
      </c>
      <c r="V912" s="4" t="n">
        <f aca="false">R912+S912-U912</f>
        <v>3093.84</v>
      </c>
      <c r="W912" s="5" t="str">
        <f aca="false">IF(ROUND(V912-K912,2)=0,"OK","ERRO")</f>
        <v>OK</v>
      </c>
      <c r="X912" s="5" t="str">
        <f aca="false">VLOOKUP(F912,DIM_SERVICO!$A$2:$D$151,3,FALSE())</f>
        <v>Elétrica</v>
      </c>
    </row>
    <row r="913" customFormat="false" ht="15" hidden="false" customHeight="false" outlineLevel="0" collapsed="false">
      <c r="A913" s="6" t="n">
        <v>912</v>
      </c>
      <c r="B913" s="6" t="n">
        <v>1115</v>
      </c>
      <c r="C913" s="6" t="n">
        <v>749</v>
      </c>
      <c r="D913" s="6" t="n">
        <v>1057</v>
      </c>
      <c r="E913" s="6" t="n">
        <v>363</v>
      </c>
      <c r="F913" s="6" t="n">
        <v>99</v>
      </c>
      <c r="G913" s="6" t="n">
        <v>1196</v>
      </c>
      <c r="H913" s="6" t="n">
        <v>1</v>
      </c>
      <c r="I913" s="7" t="n">
        <v>918.32</v>
      </c>
      <c r="J913" s="7" t="n">
        <v>563.92</v>
      </c>
      <c r="K913" s="7" t="n">
        <v>2184.12</v>
      </c>
      <c r="L913" s="7" t="n">
        <v>961.12</v>
      </c>
      <c r="M913" s="6" t="n">
        <v>2.9</v>
      </c>
      <c r="N913" s="6" t="s">
        <v>24</v>
      </c>
      <c r="O913" s="8" t="n">
        <f aca="false">VLOOKUP(F913,DIM_SERVICO!$A$2:$D$151,4,FALSE())</f>
        <v>563.92</v>
      </c>
      <c r="P913" s="8" t="n">
        <f aca="false">VLOOKUP(E913,DIM_PECA!$A$2:$F$501,6,FALSE())</f>
        <v>1620.2</v>
      </c>
      <c r="Q913" s="8" t="n">
        <f aca="false">VLOOKUP(E913,DIM_PECA!$A$2:$F$501,5,FALSE())</f>
        <v>918.32</v>
      </c>
      <c r="R913" s="8" t="n">
        <f aca="false">H913*P913</f>
        <v>1620.2</v>
      </c>
      <c r="S913" s="8" t="n">
        <f aca="false">O913*M913</f>
        <v>1635.368</v>
      </c>
      <c r="T913" s="8" t="n">
        <f aca="false">R913+S913</f>
        <v>3255.568</v>
      </c>
      <c r="U913" s="8" t="n">
        <f aca="false">T913-K913</f>
        <v>1071.448</v>
      </c>
      <c r="V913" s="8" t="n">
        <f aca="false">R913+S913-U913</f>
        <v>2184.12</v>
      </c>
      <c r="W913" s="9" t="str">
        <f aca="false">IF(ROUND(V913-K913,2)=0,"OK","ERRO")</f>
        <v>OK</v>
      </c>
      <c r="X913" s="9" t="str">
        <f aca="false">VLOOKUP(F913,DIM_SERVICO!$A$2:$D$151,3,FALSE())</f>
        <v>Funilaria</v>
      </c>
    </row>
    <row r="914" customFormat="false" ht="15" hidden="false" customHeight="false" outlineLevel="0" collapsed="false">
      <c r="A914" s="2" t="n">
        <v>913</v>
      </c>
      <c r="B914" s="2" t="n">
        <v>276</v>
      </c>
      <c r="C914" s="2" t="n">
        <v>535</v>
      </c>
      <c r="D914" s="2" t="n">
        <v>1080</v>
      </c>
      <c r="E914" s="2" t="n">
        <v>134</v>
      </c>
      <c r="F914" s="2" t="n">
        <v>50</v>
      </c>
      <c r="G914" s="2" t="n">
        <v>1152</v>
      </c>
      <c r="H914" s="2" t="n">
        <v>3</v>
      </c>
      <c r="I914" s="3" t="n">
        <v>1554.51</v>
      </c>
      <c r="J914" s="3" t="n">
        <v>1357.79</v>
      </c>
      <c r="K914" s="3" t="n">
        <v>4017.53</v>
      </c>
      <c r="L914" s="3" t="n">
        <v>1808.44</v>
      </c>
      <c r="M914" s="2" t="n">
        <v>2.9</v>
      </c>
      <c r="N914" s="2" t="s">
        <v>24</v>
      </c>
      <c r="O914" s="4" t="n">
        <f aca="false">VLOOKUP(F914,DIM_SERVICO!$A$2:$D$151,4,FALSE())</f>
        <v>1357.79</v>
      </c>
      <c r="P914" s="4" t="n">
        <f aca="false">VLOOKUP(E914,DIM_PECA!$A$2:$F$501,6,FALSE())</f>
        <v>1003.03</v>
      </c>
      <c r="Q914" s="4" t="n">
        <f aca="false">VLOOKUP(E914,DIM_PECA!$A$2:$F$501,5,FALSE())</f>
        <v>518.17</v>
      </c>
      <c r="R914" s="4" t="n">
        <f aca="false">H914*P914</f>
        <v>3009.09</v>
      </c>
      <c r="S914" s="4" t="n">
        <f aca="false">O914*M914</f>
        <v>3937.591</v>
      </c>
      <c r="T914" s="4" t="n">
        <f aca="false">R914+S914</f>
        <v>6946.681</v>
      </c>
      <c r="U914" s="4" t="n">
        <f aca="false">T914-K914</f>
        <v>2929.151</v>
      </c>
      <c r="V914" s="4" t="n">
        <f aca="false">R914+S914-U914</f>
        <v>4017.53</v>
      </c>
      <c r="W914" s="5" t="str">
        <f aca="false">IF(ROUND(V914-K914,2)=0,"OK","ERRO")</f>
        <v>OK</v>
      </c>
      <c r="X914" s="5" t="str">
        <f aca="false">VLOOKUP(F914,DIM_SERVICO!$A$2:$D$151,3,FALSE())</f>
        <v>Pintura</v>
      </c>
    </row>
    <row r="915" customFormat="false" ht="15" hidden="false" customHeight="false" outlineLevel="0" collapsed="false">
      <c r="A915" s="6" t="n">
        <v>914</v>
      </c>
      <c r="B915" s="6" t="n">
        <v>508</v>
      </c>
      <c r="C915" s="6" t="n">
        <v>735</v>
      </c>
      <c r="D915" s="6" t="n">
        <v>1014</v>
      </c>
      <c r="E915" s="6" t="n">
        <v>444</v>
      </c>
      <c r="F915" s="6" t="n">
        <v>132</v>
      </c>
      <c r="G915" s="6" t="n">
        <v>1424</v>
      </c>
      <c r="H915" s="6" t="n">
        <v>3</v>
      </c>
      <c r="I915" s="7" t="n">
        <v>3175.44</v>
      </c>
      <c r="J915" s="7" t="n">
        <v>746.69</v>
      </c>
      <c r="K915" s="7" t="n">
        <v>4795.83</v>
      </c>
      <c r="L915" s="7" t="n">
        <v>1255.6</v>
      </c>
      <c r="M915" s="6" t="n">
        <v>8.9</v>
      </c>
      <c r="N915" s="6" t="s">
        <v>24</v>
      </c>
      <c r="O915" s="8" t="n">
        <f aca="false">VLOOKUP(F915,DIM_SERVICO!$A$2:$D$151,4,FALSE())</f>
        <v>746.69</v>
      </c>
      <c r="P915" s="8" t="n">
        <f aca="false">VLOOKUP(E915,DIM_PECA!$A$2:$F$501,6,FALSE())</f>
        <v>1433.85</v>
      </c>
      <c r="Q915" s="8" t="n">
        <f aca="false">VLOOKUP(E915,DIM_PECA!$A$2:$F$501,5,FALSE())</f>
        <v>1058.48</v>
      </c>
      <c r="R915" s="8" t="n">
        <f aca="false">H915*P915</f>
        <v>4301.55</v>
      </c>
      <c r="S915" s="8" t="n">
        <f aca="false">O915*M915</f>
        <v>6645.541</v>
      </c>
      <c r="T915" s="8" t="n">
        <f aca="false">R915+S915</f>
        <v>10947.091</v>
      </c>
      <c r="U915" s="8" t="n">
        <f aca="false">T915-K915</f>
        <v>6151.261</v>
      </c>
      <c r="V915" s="8" t="n">
        <f aca="false">R915+S915-U915</f>
        <v>4795.83</v>
      </c>
      <c r="W915" s="9" t="str">
        <f aca="false">IF(ROUND(V915-K915,2)=0,"OK","ERRO")</f>
        <v>OK</v>
      </c>
      <c r="X915" s="9" t="str">
        <f aca="false">VLOOKUP(F915,DIM_SERVICO!$A$2:$D$151,3,FALSE())</f>
        <v>Motor</v>
      </c>
    </row>
    <row r="916" customFormat="false" ht="15" hidden="false" customHeight="false" outlineLevel="0" collapsed="false">
      <c r="A916" s="2" t="n">
        <v>915</v>
      </c>
      <c r="B916" s="2" t="n">
        <v>155</v>
      </c>
      <c r="C916" s="2" t="n">
        <v>970</v>
      </c>
      <c r="D916" s="2" t="n">
        <v>954</v>
      </c>
      <c r="E916" s="2" t="n">
        <v>255</v>
      </c>
      <c r="F916" s="2" t="n">
        <v>1</v>
      </c>
      <c r="G916" s="2" t="n">
        <v>232</v>
      </c>
      <c r="H916" s="2" t="n">
        <v>1</v>
      </c>
      <c r="I916" s="3" t="n">
        <v>990.24</v>
      </c>
      <c r="J916" s="3" t="n">
        <v>412.84</v>
      </c>
      <c r="K916" s="3" t="n">
        <v>2152.2</v>
      </c>
      <c r="L916" s="3" t="n">
        <v>952.78</v>
      </c>
      <c r="M916" s="2" t="n">
        <v>10.3</v>
      </c>
      <c r="N916" s="2" t="s">
        <v>27</v>
      </c>
      <c r="O916" s="4" t="n">
        <f aca="false">VLOOKUP(F916,DIM_SERVICO!$A$2:$D$151,4,FALSE())</f>
        <v>412.84</v>
      </c>
      <c r="P916" s="4" t="n">
        <f aca="false">VLOOKUP(E916,DIM_PECA!$A$2:$F$501,6,FALSE())</f>
        <v>1926.51</v>
      </c>
      <c r="Q916" s="4" t="n">
        <f aca="false">VLOOKUP(E916,DIM_PECA!$A$2:$F$501,5,FALSE())</f>
        <v>990.24</v>
      </c>
      <c r="R916" s="4" t="n">
        <f aca="false">H916*P916</f>
        <v>1926.51</v>
      </c>
      <c r="S916" s="4" t="n">
        <f aca="false">O916*M916</f>
        <v>4252.252</v>
      </c>
      <c r="T916" s="4" t="n">
        <f aca="false">R916+S916</f>
        <v>6178.762</v>
      </c>
      <c r="U916" s="4" t="n">
        <f aca="false">T916-K916</f>
        <v>4026.562</v>
      </c>
      <c r="V916" s="4" t="n">
        <f aca="false">R916+S916-U916</f>
        <v>2152.2</v>
      </c>
      <c r="W916" s="5" t="str">
        <f aca="false">IF(ROUND(V916-K916,2)=0,"OK","ERRO")</f>
        <v>OK</v>
      </c>
      <c r="X916" s="5" t="str">
        <f aca="false">VLOOKUP(F916,DIM_SERVICO!$A$2:$D$151,3,FALSE())</f>
        <v>Elétrica</v>
      </c>
    </row>
    <row r="917" customFormat="false" ht="15" hidden="false" customHeight="false" outlineLevel="0" collapsed="false">
      <c r="A917" s="6" t="n">
        <v>916</v>
      </c>
      <c r="B917" s="6" t="n">
        <v>1476</v>
      </c>
      <c r="C917" s="6" t="n">
        <v>1395</v>
      </c>
      <c r="D917" s="6" t="n">
        <v>153</v>
      </c>
      <c r="E917" s="6" t="n">
        <v>62</v>
      </c>
      <c r="F917" s="6" t="n">
        <v>60</v>
      </c>
      <c r="G917" s="6" t="n">
        <v>479</v>
      </c>
      <c r="H917" s="6" t="n">
        <v>4</v>
      </c>
      <c r="I917" s="7" t="n">
        <v>2314.28</v>
      </c>
      <c r="J917" s="7" t="n">
        <v>1091.63</v>
      </c>
      <c r="K917" s="7" t="n">
        <v>5527.01</v>
      </c>
      <c r="L917" s="7" t="n">
        <v>2759.53</v>
      </c>
      <c r="M917" s="6" t="n">
        <v>11.3</v>
      </c>
      <c r="N917" s="6" t="s">
        <v>27</v>
      </c>
      <c r="O917" s="8" t="n">
        <f aca="false">VLOOKUP(F917,DIM_SERVICO!$A$2:$D$151,4,FALSE())</f>
        <v>1091.63</v>
      </c>
      <c r="P917" s="8" t="n">
        <f aca="false">VLOOKUP(E917,DIM_PECA!$A$2:$F$501,6,FALSE())</f>
        <v>1181.57</v>
      </c>
      <c r="Q917" s="8" t="n">
        <f aca="false">VLOOKUP(E917,DIM_PECA!$A$2:$F$501,5,FALSE())</f>
        <v>578.57</v>
      </c>
      <c r="R917" s="8" t="n">
        <f aca="false">H917*P917</f>
        <v>4726.28</v>
      </c>
      <c r="S917" s="8" t="n">
        <f aca="false">O917*M917</f>
        <v>12335.419</v>
      </c>
      <c r="T917" s="8" t="n">
        <f aca="false">R917+S917</f>
        <v>17061.699</v>
      </c>
      <c r="U917" s="8" t="n">
        <f aca="false">T917-K917</f>
        <v>11534.689</v>
      </c>
      <c r="V917" s="8" t="n">
        <f aca="false">R917+S917-U917</f>
        <v>5527.01</v>
      </c>
      <c r="W917" s="9" t="str">
        <f aca="false">IF(ROUND(V917-K917,2)=0,"OK","ERRO")</f>
        <v>OK</v>
      </c>
      <c r="X917" s="9" t="str">
        <f aca="false">VLOOKUP(F917,DIM_SERVICO!$A$2:$D$151,3,FALSE())</f>
        <v>Diagnóstico</v>
      </c>
    </row>
    <row r="918" customFormat="false" ht="15" hidden="false" customHeight="false" outlineLevel="0" collapsed="false">
      <c r="A918" s="2" t="n">
        <v>917</v>
      </c>
      <c r="B918" s="2" t="n">
        <v>285</v>
      </c>
      <c r="C918" s="2" t="n">
        <v>427</v>
      </c>
      <c r="D918" s="2" t="n">
        <v>375</v>
      </c>
      <c r="E918" s="2" t="n">
        <v>49</v>
      </c>
      <c r="F918" s="2" t="n">
        <v>69</v>
      </c>
      <c r="G918" s="2" t="n">
        <v>482</v>
      </c>
      <c r="H918" s="2" t="n">
        <v>2</v>
      </c>
      <c r="I918" s="3" t="n">
        <v>2364.52</v>
      </c>
      <c r="J918" s="3" t="n">
        <v>905.47</v>
      </c>
      <c r="K918" s="3" t="n">
        <v>4732.49</v>
      </c>
      <c r="L918" s="3" t="n">
        <v>2036.29</v>
      </c>
      <c r="M918" s="2" t="n">
        <v>0.6</v>
      </c>
      <c r="N918" s="2" t="s">
        <v>24</v>
      </c>
      <c r="O918" s="4" t="n">
        <f aca="false">VLOOKUP(F918,DIM_SERVICO!$A$2:$D$151,4,FALSE())</f>
        <v>905.47</v>
      </c>
      <c r="P918" s="4" t="n">
        <f aca="false">VLOOKUP(E918,DIM_PECA!$A$2:$F$501,6,FALSE())</f>
        <v>1913.51</v>
      </c>
      <c r="Q918" s="4" t="n">
        <f aca="false">VLOOKUP(E918,DIM_PECA!$A$2:$F$501,5,FALSE())</f>
        <v>1182.26</v>
      </c>
      <c r="R918" s="4" t="n">
        <f aca="false">H918*P918</f>
        <v>3827.02</v>
      </c>
      <c r="S918" s="4" t="n">
        <f aca="false">O918*M918</f>
        <v>543.282</v>
      </c>
      <c r="T918" s="4" t="n">
        <f aca="false">R918+S918</f>
        <v>4370.302</v>
      </c>
      <c r="U918" s="4" t="n">
        <f aca="false">T918-K918</f>
        <v>-362.188</v>
      </c>
      <c r="V918" s="4" t="n">
        <f aca="false">R918+S918-U918</f>
        <v>4732.49</v>
      </c>
      <c r="W918" s="5" t="str">
        <f aca="false">IF(ROUND(V918-K918,2)=0,"OK","ERRO")</f>
        <v>OK</v>
      </c>
      <c r="X918" s="5" t="str">
        <f aca="false">VLOOKUP(F918,DIM_SERVICO!$A$2:$D$151,3,FALSE())</f>
        <v>Motor</v>
      </c>
    </row>
    <row r="919" customFormat="false" ht="15" hidden="false" customHeight="false" outlineLevel="0" collapsed="false">
      <c r="A919" s="6" t="n">
        <v>918</v>
      </c>
      <c r="B919" s="6" t="n">
        <v>376</v>
      </c>
      <c r="C919" s="6" t="n">
        <v>953</v>
      </c>
      <c r="D919" s="6" t="n">
        <v>175</v>
      </c>
      <c r="E919" s="6" t="n">
        <v>75</v>
      </c>
      <c r="F919" s="6" t="n">
        <v>126</v>
      </c>
      <c r="G919" s="6" t="n">
        <v>1031</v>
      </c>
      <c r="H919" s="6" t="n">
        <v>4</v>
      </c>
      <c r="I919" s="7" t="n">
        <v>3946.36</v>
      </c>
      <c r="J919" s="7" t="n">
        <v>722.81</v>
      </c>
      <c r="K919" s="7" t="n">
        <v>5893.82</v>
      </c>
      <c r="L919" s="7" t="n">
        <v>1607.49</v>
      </c>
      <c r="M919" s="6" t="n">
        <v>3.3</v>
      </c>
      <c r="N919" s="6" t="s">
        <v>24</v>
      </c>
      <c r="O919" s="8" t="n">
        <f aca="false">VLOOKUP(F919,DIM_SERVICO!$A$2:$D$151,4,FALSE())</f>
        <v>722.81</v>
      </c>
      <c r="P919" s="8" t="n">
        <f aca="false">VLOOKUP(E919,DIM_PECA!$A$2:$F$501,6,FALSE())</f>
        <v>1456.47</v>
      </c>
      <c r="Q919" s="8" t="n">
        <f aca="false">VLOOKUP(E919,DIM_PECA!$A$2:$F$501,5,FALSE())</f>
        <v>986.59</v>
      </c>
      <c r="R919" s="8" t="n">
        <f aca="false">H919*P919</f>
        <v>5825.88</v>
      </c>
      <c r="S919" s="8" t="n">
        <f aca="false">O919*M919</f>
        <v>2385.273</v>
      </c>
      <c r="T919" s="8" t="n">
        <f aca="false">R919+S919</f>
        <v>8211.153</v>
      </c>
      <c r="U919" s="8" t="n">
        <f aca="false">T919-K919</f>
        <v>2317.333</v>
      </c>
      <c r="V919" s="8" t="n">
        <f aca="false">R919+S919-U919</f>
        <v>5893.82</v>
      </c>
      <c r="W919" s="9" t="str">
        <f aca="false">IF(ROUND(V919-K919,2)=0,"OK","ERRO")</f>
        <v>OK</v>
      </c>
      <c r="X919" s="9" t="str">
        <f aca="false">VLOOKUP(F919,DIM_SERVICO!$A$2:$D$151,3,FALSE())</f>
        <v>Freios</v>
      </c>
    </row>
    <row r="920" customFormat="false" ht="15" hidden="false" customHeight="false" outlineLevel="0" collapsed="false">
      <c r="A920" s="2" t="n">
        <v>919</v>
      </c>
      <c r="B920" s="2" t="n">
        <v>554</v>
      </c>
      <c r="C920" s="2" t="n">
        <v>1045</v>
      </c>
      <c r="D920" s="2" t="n">
        <v>872</v>
      </c>
      <c r="E920" s="2" t="n">
        <v>389</v>
      </c>
      <c r="F920" s="2" t="n">
        <v>11</v>
      </c>
      <c r="G920" s="2" t="n">
        <v>1724</v>
      </c>
      <c r="H920" s="2" t="n">
        <v>1</v>
      </c>
      <c r="I920" s="3" t="n">
        <v>851.19</v>
      </c>
      <c r="J920" s="3" t="n">
        <v>2164.78</v>
      </c>
      <c r="K920" s="3" t="n">
        <v>3820.49</v>
      </c>
      <c r="L920" s="3" t="n">
        <v>1919.35</v>
      </c>
      <c r="M920" s="2" t="n">
        <v>2.5</v>
      </c>
      <c r="N920" s="2" t="s">
        <v>24</v>
      </c>
      <c r="O920" s="4" t="n">
        <f aca="false">VLOOKUP(F920,DIM_SERVICO!$A$2:$D$151,4,FALSE())</f>
        <v>2164.78</v>
      </c>
      <c r="P920" s="4" t="n">
        <f aca="false">VLOOKUP(E920,DIM_PECA!$A$2:$F$501,6,FALSE())</f>
        <v>1655.71</v>
      </c>
      <c r="Q920" s="4" t="n">
        <f aca="false">VLOOKUP(E920,DIM_PECA!$A$2:$F$501,5,FALSE())</f>
        <v>851.19</v>
      </c>
      <c r="R920" s="4" t="n">
        <f aca="false">H920*P920</f>
        <v>1655.71</v>
      </c>
      <c r="S920" s="4" t="n">
        <f aca="false">O920*M920</f>
        <v>5411.95</v>
      </c>
      <c r="T920" s="4" t="n">
        <f aca="false">R920+S920</f>
        <v>7067.66</v>
      </c>
      <c r="U920" s="4" t="n">
        <f aca="false">T920-K920</f>
        <v>3247.17</v>
      </c>
      <c r="V920" s="4" t="n">
        <f aca="false">R920+S920-U920</f>
        <v>3820.49</v>
      </c>
      <c r="W920" s="5" t="str">
        <f aca="false">IF(ROUND(V920-K920,2)=0,"OK","ERRO")</f>
        <v>OK</v>
      </c>
      <c r="X920" s="5" t="str">
        <f aca="false">VLOOKUP(F920,DIM_SERVICO!$A$2:$D$151,3,FALSE())</f>
        <v>Freios</v>
      </c>
    </row>
    <row r="921" customFormat="false" ht="15" hidden="false" customHeight="false" outlineLevel="0" collapsed="false">
      <c r="A921" s="6" t="n">
        <v>920</v>
      </c>
      <c r="B921" s="6" t="n">
        <v>1243</v>
      </c>
      <c r="C921" s="6" t="n">
        <v>104</v>
      </c>
      <c r="D921" s="6" t="n">
        <v>910</v>
      </c>
      <c r="E921" s="6" t="n">
        <v>481</v>
      </c>
      <c r="F921" s="6" t="n">
        <v>37</v>
      </c>
      <c r="G921" s="6" t="n">
        <v>371</v>
      </c>
      <c r="H921" s="6" t="n">
        <v>1</v>
      </c>
      <c r="I921" s="7" t="n">
        <v>1150.95</v>
      </c>
      <c r="J921" s="7" t="n">
        <v>388.25</v>
      </c>
      <c r="K921" s="7" t="n">
        <v>2577.39</v>
      </c>
      <c r="L921" s="7" t="n">
        <v>1268.66</v>
      </c>
      <c r="M921" s="6" t="n">
        <v>8.1</v>
      </c>
      <c r="N921" s="6" t="s">
        <v>24</v>
      </c>
      <c r="O921" s="8" t="n">
        <f aca="false">VLOOKUP(F921,DIM_SERVICO!$A$2:$D$151,4,FALSE())</f>
        <v>388.25</v>
      </c>
      <c r="P921" s="8" t="n">
        <f aca="false">VLOOKUP(E921,DIM_PECA!$A$2:$F$501,6,FALSE())</f>
        <v>2189.14</v>
      </c>
      <c r="Q921" s="8" t="n">
        <f aca="false">VLOOKUP(E921,DIM_PECA!$A$2:$F$501,5,FALSE())</f>
        <v>1150.95</v>
      </c>
      <c r="R921" s="8" t="n">
        <f aca="false">H921*P921</f>
        <v>2189.14</v>
      </c>
      <c r="S921" s="8" t="n">
        <f aca="false">O921*M921</f>
        <v>3144.825</v>
      </c>
      <c r="T921" s="8" t="n">
        <f aca="false">R921+S921</f>
        <v>5333.965</v>
      </c>
      <c r="U921" s="8" t="n">
        <f aca="false">T921-K921</f>
        <v>2756.575</v>
      </c>
      <c r="V921" s="8" t="n">
        <f aca="false">R921+S921-U921</f>
        <v>2577.39</v>
      </c>
      <c r="W921" s="9" t="str">
        <f aca="false">IF(ROUND(V921-K921,2)=0,"OK","ERRO")</f>
        <v>OK</v>
      </c>
      <c r="X921" s="9" t="str">
        <f aca="false">VLOOKUP(F921,DIM_SERVICO!$A$2:$D$151,3,FALSE())</f>
        <v>Freios</v>
      </c>
    </row>
    <row r="922" customFormat="false" ht="15" hidden="false" customHeight="false" outlineLevel="0" collapsed="false">
      <c r="A922" s="2" t="n">
        <v>921</v>
      </c>
      <c r="B922" s="2" t="n">
        <v>1389</v>
      </c>
      <c r="C922" s="2" t="n">
        <v>1467</v>
      </c>
      <c r="D922" s="2" t="n">
        <v>434</v>
      </c>
      <c r="E922" s="2" t="n">
        <v>442</v>
      </c>
      <c r="F922" s="2" t="n">
        <v>82</v>
      </c>
      <c r="G922" s="2" t="n">
        <v>230</v>
      </c>
      <c r="H922" s="2" t="n">
        <v>4</v>
      </c>
      <c r="I922" s="3" t="n">
        <v>125.88</v>
      </c>
      <c r="J922" s="3" t="n">
        <v>673.49</v>
      </c>
      <c r="K922" s="3" t="n">
        <v>871.16</v>
      </c>
      <c r="L922" s="3" t="n">
        <v>404.99</v>
      </c>
      <c r="M922" s="2" t="n">
        <v>7</v>
      </c>
      <c r="N922" s="2" t="s">
        <v>26</v>
      </c>
      <c r="O922" s="4" t="n">
        <f aca="false">VLOOKUP(F922,DIM_SERVICO!$A$2:$D$151,4,FALSE())</f>
        <v>673.49</v>
      </c>
      <c r="P922" s="4" t="n">
        <f aca="false">VLOOKUP(E922,DIM_PECA!$A$2:$F$501,6,FALSE())</f>
        <v>60.88</v>
      </c>
      <c r="Q922" s="4" t="n">
        <f aca="false">VLOOKUP(E922,DIM_PECA!$A$2:$F$501,5,FALSE())</f>
        <v>31.47</v>
      </c>
      <c r="R922" s="4" t="n">
        <f aca="false">H922*P922</f>
        <v>243.52</v>
      </c>
      <c r="S922" s="4" t="n">
        <f aca="false">O922*M922</f>
        <v>4714.43</v>
      </c>
      <c r="T922" s="4" t="n">
        <f aca="false">R922+S922</f>
        <v>4957.95</v>
      </c>
      <c r="U922" s="4" t="n">
        <f aca="false">T922-K922</f>
        <v>4086.79</v>
      </c>
      <c r="V922" s="4" t="n">
        <f aca="false">R922+S922-U922</f>
        <v>871.16</v>
      </c>
      <c r="W922" s="5" t="str">
        <f aca="false">IF(ROUND(V922-K922,2)=0,"OK","ERRO")</f>
        <v>OK</v>
      </c>
      <c r="X922" s="5" t="str">
        <f aca="false">VLOOKUP(F922,DIM_SERVICO!$A$2:$D$151,3,FALSE())</f>
        <v>Diagnóstico</v>
      </c>
    </row>
    <row r="923" customFormat="false" ht="15" hidden="false" customHeight="false" outlineLevel="0" collapsed="false">
      <c r="A923" s="6" t="n">
        <v>922</v>
      </c>
      <c r="B923" s="6" t="n">
        <v>957</v>
      </c>
      <c r="C923" s="6" t="n">
        <v>851</v>
      </c>
      <c r="D923" s="6" t="n">
        <v>459</v>
      </c>
      <c r="E923" s="6" t="n">
        <v>301</v>
      </c>
      <c r="F923" s="6" t="n">
        <v>91</v>
      </c>
      <c r="G923" s="6" t="n">
        <v>975</v>
      </c>
      <c r="H923" s="6" t="n">
        <v>1</v>
      </c>
      <c r="I923" s="7" t="n">
        <v>398.67</v>
      </c>
      <c r="J923" s="7" t="n">
        <v>1566.63</v>
      </c>
      <c r="K923" s="7" t="n">
        <v>2007.25</v>
      </c>
      <c r="L923" s="7" t="n">
        <v>822.48</v>
      </c>
      <c r="M923" s="6" t="n">
        <v>3.8</v>
      </c>
      <c r="N923" s="6" t="s">
        <v>26</v>
      </c>
      <c r="O923" s="8" t="n">
        <f aca="false">VLOOKUP(F923,DIM_SERVICO!$A$2:$D$151,4,FALSE())</f>
        <v>1566.63</v>
      </c>
      <c r="P923" s="8" t="n">
        <f aca="false">VLOOKUP(E923,DIM_PECA!$A$2:$F$501,6,FALSE())</f>
        <v>663.65</v>
      </c>
      <c r="Q923" s="8" t="n">
        <f aca="false">VLOOKUP(E923,DIM_PECA!$A$2:$F$501,5,FALSE())</f>
        <v>398.67</v>
      </c>
      <c r="R923" s="8" t="n">
        <f aca="false">H923*P923</f>
        <v>663.65</v>
      </c>
      <c r="S923" s="8" t="n">
        <f aca="false">O923*M923</f>
        <v>5953.194</v>
      </c>
      <c r="T923" s="8" t="n">
        <f aca="false">R923+S923</f>
        <v>6616.844</v>
      </c>
      <c r="U923" s="8" t="n">
        <f aca="false">T923-K923</f>
        <v>4609.594</v>
      </c>
      <c r="V923" s="8" t="n">
        <f aca="false">R923+S923-U923</f>
        <v>2007.25</v>
      </c>
      <c r="W923" s="9" t="str">
        <f aca="false">IF(ROUND(V923-K923,2)=0,"OK","ERRO")</f>
        <v>OK</v>
      </c>
      <c r="X923" s="9" t="str">
        <f aca="false">VLOOKUP(F923,DIM_SERVICO!$A$2:$D$151,3,FALSE())</f>
        <v>Funilaria</v>
      </c>
    </row>
    <row r="924" customFormat="false" ht="15" hidden="false" customHeight="false" outlineLevel="0" collapsed="false">
      <c r="A924" s="2" t="n">
        <v>923</v>
      </c>
      <c r="B924" s="2" t="n">
        <v>893</v>
      </c>
      <c r="C924" s="2" t="n">
        <v>290</v>
      </c>
      <c r="D924" s="2" t="n">
        <v>1196</v>
      </c>
      <c r="E924" s="2" t="n">
        <v>446</v>
      </c>
      <c r="F924" s="2" t="n">
        <v>88</v>
      </c>
      <c r="G924" s="2" t="n">
        <v>1275</v>
      </c>
      <c r="H924" s="2" t="n">
        <v>1</v>
      </c>
      <c r="I924" s="3" t="n">
        <v>1169.09</v>
      </c>
      <c r="J924" s="3" t="n">
        <v>757.58</v>
      </c>
      <c r="K924" s="3" t="n">
        <v>2696.17</v>
      </c>
      <c r="L924" s="3" t="n">
        <v>1155.37</v>
      </c>
      <c r="M924" s="2" t="n">
        <v>7.8</v>
      </c>
      <c r="N924" s="2" t="s">
        <v>26</v>
      </c>
      <c r="O924" s="4" t="n">
        <f aca="false">VLOOKUP(F924,DIM_SERVICO!$A$2:$D$151,4,FALSE())</f>
        <v>757.58</v>
      </c>
      <c r="P924" s="4" t="n">
        <f aca="false">VLOOKUP(E924,DIM_PECA!$A$2:$F$501,6,FALSE())</f>
        <v>1938.59</v>
      </c>
      <c r="Q924" s="4" t="n">
        <f aca="false">VLOOKUP(E924,DIM_PECA!$A$2:$F$501,5,FALSE())</f>
        <v>1169.09</v>
      </c>
      <c r="R924" s="4" t="n">
        <f aca="false">H924*P924</f>
        <v>1938.59</v>
      </c>
      <c r="S924" s="4" t="n">
        <f aca="false">O924*M924</f>
        <v>5909.124</v>
      </c>
      <c r="T924" s="4" t="n">
        <f aca="false">R924+S924</f>
        <v>7847.714</v>
      </c>
      <c r="U924" s="4" t="n">
        <f aca="false">T924-K924</f>
        <v>5151.544</v>
      </c>
      <c r="V924" s="4" t="n">
        <f aca="false">R924+S924-U924</f>
        <v>2696.17</v>
      </c>
      <c r="W924" s="5" t="str">
        <f aca="false">IF(ROUND(V924-K924,2)=0,"OK","ERRO")</f>
        <v>OK</v>
      </c>
      <c r="X924" s="5" t="str">
        <f aca="false">VLOOKUP(F924,DIM_SERVICO!$A$2:$D$151,3,FALSE())</f>
        <v>Motor</v>
      </c>
    </row>
    <row r="925" customFormat="false" ht="15" hidden="false" customHeight="false" outlineLevel="0" collapsed="false">
      <c r="A925" s="6" t="n">
        <v>924</v>
      </c>
      <c r="B925" s="6" t="n">
        <v>538</v>
      </c>
      <c r="C925" s="6" t="n">
        <v>1047</v>
      </c>
      <c r="D925" s="6" t="n">
        <v>532</v>
      </c>
      <c r="E925" s="6" t="n">
        <v>85</v>
      </c>
      <c r="F925" s="6" t="n">
        <v>35</v>
      </c>
      <c r="G925" s="6" t="n">
        <v>564</v>
      </c>
      <c r="H925" s="6" t="n">
        <v>1</v>
      </c>
      <c r="I925" s="7" t="n">
        <v>970.93</v>
      </c>
      <c r="J925" s="7" t="n">
        <v>1082.38</v>
      </c>
      <c r="K925" s="7" t="n">
        <v>3106.67</v>
      </c>
      <c r="L925" s="7" t="n">
        <v>1747.44</v>
      </c>
      <c r="M925" s="6" t="n">
        <v>6.7</v>
      </c>
      <c r="N925" s="6" t="s">
        <v>24</v>
      </c>
      <c r="O925" s="8" t="n">
        <f aca="false">VLOOKUP(F925,DIM_SERVICO!$A$2:$D$151,4,FALSE())</f>
        <v>1082.38</v>
      </c>
      <c r="P925" s="8" t="n">
        <f aca="false">VLOOKUP(E925,DIM_PECA!$A$2:$F$501,6,FALSE())</f>
        <v>2087.69</v>
      </c>
      <c r="Q925" s="8" t="n">
        <f aca="false">VLOOKUP(E925,DIM_PECA!$A$2:$F$501,5,FALSE())</f>
        <v>970.93</v>
      </c>
      <c r="R925" s="8" t="n">
        <f aca="false">H925*P925</f>
        <v>2087.69</v>
      </c>
      <c r="S925" s="8" t="n">
        <f aca="false">O925*M925</f>
        <v>7251.946</v>
      </c>
      <c r="T925" s="8" t="n">
        <f aca="false">R925+S925</f>
        <v>9339.636</v>
      </c>
      <c r="U925" s="8" t="n">
        <f aca="false">T925-K925</f>
        <v>6232.966</v>
      </c>
      <c r="V925" s="8" t="n">
        <f aca="false">R925+S925-U925</f>
        <v>3106.67</v>
      </c>
      <c r="W925" s="9" t="str">
        <f aca="false">IF(ROUND(V925-K925,2)=0,"OK","ERRO")</f>
        <v>OK</v>
      </c>
      <c r="X925" s="9" t="str">
        <f aca="false">VLOOKUP(F925,DIM_SERVICO!$A$2:$D$151,3,FALSE())</f>
        <v>Diagnóstico</v>
      </c>
    </row>
    <row r="926" customFormat="false" ht="15" hidden="false" customHeight="false" outlineLevel="0" collapsed="false">
      <c r="A926" s="2" t="n">
        <v>925</v>
      </c>
      <c r="B926" s="2" t="n">
        <v>365</v>
      </c>
      <c r="C926" s="2" t="n">
        <v>1339</v>
      </c>
      <c r="D926" s="2" t="n">
        <v>410</v>
      </c>
      <c r="E926" s="2" t="n">
        <v>437</v>
      </c>
      <c r="F926" s="2" t="n">
        <v>25</v>
      </c>
      <c r="G926" s="2" t="n">
        <v>489</v>
      </c>
      <c r="H926" s="2" t="n">
        <v>4</v>
      </c>
      <c r="I926" s="3" t="n">
        <v>2078.92</v>
      </c>
      <c r="J926" s="3" t="n">
        <v>1419.73</v>
      </c>
      <c r="K926" s="3" t="n">
        <v>5140.58</v>
      </c>
      <c r="L926" s="3" t="n">
        <v>2372.82</v>
      </c>
      <c r="M926" s="2" t="n">
        <v>3.5</v>
      </c>
      <c r="N926" s="2" t="s">
        <v>24</v>
      </c>
      <c r="O926" s="4" t="n">
        <f aca="false">VLOOKUP(F926,DIM_SERVICO!$A$2:$D$151,4,FALSE())</f>
        <v>1419.73</v>
      </c>
      <c r="P926" s="4" t="n">
        <f aca="false">VLOOKUP(E926,DIM_PECA!$A$2:$F$501,6,FALSE())</f>
        <v>956.44</v>
      </c>
      <c r="Q926" s="4" t="n">
        <f aca="false">VLOOKUP(E926,DIM_PECA!$A$2:$F$501,5,FALSE())</f>
        <v>519.73</v>
      </c>
      <c r="R926" s="4" t="n">
        <f aca="false">H926*P926</f>
        <v>3825.76</v>
      </c>
      <c r="S926" s="4" t="n">
        <f aca="false">O926*M926</f>
        <v>4969.055</v>
      </c>
      <c r="T926" s="4" t="n">
        <f aca="false">R926+S926</f>
        <v>8794.815</v>
      </c>
      <c r="U926" s="4" t="n">
        <f aca="false">T926-K926</f>
        <v>3654.235</v>
      </c>
      <c r="V926" s="4" t="n">
        <f aca="false">R926+S926-U926</f>
        <v>5140.58</v>
      </c>
      <c r="W926" s="5" t="str">
        <f aca="false">IF(ROUND(V926-K926,2)=0,"OK","ERRO")</f>
        <v>OK</v>
      </c>
      <c r="X926" s="5" t="str">
        <f aca="false">VLOOKUP(F926,DIM_SERVICO!$A$2:$D$151,3,FALSE())</f>
        <v>Motor</v>
      </c>
    </row>
    <row r="927" customFormat="false" ht="15" hidden="false" customHeight="false" outlineLevel="0" collapsed="false">
      <c r="A927" s="6" t="n">
        <v>926</v>
      </c>
      <c r="B927" s="6" t="n">
        <v>1047</v>
      </c>
      <c r="C927" s="6" t="n">
        <v>460</v>
      </c>
      <c r="D927" s="6" t="n">
        <v>110</v>
      </c>
      <c r="E927" s="6" t="n">
        <v>430</v>
      </c>
      <c r="F927" s="6" t="n">
        <v>88</v>
      </c>
      <c r="G927" s="6" t="n">
        <v>1514</v>
      </c>
      <c r="H927" s="6" t="n">
        <v>4</v>
      </c>
      <c r="I927" s="7" t="n">
        <v>4240.6</v>
      </c>
      <c r="J927" s="7" t="n">
        <v>757.58</v>
      </c>
      <c r="K927" s="7" t="n">
        <v>7564.64</v>
      </c>
      <c r="L927" s="7" t="n">
        <v>3033.04</v>
      </c>
      <c r="M927" s="6" t="n">
        <v>9.8</v>
      </c>
      <c r="N927" s="6" t="s">
        <v>27</v>
      </c>
      <c r="O927" s="8" t="n">
        <f aca="false">VLOOKUP(F927,DIM_SERVICO!$A$2:$D$151,4,FALSE())</f>
        <v>757.58</v>
      </c>
      <c r="P927" s="8" t="n">
        <f aca="false">VLOOKUP(E927,DIM_PECA!$A$2:$F$501,6,FALSE())</f>
        <v>1801.3</v>
      </c>
      <c r="Q927" s="8" t="n">
        <f aca="false">VLOOKUP(E927,DIM_PECA!$A$2:$F$501,5,FALSE())</f>
        <v>1060.15</v>
      </c>
      <c r="R927" s="8" t="n">
        <f aca="false">H927*P927</f>
        <v>7205.2</v>
      </c>
      <c r="S927" s="8" t="n">
        <f aca="false">O927*M927</f>
        <v>7424.284</v>
      </c>
      <c r="T927" s="8" t="n">
        <f aca="false">R927+S927</f>
        <v>14629.484</v>
      </c>
      <c r="U927" s="8" t="n">
        <f aca="false">T927-K927</f>
        <v>7064.844</v>
      </c>
      <c r="V927" s="8" t="n">
        <f aca="false">R927+S927-U927</f>
        <v>7564.64</v>
      </c>
      <c r="W927" s="9" t="str">
        <f aca="false">IF(ROUND(V927-K927,2)=0,"OK","ERRO")</f>
        <v>OK</v>
      </c>
      <c r="X927" s="9" t="str">
        <f aca="false">VLOOKUP(F927,DIM_SERVICO!$A$2:$D$151,3,FALSE())</f>
        <v>Motor</v>
      </c>
    </row>
    <row r="928" customFormat="false" ht="15" hidden="false" customHeight="false" outlineLevel="0" collapsed="false">
      <c r="A928" s="2" t="n">
        <v>927</v>
      </c>
      <c r="B928" s="2" t="n">
        <v>1485</v>
      </c>
      <c r="C928" s="2" t="n">
        <v>187</v>
      </c>
      <c r="D928" s="2" t="n">
        <v>892</v>
      </c>
      <c r="E928" s="2" t="n">
        <v>115</v>
      </c>
      <c r="F928" s="2" t="n">
        <v>58</v>
      </c>
      <c r="G928" s="2" t="n">
        <v>504</v>
      </c>
      <c r="H928" s="2" t="n">
        <v>3</v>
      </c>
      <c r="I928" s="3" t="n">
        <v>2619.75</v>
      </c>
      <c r="J928" s="3" t="n">
        <v>1803.6</v>
      </c>
      <c r="K928" s="3" t="n">
        <v>6463.51</v>
      </c>
      <c r="L928" s="3" t="n">
        <v>3170.94</v>
      </c>
      <c r="M928" s="2" t="n">
        <v>6.3</v>
      </c>
      <c r="N928" s="2" t="s">
        <v>24</v>
      </c>
      <c r="O928" s="4" t="n">
        <f aca="false">VLOOKUP(F928,DIM_SERVICO!$A$2:$D$151,4,FALSE())</f>
        <v>1803.6</v>
      </c>
      <c r="P928" s="4" t="n">
        <f aca="false">VLOOKUP(E928,DIM_PECA!$A$2:$F$501,6,FALSE())</f>
        <v>1666.7</v>
      </c>
      <c r="Q928" s="4" t="n">
        <f aca="false">VLOOKUP(E928,DIM_PECA!$A$2:$F$501,5,FALSE())</f>
        <v>873.25</v>
      </c>
      <c r="R928" s="4" t="n">
        <f aca="false">H928*P928</f>
        <v>5000.1</v>
      </c>
      <c r="S928" s="4" t="n">
        <f aca="false">O928*M928</f>
        <v>11362.68</v>
      </c>
      <c r="T928" s="4" t="n">
        <f aca="false">R928+S928</f>
        <v>16362.78</v>
      </c>
      <c r="U928" s="4" t="n">
        <f aca="false">T928-K928</f>
        <v>9899.27</v>
      </c>
      <c r="V928" s="4" t="n">
        <f aca="false">R928+S928-U928</f>
        <v>6463.51</v>
      </c>
      <c r="W928" s="5" t="str">
        <f aca="false">IF(ROUND(V928-K928,2)=0,"OK","ERRO")</f>
        <v>OK</v>
      </c>
      <c r="X928" s="5" t="str">
        <f aca="false">VLOOKUP(F928,DIM_SERVICO!$A$2:$D$151,3,FALSE())</f>
        <v>Freios</v>
      </c>
    </row>
    <row r="929" customFormat="false" ht="15" hidden="false" customHeight="false" outlineLevel="0" collapsed="false">
      <c r="A929" s="6" t="n">
        <v>928</v>
      </c>
      <c r="B929" s="6" t="n">
        <v>447</v>
      </c>
      <c r="C929" s="6" t="n">
        <v>333</v>
      </c>
      <c r="D929" s="6" t="n">
        <v>85</v>
      </c>
      <c r="E929" s="6" t="n">
        <v>42</v>
      </c>
      <c r="F929" s="6" t="n">
        <v>86</v>
      </c>
      <c r="G929" s="6" t="n">
        <v>1755</v>
      </c>
      <c r="H929" s="6" t="n">
        <v>2</v>
      </c>
      <c r="I929" s="7" t="n">
        <v>1789.7</v>
      </c>
      <c r="J929" s="7" t="n">
        <v>147.26</v>
      </c>
      <c r="K929" s="7" t="n">
        <v>2466.54</v>
      </c>
      <c r="L929" s="7" t="n">
        <v>597.14</v>
      </c>
      <c r="M929" s="6" t="n">
        <v>6.1</v>
      </c>
      <c r="N929" s="6" t="s">
        <v>27</v>
      </c>
      <c r="O929" s="8" t="n">
        <f aca="false">VLOOKUP(F929,DIM_SERVICO!$A$2:$D$151,4,FALSE())</f>
        <v>147.26</v>
      </c>
      <c r="P929" s="8" t="n">
        <f aca="false">VLOOKUP(E929,DIM_PECA!$A$2:$F$501,6,FALSE())</f>
        <v>1224.55</v>
      </c>
      <c r="Q929" s="8" t="n">
        <f aca="false">VLOOKUP(E929,DIM_PECA!$A$2:$F$501,5,FALSE())</f>
        <v>894.85</v>
      </c>
      <c r="R929" s="8" t="n">
        <f aca="false">H929*P929</f>
        <v>2449.1</v>
      </c>
      <c r="S929" s="8" t="n">
        <f aca="false">O929*M929</f>
        <v>898.286</v>
      </c>
      <c r="T929" s="8" t="n">
        <f aca="false">R929+S929</f>
        <v>3347.386</v>
      </c>
      <c r="U929" s="8" t="n">
        <f aca="false">T929-K929</f>
        <v>880.846</v>
      </c>
      <c r="V929" s="8" t="n">
        <f aca="false">R929+S929-U929</f>
        <v>2466.54</v>
      </c>
      <c r="W929" s="9" t="str">
        <f aca="false">IF(ROUND(V929-K929,2)=0,"OK","ERRO")</f>
        <v>OK</v>
      </c>
      <c r="X929" s="9" t="str">
        <f aca="false">VLOOKUP(F929,DIM_SERVICO!$A$2:$D$151,3,FALSE())</f>
        <v>Suspensão</v>
      </c>
    </row>
    <row r="930" customFormat="false" ht="15" hidden="false" customHeight="false" outlineLevel="0" collapsed="false">
      <c r="A930" s="2" t="n">
        <v>929</v>
      </c>
      <c r="B930" s="2" t="n">
        <v>860</v>
      </c>
      <c r="C930" s="2" t="n">
        <v>857</v>
      </c>
      <c r="D930" s="2" t="n">
        <v>992</v>
      </c>
      <c r="E930" s="2" t="n">
        <v>189</v>
      </c>
      <c r="F930" s="2" t="n">
        <v>74</v>
      </c>
      <c r="G930" s="2" t="n">
        <v>828</v>
      </c>
      <c r="H930" s="2" t="n">
        <v>2</v>
      </c>
      <c r="I930" s="3" t="n">
        <v>423.34</v>
      </c>
      <c r="J930" s="3" t="n">
        <v>821.88</v>
      </c>
      <c r="K930" s="3" t="n">
        <v>1515.96</v>
      </c>
      <c r="L930" s="3" t="n">
        <v>789.77</v>
      </c>
      <c r="M930" s="2" t="n">
        <v>0.6</v>
      </c>
      <c r="N930" s="2" t="s">
        <v>24</v>
      </c>
      <c r="O930" s="4" t="n">
        <f aca="false">VLOOKUP(F930,DIM_SERVICO!$A$2:$D$151,4,FALSE())</f>
        <v>821.88</v>
      </c>
      <c r="P930" s="4" t="n">
        <f aca="false">VLOOKUP(E930,DIM_PECA!$A$2:$F$501,6,FALSE())</f>
        <v>347.04</v>
      </c>
      <c r="Q930" s="4" t="n">
        <f aca="false">VLOOKUP(E930,DIM_PECA!$A$2:$F$501,5,FALSE())</f>
        <v>211.67</v>
      </c>
      <c r="R930" s="4" t="n">
        <f aca="false">H930*P930</f>
        <v>694.08</v>
      </c>
      <c r="S930" s="4" t="n">
        <f aca="false">O930*M930</f>
        <v>493.128</v>
      </c>
      <c r="T930" s="4" t="n">
        <f aca="false">R930+S930</f>
        <v>1187.208</v>
      </c>
      <c r="U930" s="4" t="n">
        <f aca="false">T930-K930</f>
        <v>-328.752</v>
      </c>
      <c r="V930" s="4" t="n">
        <f aca="false">R930+S930-U930</f>
        <v>1515.96</v>
      </c>
      <c r="W930" s="5" t="str">
        <f aca="false">IF(ROUND(V930-K930,2)=0,"OK","ERRO")</f>
        <v>OK</v>
      </c>
      <c r="X930" s="5" t="str">
        <f aca="false">VLOOKUP(F930,DIM_SERVICO!$A$2:$D$151,3,FALSE())</f>
        <v>Revisão</v>
      </c>
    </row>
    <row r="931" customFormat="false" ht="15" hidden="false" customHeight="false" outlineLevel="0" collapsed="false">
      <c r="A931" s="6" t="n">
        <v>930</v>
      </c>
      <c r="B931" s="6" t="n">
        <v>186</v>
      </c>
      <c r="C931" s="6" t="n">
        <v>110</v>
      </c>
      <c r="D931" s="6" t="n">
        <v>767</v>
      </c>
      <c r="E931" s="6" t="n">
        <v>85</v>
      </c>
      <c r="F931" s="6" t="n">
        <v>12</v>
      </c>
      <c r="G931" s="6" t="n">
        <v>1053</v>
      </c>
      <c r="H931" s="6" t="n">
        <v>2</v>
      </c>
      <c r="I931" s="7" t="n">
        <v>1941.86</v>
      </c>
      <c r="J931" s="7" t="n">
        <v>1399.41</v>
      </c>
      <c r="K931" s="7" t="n">
        <v>5574.79</v>
      </c>
      <c r="L931" s="7" t="n">
        <v>2912.67</v>
      </c>
      <c r="M931" s="6" t="n">
        <v>0.6</v>
      </c>
      <c r="N931" s="6" t="s">
        <v>24</v>
      </c>
      <c r="O931" s="8" t="n">
        <f aca="false">VLOOKUP(F931,DIM_SERVICO!$A$2:$D$151,4,FALSE())</f>
        <v>1399.41</v>
      </c>
      <c r="P931" s="8" t="n">
        <f aca="false">VLOOKUP(E931,DIM_PECA!$A$2:$F$501,6,FALSE())</f>
        <v>2087.69</v>
      </c>
      <c r="Q931" s="8" t="n">
        <f aca="false">VLOOKUP(E931,DIM_PECA!$A$2:$F$501,5,FALSE())</f>
        <v>970.93</v>
      </c>
      <c r="R931" s="8" t="n">
        <f aca="false">H931*P931</f>
        <v>4175.38</v>
      </c>
      <c r="S931" s="8" t="n">
        <f aca="false">O931*M931</f>
        <v>839.646</v>
      </c>
      <c r="T931" s="8" t="n">
        <f aca="false">R931+S931</f>
        <v>5015.026</v>
      </c>
      <c r="U931" s="8" t="n">
        <f aca="false">T931-K931</f>
        <v>-559.764</v>
      </c>
      <c r="V931" s="8" t="n">
        <f aca="false">R931+S931-U931</f>
        <v>5574.79</v>
      </c>
      <c r="W931" s="9" t="str">
        <f aca="false">IF(ROUND(V931-K931,2)=0,"OK","ERRO")</f>
        <v>OK</v>
      </c>
      <c r="X931" s="9" t="str">
        <f aca="false">VLOOKUP(F931,DIM_SERVICO!$A$2:$D$151,3,FALSE())</f>
        <v>Revisão</v>
      </c>
    </row>
    <row r="932" customFormat="false" ht="15" hidden="false" customHeight="false" outlineLevel="0" collapsed="false">
      <c r="A932" s="2" t="n">
        <v>931</v>
      </c>
      <c r="B932" s="2" t="n">
        <v>1295</v>
      </c>
      <c r="C932" s="2" t="n">
        <v>1345</v>
      </c>
      <c r="D932" s="2" t="n">
        <v>698</v>
      </c>
      <c r="E932" s="2" t="n">
        <v>222</v>
      </c>
      <c r="F932" s="2" t="n">
        <v>73</v>
      </c>
      <c r="G932" s="2" t="n">
        <v>1473</v>
      </c>
      <c r="H932" s="2" t="n">
        <v>3</v>
      </c>
      <c r="I932" s="3" t="n">
        <v>1091.67</v>
      </c>
      <c r="J932" s="3" t="n">
        <v>2131.99</v>
      </c>
      <c r="K932" s="3" t="n">
        <v>3475.59</v>
      </c>
      <c r="L932" s="3" t="n">
        <v>1289.28</v>
      </c>
      <c r="M932" s="2" t="n">
        <v>2.3</v>
      </c>
      <c r="N932" s="2" t="s">
        <v>24</v>
      </c>
      <c r="O932" s="4" t="n">
        <f aca="false">VLOOKUP(F932,DIM_SERVICO!$A$2:$D$151,4,FALSE())</f>
        <v>2131.99</v>
      </c>
      <c r="P932" s="4" t="n">
        <f aca="false">VLOOKUP(E932,DIM_PECA!$A$2:$F$501,6,FALSE())</f>
        <v>548.61</v>
      </c>
      <c r="Q932" s="4" t="n">
        <f aca="false">VLOOKUP(E932,DIM_PECA!$A$2:$F$501,5,FALSE())</f>
        <v>363.89</v>
      </c>
      <c r="R932" s="4" t="n">
        <f aca="false">H932*P932</f>
        <v>1645.83</v>
      </c>
      <c r="S932" s="4" t="n">
        <f aca="false">O932*M932</f>
        <v>4903.577</v>
      </c>
      <c r="T932" s="4" t="n">
        <f aca="false">R932+S932</f>
        <v>6549.407</v>
      </c>
      <c r="U932" s="4" t="n">
        <f aca="false">T932-K932</f>
        <v>3073.817</v>
      </c>
      <c r="V932" s="4" t="n">
        <f aca="false">R932+S932-U932</f>
        <v>3475.59</v>
      </c>
      <c r="W932" s="5" t="str">
        <f aca="false">IF(ROUND(V932-K932,2)=0,"OK","ERRO")</f>
        <v>OK</v>
      </c>
      <c r="X932" s="5" t="str">
        <f aca="false">VLOOKUP(F932,DIM_SERVICO!$A$2:$D$151,3,FALSE())</f>
        <v>Suspensão</v>
      </c>
    </row>
    <row r="933" customFormat="false" ht="15" hidden="false" customHeight="false" outlineLevel="0" collapsed="false">
      <c r="A933" s="6" t="n">
        <v>932</v>
      </c>
      <c r="B933" s="6" t="n">
        <v>458</v>
      </c>
      <c r="C933" s="6" t="n">
        <v>1178</v>
      </c>
      <c r="D933" s="6" t="n">
        <v>222</v>
      </c>
      <c r="E933" s="6" t="n">
        <v>60</v>
      </c>
      <c r="F933" s="6" t="n">
        <v>63</v>
      </c>
      <c r="G933" s="6" t="n">
        <v>1820</v>
      </c>
      <c r="H933" s="6" t="n">
        <v>3</v>
      </c>
      <c r="I933" s="7" t="n">
        <v>1502.07</v>
      </c>
      <c r="J933" s="7" t="n">
        <v>263.48</v>
      </c>
      <c r="K933" s="7" t="n">
        <v>3053.63</v>
      </c>
      <c r="L933" s="7" t="n">
        <v>1425.99</v>
      </c>
      <c r="M933" s="6" t="n">
        <v>1.7</v>
      </c>
      <c r="N933" s="6" t="s">
        <v>24</v>
      </c>
      <c r="O933" s="8" t="n">
        <f aca="false">VLOOKUP(F933,DIM_SERVICO!$A$2:$D$151,4,FALSE())</f>
        <v>263.48</v>
      </c>
      <c r="P933" s="8" t="n">
        <f aca="false">VLOOKUP(E933,DIM_PECA!$A$2:$F$501,6,FALSE())</f>
        <v>930.05</v>
      </c>
      <c r="Q933" s="8" t="n">
        <f aca="false">VLOOKUP(E933,DIM_PECA!$A$2:$F$501,5,FALSE())</f>
        <v>500.69</v>
      </c>
      <c r="R933" s="8" t="n">
        <f aca="false">H933*P933</f>
        <v>2790.15</v>
      </c>
      <c r="S933" s="8" t="n">
        <f aca="false">O933*M933</f>
        <v>447.916</v>
      </c>
      <c r="T933" s="8" t="n">
        <f aca="false">R933+S933</f>
        <v>3238.066</v>
      </c>
      <c r="U933" s="8" t="n">
        <f aca="false">T933-K933</f>
        <v>184.436</v>
      </c>
      <c r="V933" s="8" t="n">
        <f aca="false">R933+S933-U933</f>
        <v>3053.63</v>
      </c>
      <c r="W933" s="9" t="str">
        <f aca="false">IF(ROUND(V933-K933,2)=0,"OK","ERRO")</f>
        <v>OK</v>
      </c>
      <c r="X933" s="9" t="str">
        <f aca="false">VLOOKUP(F933,DIM_SERVICO!$A$2:$D$151,3,FALSE())</f>
        <v>Funilaria</v>
      </c>
    </row>
    <row r="934" customFormat="false" ht="15" hidden="false" customHeight="false" outlineLevel="0" collapsed="false">
      <c r="A934" s="2" t="n">
        <v>933</v>
      </c>
      <c r="B934" s="2" t="n">
        <v>1059</v>
      </c>
      <c r="C934" s="2" t="n">
        <v>555</v>
      </c>
      <c r="D934" s="2" t="n">
        <v>460</v>
      </c>
      <c r="E934" s="2" t="n">
        <v>474</v>
      </c>
      <c r="F934" s="2" t="n">
        <v>97</v>
      </c>
      <c r="G934" s="2" t="n">
        <v>1110</v>
      </c>
      <c r="H934" s="2" t="n">
        <v>3</v>
      </c>
      <c r="I934" s="3" t="n">
        <v>1416.39</v>
      </c>
      <c r="J934" s="3" t="n">
        <v>1095.32</v>
      </c>
      <c r="K934" s="3" t="n">
        <v>4195.58</v>
      </c>
      <c r="L934" s="3" t="n">
        <v>2266.6</v>
      </c>
      <c r="M934" s="2" t="n">
        <v>7</v>
      </c>
      <c r="N934" s="2" t="s">
        <v>26</v>
      </c>
      <c r="O934" s="4" t="n">
        <f aca="false">VLOOKUP(F934,DIM_SERVICO!$A$2:$D$151,4,FALSE())</f>
        <v>1095.32</v>
      </c>
      <c r="P934" s="4" t="n">
        <f aca="false">VLOOKUP(E934,DIM_PECA!$A$2:$F$501,6,FALSE())</f>
        <v>1033.42</v>
      </c>
      <c r="Q934" s="4" t="n">
        <f aca="false">VLOOKUP(E934,DIM_PECA!$A$2:$F$501,5,FALSE())</f>
        <v>472.13</v>
      </c>
      <c r="R934" s="4" t="n">
        <f aca="false">H934*P934</f>
        <v>3100.26</v>
      </c>
      <c r="S934" s="4" t="n">
        <f aca="false">O934*M934</f>
        <v>7667.24</v>
      </c>
      <c r="T934" s="4" t="n">
        <f aca="false">R934+S934</f>
        <v>10767.5</v>
      </c>
      <c r="U934" s="4" t="n">
        <f aca="false">T934-K934</f>
        <v>6571.92</v>
      </c>
      <c r="V934" s="4" t="n">
        <f aca="false">R934+S934-U934</f>
        <v>4195.58</v>
      </c>
      <c r="W934" s="5" t="str">
        <f aca="false">IF(ROUND(V934-K934,2)=0,"OK","ERRO")</f>
        <v>OK</v>
      </c>
      <c r="X934" s="5" t="str">
        <f aca="false">VLOOKUP(F934,DIM_SERVICO!$A$2:$D$151,3,FALSE())</f>
        <v>Pintura</v>
      </c>
    </row>
    <row r="935" customFormat="false" ht="15" hidden="false" customHeight="false" outlineLevel="0" collapsed="false">
      <c r="A935" s="6" t="n">
        <v>934</v>
      </c>
      <c r="B935" s="6" t="n">
        <v>1187</v>
      </c>
      <c r="C935" s="6" t="n">
        <v>1079</v>
      </c>
      <c r="D935" s="6" t="n">
        <v>520</v>
      </c>
      <c r="E935" s="6" t="n">
        <v>261</v>
      </c>
      <c r="F935" s="6" t="n">
        <v>150</v>
      </c>
      <c r="G935" s="6" t="n">
        <v>1216</v>
      </c>
      <c r="H935" s="6" t="n">
        <v>3</v>
      </c>
      <c r="I935" s="7" t="n">
        <v>1141.05</v>
      </c>
      <c r="J935" s="7" t="n">
        <v>1370.46</v>
      </c>
      <c r="K935" s="7" t="n">
        <v>3824.01</v>
      </c>
      <c r="L935" s="7" t="n">
        <v>2128.86</v>
      </c>
      <c r="M935" s="6" t="n">
        <v>7.2</v>
      </c>
      <c r="N935" s="6" t="s">
        <v>27</v>
      </c>
      <c r="O935" s="8" t="n">
        <f aca="false">VLOOKUP(F935,DIM_SERVICO!$A$2:$D$151,4,FALSE())</f>
        <v>1370.46</v>
      </c>
      <c r="P935" s="8" t="n">
        <f aca="false">VLOOKUP(E935,DIM_PECA!$A$2:$F$501,6,FALSE())</f>
        <v>817.85</v>
      </c>
      <c r="Q935" s="8" t="n">
        <f aca="false">VLOOKUP(E935,DIM_PECA!$A$2:$F$501,5,FALSE())</f>
        <v>380.35</v>
      </c>
      <c r="R935" s="8" t="n">
        <f aca="false">H935*P935</f>
        <v>2453.55</v>
      </c>
      <c r="S935" s="8" t="n">
        <f aca="false">O935*M935</f>
        <v>9867.312</v>
      </c>
      <c r="T935" s="8" t="n">
        <f aca="false">R935+S935</f>
        <v>12320.862</v>
      </c>
      <c r="U935" s="8" t="n">
        <f aca="false">T935-K935</f>
        <v>8496.852</v>
      </c>
      <c r="V935" s="8" t="n">
        <f aca="false">R935+S935-U935</f>
        <v>3824.01</v>
      </c>
      <c r="W935" s="9" t="str">
        <f aca="false">IF(ROUND(V935-K935,2)=0,"OK","ERRO")</f>
        <v>OK</v>
      </c>
      <c r="X935" s="9" t="str">
        <f aca="false">VLOOKUP(F935,DIM_SERVICO!$A$2:$D$151,3,FALSE())</f>
        <v>Revisão</v>
      </c>
    </row>
    <row r="936" customFormat="false" ht="15" hidden="false" customHeight="false" outlineLevel="0" collapsed="false">
      <c r="A936" s="2" t="n">
        <v>935</v>
      </c>
      <c r="B936" s="2" t="n">
        <v>1010</v>
      </c>
      <c r="C936" s="2" t="n">
        <v>1217</v>
      </c>
      <c r="D936" s="2" t="n">
        <v>802</v>
      </c>
      <c r="E936" s="2" t="n">
        <v>73</v>
      </c>
      <c r="F936" s="2" t="n">
        <v>91</v>
      </c>
      <c r="G936" s="2" t="n">
        <v>604</v>
      </c>
      <c r="H936" s="2" t="n">
        <v>4</v>
      </c>
      <c r="I936" s="3" t="n">
        <v>1563.48</v>
      </c>
      <c r="J936" s="3" t="n">
        <v>1566.63</v>
      </c>
      <c r="K936" s="3" t="n">
        <v>4333.17</v>
      </c>
      <c r="L936" s="3" t="n">
        <v>2175.4</v>
      </c>
      <c r="M936" s="2" t="n">
        <v>1.1</v>
      </c>
      <c r="N936" s="2" t="s">
        <v>26</v>
      </c>
      <c r="O936" s="4" t="n">
        <f aca="false">VLOOKUP(F936,DIM_SERVICO!$A$2:$D$151,4,FALSE())</f>
        <v>1566.63</v>
      </c>
      <c r="P936" s="4" t="n">
        <f aca="false">VLOOKUP(E936,DIM_PECA!$A$2:$F$501,6,FALSE())</f>
        <v>812</v>
      </c>
      <c r="Q936" s="4" t="n">
        <f aca="false">VLOOKUP(E936,DIM_PECA!$A$2:$F$501,5,FALSE())</f>
        <v>390.87</v>
      </c>
      <c r="R936" s="4" t="n">
        <f aca="false">H936*P936</f>
        <v>3248</v>
      </c>
      <c r="S936" s="4" t="n">
        <f aca="false">O936*M936</f>
        <v>1723.293</v>
      </c>
      <c r="T936" s="4" t="n">
        <f aca="false">R936+S936</f>
        <v>4971.293</v>
      </c>
      <c r="U936" s="4" t="n">
        <f aca="false">T936-K936</f>
        <v>638.123000000001</v>
      </c>
      <c r="V936" s="4" t="n">
        <f aca="false">R936+S936-U936</f>
        <v>4333.17</v>
      </c>
      <c r="W936" s="5" t="str">
        <f aca="false">IF(ROUND(V936-K936,2)=0,"OK","ERRO")</f>
        <v>OK</v>
      </c>
      <c r="X936" s="5" t="str">
        <f aca="false">VLOOKUP(F936,DIM_SERVICO!$A$2:$D$151,3,FALSE())</f>
        <v>Funilaria</v>
      </c>
    </row>
    <row r="937" customFormat="false" ht="15" hidden="false" customHeight="false" outlineLevel="0" collapsed="false">
      <c r="A937" s="6" t="n">
        <v>936</v>
      </c>
      <c r="B937" s="6" t="n">
        <v>104</v>
      </c>
      <c r="C937" s="6" t="n">
        <v>1003</v>
      </c>
      <c r="D937" s="6" t="n">
        <v>451</v>
      </c>
      <c r="E937" s="6" t="n">
        <v>403</v>
      </c>
      <c r="F937" s="6" t="n">
        <v>79</v>
      </c>
      <c r="G937" s="6" t="n">
        <v>258</v>
      </c>
      <c r="H937" s="6" t="n">
        <v>1</v>
      </c>
      <c r="I937" s="7" t="n">
        <v>416.67</v>
      </c>
      <c r="J937" s="7" t="n">
        <v>748.05</v>
      </c>
      <c r="K937" s="7" t="n">
        <v>1313.12</v>
      </c>
      <c r="L937" s="7" t="n">
        <v>509.46</v>
      </c>
      <c r="M937" s="6" t="n">
        <v>3.2</v>
      </c>
      <c r="N937" s="6" t="s">
        <v>24</v>
      </c>
      <c r="O937" s="8" t="n">
        <f aca="false">VLOOKUP(F937,DIM_SERVICO!$A$2:$D$151,4,FALSE())</f>
        <v>748.05</v>
      </c>
      <c r="P937" s="8" t="n">
        <f aca="false">VLOOKUP(E937,DIM_PECA!$A$2:$F$501,6,FALSE())</f>
        <v>591.87</v>
      </c>
      <c r="Q937" s="8" t="n">
        <f aca="false">VLOOKUP(E937,DIM_PECA!$A$2:$F$501,5,FALSE())</f>
        <v>416.67</v>
      </c>
      <c r="R937" s="8" t="n">
        <f aca="false">H937*P937</f>
        <v>591.87</v>
      </c>
      <c r="S937" s="8" t="n">
        <f aca="false">O937*M937</f>
        <v>2393.76</v>
      </c>
      <c r="T937" s="8" t="n">
        <f aca="false">R937+S937</f>
        <v>2985.63</v>
      </c>
      <c r="U937" s="8" t="n">
        <f aca="false">T937-K937</f>
        <v>1672.51</v>
      </c>
      <c r="V937" s="8" t="n">
        <f aca="false">R937+S937-U937</f>
        <v>1313.12</v>
      </c>
      <c r="W937" s="9" t="str">
        <f aca="false">IF(ROUND(V937-K937,2)=0,"OK","ERRO")</f>
        <v>OK</v>
      </c>
      <c r="X937" s="9" t="str">
        <f aca="false">VLOOKUP(F937,DIM_SERVICO!$A$2:$D$151,3,FALSE())</f>
        <v>Freios</v>
      </c>
    </row>
    <row r="938" customFormat="false" ht="15" hidden="false" customHeight="false" outlineLevel="0" collapsed="false">
      <c r="A938" s="2" t="n">
        <v>937</v>
      </c>
      <c r="B938" s="2" t="n">
        <v>863</v>
      </c>
      <c r="C938" s="2" t="n">
        <v>527</v>
      </c>
      <c r="D938" s="2" t="n">
        <v>1057</v>
      </c>
      <c r="E938" s="2" t="n">
        <v>1</v>
      </c>
      <c r="F938" s="2" t="n">
        <v>68</v>
      </c>
      <c r="G938" s="2" t="n">
        <v>1666</v>
      </c>
      <c r="H938" s="2" t="n">
        <v>4</v>
      </c>
      <c r="I938" s="3" t="n">
        <v>3976.08</v>
      </c>
      <c r="J938" s="3" t="n">
        <v>1974.4</v>
      </c>
      <c r="K938" s="3" t="n">
        <v>7926.52</v>
      </c>
      <c r="L938" s="3" t="n">
        <v>3219.56</v>
      </c>
      <c r="M938" s="2" t="n">
        <v>4</v>
      </c>
      <c r="N938" s="2" t="s">
        <v>24</v>
      </c>
      <c r="O938" s="4" t="n">
        <f aca="false">VLOOKUP(F938,DIM_SERVICO!$A$2:$D$151,4,FALSE())</f>
        <v>1974.4</v>
      </c>
      <c r="P938" s="4" t="n">
        <f aca="false">VLOOKUP(E938,DIM_PECA!$A$2:$F$501,6,FALSE())</f>
        <v>1488.03</v>
      </c>
      <c r="Q938" s="4" t="n">
        <f aca="false">VLOOKUP(E938,DIM_PECA!$A$2:$F$501,5,FALSE())</f>
        <v>994.02</v>
      </c>
      <c r="R938" s="4" t="n">
        <f aca="false">H938*P938</f>
        <v>5952.12</v>
      </c>
      <c r="S938" s="4" t="n">
        <f aca="false">O938*M938</f>
        <v>7897.6</v>
      </c>
      <c r="T938" s="4" t="n">
        <f aca="false">R938+S938</f>
        <v>13849.72</v>
      </c>
      <c r="U938" s="4" t="n">
        <f aca="false">T938-K938</f>
        <v>5923.2</v>
      </c>
      <c r="V938" s="4" t="n">
        <f aca="false">R938+S938-U938</f>
        <v>7926.52</v>
      </c>
      <c r="W938" s="5" t="str">
        <f aca="false">IF(ROUND(V938-K938,2)=0,"OK","ERRO")</f>
        <v>OK</v>
      </c>
      <c r="X938" s="5" t="str">
        <f aca="false">VLOOKUP(F938,DIM_SERVICO!$A$2:$D$151,3,FALSE())</f>
        <v>Suspensão</v>
      </c>
    </row>
    <row r="939" customFormat="false" ht="15" hidden="false" customHeight="false" outlineLevel="0" collapsed="false">
      <c r="A939" s="6" t="n">
        <v>938</v>
      </c>
      <c r="B939" s="6" t="n">
        <v>115</v>
      </c>
      <c r="C939" s="6" t="n">
        <v>625</v>
      </c>
      <c r="D939" s="6" t="n">
        <v>771</v>
      </c>
      <c r="E939" s="6" t="n">
        <v>356</v>
      </c>
      <c r="F939" s="6" t="n">
        <v>93</v>
      </c>
      <c r="G939" s="6" t="n">
        <v>994</v>
      </c>
      <c r="H939" s="6" t="n">
        <v>3</v>
      </c>
      <c r="I939" s="7" t="n">
        <v>2863.71</v>
      </c>
      <c r="J939" s="7" t="n">
        <v>2049.66</v>
      </c>
      <c r="K939" s="7" t="n">
        <v>7921.8</v>
      </c>
      <c r="L939" s="7" t="n">
        <v>4312.74</v>
      </c>
      <c r="M939" s="6" t="n">
        <v>9</v>
      </c>
      <c r="N939" s="6" t="s">
        <v>24</v>
      </c>
      <c r="O939" s="8" t="n">
        <f aca="false">VLOOKUP(F939,DIM_SERVICO!$A$2:$D$151,4,FALSE())</f>
        <v>2049.66</v>
      </c>
      <c r="P939" s="8" t="n">
        <f aca="false">VLOOKUP(E939,DIM_PECA!$A$2:$F$501,6,FALSE())</f>
        <v>2096.36</v>
      </c>
      <c r="Q939" s="8" t="n">
        <f aca="false">VLOOKUP(E939,DIM_PECA!$A$2:$F$501,5,FALSE())</f>
        <v>954.57</v>
      </c>
      <c r="R939" s="8" t="n">
        <f aca="false">H939*P939</f>
        <v>6289.08</v>
      </c>
      <c r="S939" s="8" t="n">
        <f aca="false">O939*M939</f>
        <v>18446.94</v>
      </c>
      <c r="T939" s="8" t="n">
        <f aca="false">R939+S939</f>
        <v>24736.02</v>
      </c>
      <c r="U939" s="8" t="n">
        <f aca="false">T939-K939</f>
        <v>16814.22</v>
      </c>
      <c r="V939" s="8" t="n">
        <f aca="false">R939+S939-U939</f>
        <v>7921.8</v>
      </c>
      <c r="W939" s="9" t="str">
        <f aca="false">IF(ROUND(V939-K939,2)=0,"OK","ERRO")</f>
        <v>OK</v>
      </c>
      <c r="X939" s="9" t="str">
        <f aca="false">VLOOKUP(F939,DIM_SERVICO!$A$2:$D$151,3,FALSE())</f>
        <v>Revisão</v>
      </c>
    </row>
    <row r="940" customFormat="false" ht="15" hidden="false" customHeight="false" outlineLevel="0" collapsed="false">
      <c r="A940" s="2" t="n">
        <v>939</v>
      </c>
      <c r="B940" s="2" t="n">
        <v>1329</v>
      </c>
      <c r="C940" s="2" t="n">
        <v>328</v>
      </c>
      <c r="D940" s="2" t="n">
        <v>573</v>
      </c>
      <c r="E940" s="2" t="n">
        <v>69</v>
      </c>
      <c r="F940" s="2" t="n">
        <v>131</v>
      </c>
      <c r="G940" s="2" t="n">
        <v>1549</v>
      </c>
      <c r="H940" s="2" t="n">
        <v>4</v>
      </c>
      <c r="I940" s="3" t="n">
        <v>2217.08</v>
      </c>
      <c r="J940" s="3" t="n">
        <v>419.61</v>
      </c>
      <c r="K940" s="3" t="n">
        <v>3468.49</v>
      </c>
      <c r="L940" s="3" t="n">
        <v>1072.75</v>
      </c>
      <c r="M940" s="2" t="n">
        <v>0.7</v>
      </c>
      <c r="N940" s="2" t="s">
        <v>26</v>
      </c>
      <c r="O940" s="4" t="n">
        <f aca="false">VLOOKUP(F940,DIM_SERVICO!$A$2:$D$151,4,FALSE())</f>
        <v>419.61</v>
      </c>
      <c r="P940" s="4" t="n">
        <f aca="false">VLOOKUP(E940,DIM_PECA!$A$2:$F$501,6,FALSE())</f>
        <v>762.22</v>
      </c>
      <c r="Q940" s="4" t="n">
        <f aca="false">VLOOKUP(E940,DIM_PECA!$A$2:$F$501,5,FALSE())</f>
        <v>554.27</v>
      </c>
      <c r="R940" s="4" t="n">
        <f aca="false">H940*P940</f>
        <v>3048.88</v>
      </c>
      <c r="S940" s="4" t="n">
        <f aca="false">O940*M940</f>
        <v>293.727</v>
      </c>
      <c r="T940" s="4" t="n">
        <f aca="false">R940+S940</f>
        <v>3342.607</v>
      </c>
      <c r="U940" s="4" t="n">
        <f aca="false">T940-K940</f>
        <v>-125.883</v>
      </c>
      <c r="V940" s="4" t="n">
        <f aca="false">R940+S940-U940</f>
        <v>3468.49</v>
      </c>
      <c r="W940" s="5" t="str">
        <f aca="false">IF(ROUND(V940-K940,2)=0,"OK","ERRO")</f>
        <v>OK</v>
      </c>
      <c r="X940" s="5" t="str">
        <f aca="false">VLOOKUP(F940,DIM_SERVICO!$A$2:$D$151,3,FALSE())</f>
        <v>Freios</v>
      </c>
    </row>
    <row r="941" customFormat="false" ht="15" hidden="false" customHeight="false" outlineLevel="0" collapsed="false">
      <c r="A941" s="6" t="n">
        <v>940</v>
      </c>
      <c r="B941" s="6" t="n">
        <v>1229</v>
      </c>
      <c r="C941" s="6" t="n">
        <v>1148</v>
      </c>
      <c r="D941" s="6" t="n">
        <v>1095</v>
      </c>
      <c r="E941" s="6" t="n">
        <v>118</v>
      </c>
      <c r="F941" s="6" t="n">
        <v>7</v>
      </c>
      <c r="G941" s="6" t="n">
        <v>513</v>
      </c>
      <c r="H941" s="6" t="n">
        <v>2</v>
      </c>
      <c r="I941" s="7" t="n">
        <v>393.36</v>
      </c>
      <c r="J941" s="7" t="n">
        <v>2158.23</v>
      </c>
      <c r="K941" s="7" t="n">
        <v>2822.41</v>
      </c>
      <c r="L941" s="7" t="n">
        <v>1468.35</v>
      </c>
      <c r="M941" s="6" t="n">
        <v>3.9</v>
      </c>
      <c r="N941" s="6" t="s">
        <v>25</v>
      </c>
      <c r="O941" s="8" t="n">
        <f aca="false">VLOOKUP(F941,DIM_SERVICO!$A$2:$D$151,4,FALSE())</f>
        <v>2158.23</v>
      </c>
      <c r="P941" s="8" t="n">
        <f aca="false">VLOOKUP(E941,DIM_PECA!$A$2:$F$501,6,FALSE())</f>
        <v>332.09</v>
      </c>
      <c r="Q941" s="8" t="n">
        <f aca="false">VLOOKUP(E941,DIM_PECA!$A$2:$F$501,5,FALSE())</f>
        <v>196.68</v>
      </c>
      <c r="R941" s="8" t="n">
        <f aca="false">H941*P941</f>
        <v>664.18</v>
      </c>
      <c r="S941" s="8" t="n">
        <f aca="false">O941*M941</f>
        <v>8417.097</v>
      </c>
      <c r="T941" s="8" t="n">
        <f aca="false">R941+S941</f>
        <v>9081.277</v>
      </c>
      <c r="U941" s="8" t="n">
        <f aca="false">T941-K941</f>
        <v>6258.867</v>
      </c>
      <c r="V941" s="8" t="n">
        <f aca="false">R941+S941-U941</f>
        <v>2822.41</v>
      </c>
      <c r="W941" s="9" t="str">
        <f aca="false">IF(ROUND(V941-K941,2)=0,"OK","ERRO")</f>
        <v>OK</v>
      </c>
      <c r="X941" s="9" t="str">
        <f aca="false">VLOOKUP(F941,DIM_SERVICO!$A$2:$D$151,3,FALSE())</f>
        <v>Revisão</v>
      </c>
    </row>
    <row r="942" customFormat="false" ht="15" hidden="false" customHeight="false" outlineLevel="0" collapsed="false">
      <c r="A942" s="2" t="n">
        <v>941</v>
      </c>
      <c r="B942" s="2" t="n">
        <v>409</v>
      </c>
      <c r="C942" s="2" t="n">
        <v>157</v>
      </c>
      <c r="D942" s="2" t="n">
        <v>433</v>
      </c>
      <c r="E942" s="2" t="n">
        <v>481</v>
      </c>
      <c r="F942" s="2" t="n">
        <v>26</v>
      </c>
      <c r="G942" s="2" t="n">
        <v>459</v>
      </c>
      <c r="H942" s="2" t="n">
        <v>4</v>
      </c>
      <c r="I942" s="3" t="n">
        <v>4603.8</v>
      </c>
      <c r="J942" s="3" t="n">
        <v>168.44</v>
      </c>
      <c r="K942" s="3" t="n">
        <v>8211</v>
      </c>
      <c r="L942" s="3" t="n">
        <v>3527.72</v>
      </c>
      <c r="M942" s="2" t="n">
        <v>4.4</v>
      </c>
      <c r="N942" s="2" t="s">
        <v>24</v>
      </c>
      <c r="O942" s="4" t="n">
        <f aca="false">VLOOKUP(F942,DIM_SERVICO!$A$2:$D$151,4,FALSE())</f>
        <v>168.44</v>
      </c>
      <c r="P942" s="4" t="n">
        <f aca="false">VLOOKUP(E942,DIM_PECA!$A$2:$F$501,6,FALSE())</f>
        <v>2189.14</v>
      </c>
      <c r="Q942" s="4" t="n">
        <f aca="false">VLOOKUP(E942,DIM_PECA!$A$2:$F$501,5,FALSE())</f>
        <v>1150.95</v>
      </c>
      <c r="R942" s="4" t="n">
        <f aca="false">H942*P942</f>
        <v>8756.56</v>
      </c>
      <c r="S942" s="4" t="n">
        <f aca="false">O942*M942</f>
        <v>741.136</v>
      </c>
      <c r="T942" s="4" t="n">
        <f aca="false">R942+S942</f>
        <v>9497.696</v>
      </c>
      <c r="U942" s="4" t="n">
        <f aca="false">T942-K942</f>
        <v>1286.696</v>
      </c>
      <c r="V942" s="4" t="n">
        <f aca="false">R942+S942-U942</f>
        <v>8211</v>
      </c>
      <c r="W942" s="5" t="str">
        <f aca="false">IF(ROUND(V942-K942,2)=0,"OK","ERRO")</f>
        <v>OK</v>
      </c>
      <c r="X942" s="5" t="str">
        <f aca="false">VLOOKUP(F942,DIM_SERVICO!$A$2:$D$151,3,FALSE())</f>
        <v>Suspensão</v>
      </c>
    </row>
    <row r="943" customFormat="false" ht="15" hidden="false" customHeight="false" outlineLevel="0" collapsed="false">
      <c r="A943" s="6" t="n">
        <v>942</v>
      </c>
      <c r="B943" s="6" t="n">
        <v>1307</v>
      </c>
      <c r="C943" s="6" t="n">
        <v>1080</v>
      </c>
      <c r="D943" s="6" t="n">
        <v>406</v>
      </c>
      <c r="E943" s="6" t="n">
        <v>316</v>
      </c>
      <c r="F943" s="6" t="n">
        <v>55</v>
      </c>
      <c r="G943" s="6" t="n">
        <v>999</v>
      </c>
      <c r="H943" s="6" t="n">
        <v>4</v>
      </c>
      <c r="I943" s="7" t="n">
        <v>1172.72</v>
      </c>
      <c r="J943" s="7" t="n">
        <v>176.18</v>
      </c>
      <c r="K943" s="7" t="n">
        <v>2627.91</v>
      </c>
      <c r="L943" s="7" t="n">
        <v>1361.97</v>
      </c>
      <c r="M943" s="6" t="n">
        <v>9.1</v>
      </c>
      <c r="N943" s="6" t="s">
        <v>24</v>
      </c>
      <c r="O943" s="8" t="n">
        <f aca="false">VLOOKUP(F943,DIM_SERVICO!$A$2:$D$151,4,FALSE())</f>
        <v>176.18</v>
      </c>
      <c r="P943" s="8" t="n">
        <f aca="false">VLOOKUP(E943,DIM_PECA!$A$2:$F$501,6,FALSE())</f>
        <v>626.34</v>
      </c>
      <c r="Q943" s="8" t="n">
        <f aca="false">VLOOKUP(E943,DIM_PECA!$A$2:$F$501,5,FALSE())</f>
        <v>293.18</v>
      </c>
      <c r="R943" s="8" t="n">
        <f aca="false">H943*P943</f>
        <v>2505.36</v>
      </c>
      <c r="S943" s="8" t="n">
        <f aca="false">O943*M943</f>
        <v>1603.238</v>
      </c>
      <c r="T943" s="8" t="n">
        <f aca="false">R943+S943</f>
        <v>4108.598</v>
      </c>
      <c r="U943" s="8" t="n">
        <f aca="false">T943-K943</f>
        <v>1480.688</v>
      </c>
      <c r="V943" s="8" t="n">
        <f aca="false">R943+S943-U943</f>
        <v>2627.91</v>
      </c>
      <c r="W943" s="9" t="str">
        <f aca="false">IF(ROUND(V943-K943,2)=0,"OK","ERRO")</f>
        <v>OK</v>
      </c>
      <c r="X943" s="9" t="str">
        <f aca="false">VLOOKUP(F943,DIM_SERVICO!$A$2:$D$151,3,FALSE())</f>
        <v>Motor</v>
      </c>
    </row>
    <row r="944" customFormat="false" ht="15" hidden="false" customHeight="false" outlineLevel="0" collapsed="false">
      <c r="A944" s="2" t="n">
        <v>943</v>
      </c>
      <c r="B944" s="2" t="n">
        <v>623</v>
      </c>
      <c r="C944" s="2" t="n">
        <v>904</v>
      </c>
      <c r="D944" s="2" t="n">
        <v>213</v>
      </c>
      <c r="E944" s="2" t="n">
        <v>186</v>
      </c>
      <c r="F944" s="2" t="n">
        <v>65</v>
      </c>
      <c r="G944" s="2" t="n">
        <v>1712</v>
      </c>
      <c r="H944" s="2" t="n">
        <v>2</v>
      </c>
      <c r="I944" s="3" t="n">
        <v>580.66</v>
      </c>
      <c r="J944" s="3" t="n">
        <v>1214.63</v>
      </c>
      <c r="K944" s="3" t="n">
        <v>2488.35</v>
      </c>
      <c r="L944" s="3" t="n">
        <v>1420.04</v>
      </c>
      <c r="M944" s="2" t="n">
        <v>11.9</v>
      </c>
      <c r="N944" s="2" t="s">
        <v>24</v>
      </c>
      <c r="O944" s="4" t="n">
        <f aca="false">VLOOKUP(F944,DIM_SERVICO!$A$2:$D$151,4,FALSE())</f>
        <v>1214.63</v>
      </c>
      <c r="P944" s="4" t="n">
        <f aca="false">VLOOKUP(E944,DIM_PECA!$A$2:$F$501,6,FALSE())</f>
        <v>636.86</v>
      </c>
      <c r="Q944" s="4" t="n">
        <f aca="false">VLOOKUP(E944,DIM_PECA!$A$2:$F$501,5,FALSE())</f>
        <v>290.33</v>
      </c>
      <c r="R944" s="4" t="n">
        <f aca="false">H944*P944</f>
        <v>1273.72</v>
      </c>
      <c r="S944" s="4" t="n">
        <f aca="false">O944*M944</f>
        <v>14454.097</v>
      </c>
      <c r="T944" s="4" t="n">
        <f aca="false">R944+S944</f>
        <v>15727.817</v>
      </c>
      <c r="U944" s="4" t="n">
        <f aca="false">T944-K944</f>
        <v>13239.467</v>
      </c>
      <c r="V944" s="4" t="n">
        <f aca="false">R944+S944-U944</f>
        <v>2488.35</v>
      </c>
      <c r="W944" s="5" t="str">
        <f aca="false">IF(ROUND(V944-K944,2)=0,"OK","ERRO")</f>
        <v>OK</v>
      </c>
      <c r="X944" s="5" t="str">
        <f aca="false">VLOOKUP(F944,DIM_SERVICO!$A$2:$D$151,3,FALSE())</f>
        <v>Elétrica</v>
      </c>
    </row>
    <row r="945" customFormat="false" ht="15" hidden="false" customHeight="false" outlineLevel="0" collapsed="false">
      <c r="A945" s="6" t="n">
        <v>944</v>
      </c>
      <c r="B945" s="6" t="n">
        <v>1484</v>
      </c>
      <c r="C945" s="6" t="n">
        <v>4</v>
      </c>
      <c r="D945" s="6" t="n">
        <v>377</v>
      </c>
      <c r="E945" s="6" t="n">
        <v>437</v>
      </c>
      <c r="F945" s="6" t="n">
        <v>135</v>
      </c>
      <c r="G945" s="6" t="n">
        <v>1388</v>
      </c>
      <c r="H945" s="6" t="n">
        <v>2</v>
      </c>
      <c r="I945" s="7" t="n">
        <v>1039.46</v>
      </c>
      <c r="J945" s="7" t="n">
        <v>2099.01</v>
      </c>
      <c r="K945" s="7" t="n">
        <v>4011.89</v>
      </c>
      <c r="L945" s="7" t="n">
        <v>1919.87</v>
      </c>
      <c r="M945" s="6" t="n">
        <v>3.8</v>
      </c>
      <c r="N945" s="6" t="s">
        <v>24</v>
      </c>
      <c r="O945" s="8" t="n">
        <f aca="false">VLOOKUP(F945,DIM_SERVICO!$A$2:$D$151,4,FALSE())</f>
        <v>2099.01</v>
      </c>
      <c r="P945" s="8" t="n">
        <f aca="false">VLOOKUP(E945,DIM_PECA!$A$2:$F$501,6,FALSE())</f>
        <v>956.44</v>
      </c>
      <c r="Q945" s="8" t="n">
        <f aca="false">VLOOKUP(E945,DIM_PECA!$A$2:$F$501,5,FALSE())</f>
        <v>519.73</v>
      </c>
      <c r="R945" s="8" t="n">
        <f aca="false">H945*P945</f>
        <v>1912.88</v>
      </c>
      <c r="S945" s="8" t="n">
        <f aca="false">O945*M945</f>
        <v>7976.238</v>
      </c>
      <c r="T945" s="8" t="n">
        <f aca="false">R945+S945</f>
        <v>9889.118</v>
      </c>
      <c r="U945" s="8" t="n">
        <f aca="false">T945-K945</f>
        <v>5877.228</v>
      </c>
      <c r="V945" s="8" t="n">
        <f aca="false">R945+S945-U945</f>
        <v>4011.89</v>
      </c>
      <c r="W945" s="9" t="str">
        <f aca="false">IF(ROUND(V945-K945,2)=0,"OK","ERRO")</f>
        <v>OK</v>
      </c>
      <c r="X945" s="9" t="str">
        <f aca="false">VLOOKUP(F945,DIM_SERVICO!$A$2:$D$151,3,FALSE())</f>
        <v>Motor</v>
      </c>
    </row>
    <row r="946" customFormat="false" ht="15" hidden="false" customHeight="false" outlineLevel="0" collapsed="false">
      <c r="A946" s="2" t="n">
        <v>945</v>
      </c>
      <c r="B946" s="2" t="n">
        <v>1353</v>
      </c>
      <c r="C946" s="2" t="n">
        <v>282</v>
      </c>
      <c r="D946" s="2" t="n">
        <v>331</v>
      </c>
      <c r="E946" s="2" t="n">
        <v>118</v>
      </c>
      <c r="F946" s="2" t="n">
        <v>117</v>
      </c>
      <c r="G946" s="2" t="n">
        <v>300</v>
      </c>
      <c r="H946" s="2" t="n">
        <v>1</v>
      </c>
      <c r="I946" s="3" t="n">
        <v>196.68</v>
      </c>
      <c r="J946" s="3" t="n">
        <v>405.55</v>
      </c>
      <c r="K946" s="3" t="n">
        <v>722.89</v>
      </c>
      <c r="L946" s="3" t="n">
        <v>360.14</v>
      </c>
      <c r="M946" s="2" t="n">
        <v>7.4</v>
      </c>
      <c r="N946" s="2" t="s">
        <v>24</v>
      </c>
      <c r="O946" s="4" t="n">
        <f aca="false">VLOOKUP(F946,DIM_SERVICO!$A$2:$D$151,4,FALSE())</f>
        <v>405.55</v>
      </c>
      <c r="P946" s="4" t="n">
        <f aca="false">VLOOKUP(E946,DIM_PECA!$A$2:$F$501,6,FALSE())</f>
        <v>332.09</v>
      </c>
      <c r="Q946" s="4" t="n">
        <f aca="false">VLOOKUP(E946,DIM_PECA!$A$2:$F$501,5,FALSE())</f>
        <v>196.68</v>
      </c>
      <c r="R946" s="4" t="n">
        <f aca="false">H946*P946</f>
        <v>332.09</v>
      </c>
      <c r="S946" s="4" t="n">
        <f aca="false">O946*M946</f>
        <v>3001.07</v>
      </c>
      <c r="T946" s="4" t="n">
        <f aca="false">R946+S946</f>
        <v>3333.16</v>
      </c>
      <c r="U946" s="4" t="n">
        <f aca="false">T946-K946</f>
        <v>2610.27</v>
      </c>
      <c r="V946" s="4" t="n">
        <f aca="false">R946+S946-U946</f>
        <v>722.89</v>
      </c>
      <c r="W946" s="5" t="str">
        <f aca="false">IF(ROUND(V946-K946,2)=0,"OK","ERRO")</f>
        <v>OK</v>
      </c>
      <c r="X946" s="5" t="str">
        <f aca="false">VLOOKUP(F946,DIM_SERVICO!$A$2:$D$151,3,FALSE())</f>
        <v>Freios</v>
      </c>
    </row>
    <row r="947" customFormat="false" ht="15" hidden="false" customHeight="false" outlineLevel="0" collapsed="false">
      <c r="A947" s="6" t="n">
        <v>946</v>
      </c>
      <c r="B947" s="6" t="n">
        <v>102</v>
      </c>
      <c r="C947" s="6" t="n">
        <v>708</v>
      </c>
      <c r="D947" s="6" t="n">
        <v>401</v>
      </c>
      <c r="E947" s="6" t="n">
        <v>422</v>
      </c>
      <c r="F947" s="6" t="n">
        <v>123</v>
      </c>
      <c r="G947" s="6" t="n">
        <v>101</v>
      </c>
      <c r="H947" s="6" t="n">
        <v>1</v>
      </c>
      <c r="I947" s="7" t="n">
        <v>597.91</v>
      </c>
      <c r="J947" s="7" t="n">
        <v>2023.84</v>
      </c>
      <c r="K947" s="7" t="n">
        <v>2798.76</v>
      </c>
      <c r="L947" s="7" t="n">
        <v>1318.62</v>
      </c>
      <c r="M947" s="6" t="n">
        <v>3.2</v>
      </c>
      <c r="N947" s="6" t="s">
        <v>24</v>
      </c>
      <c r="O947" s="8" t="n">
        <f aca="false">VLOOKUP(F947,DIM_SERVICO!$A$2:$D$151,4,FALSE())</f>
        <v>2023.84</v>
      </c>
      <c r="P947" s="8" t="n">
        <f aca="false">VLOOKUP(E947,DIM_PECA!$A$2:$F$501,6,FALSE())</f>
        <v>1085.89</v>
      </c>
      <c r="Q947" s="8" t="n">
        <f aca="false">VLOOKUP(E947,DIM_PECA!$A$2:$F$501,5,FALSE())</f>
        <v>597.91</v>
      </c>
      <c r="R947" s="8" t="n">
        <f aca="false">H947*P947</f>
        <v>1085.89</v>
      </c>
      <c r="S947" s="8" t="n">
        <f aca="false">O947*M947</f>
        <v>6476.288</v>
      </c>
      <c r="T947" s="8" t="n">
        <f aca="false">R947+S947</f>
        <v>7562.178</v>
      </c>
      <c r="U947" s="8" t="n">
        <f aca="false">T947-K947</f>
        <v>4763.418</v>
      </c>
      <c r="V947" s="8" t="n">
        <f aca="false">R947+S947-U947</f>
        <v>2798.76</v>
      </c>
      <c r="W947" s="9" t="str">
        <f aca="false">IF(ROUND(V947-K947,2)=0,"OK","ERRO")</f>
        <v>OK</v>
      </c>
      <c r="X947" s="9" t="str">
        <f aca="false">VLOOKUP(F947,DIM_SERVICO!$A$2:$D$151,3,FALSE())</f>
        <v>Diagnóstico</v>
      </c>
    </row>
    <row r="948" customFormat="false" ht="15" hidden="false" customHeight="false" outlineLevel="0" collapsed="false">
      <c r="A948" s="2" t="n">
        <v>947</v>
      </c>
      <c r="B948" s="2" t="n">
        <v>787</v>
      </c>
      <c r="C948" s="2" t="n">
        <v>1238</v>
      </c>
      <c r="D948" s="2" t="n">
        <v>998</v>
      </c>
      <c r="E948" s="2" t="n">
        <v>340</v>
      </c>
      <c r="F948" s="2" t="n">
        <v>143</v>
      </c>
      <c r="G948" s="2" t="n">
        <v>1003</v>
      </c>
      <c r="H948" s="2" t="n">
        <v>4</v>
      </c>
      <c r="I948" s="3" t="n">
        <v>1305.88</v>
      </c>
      <c r="J948" s="3" t="n">
        <v>1722.21</v>
      </c>
      <c r="K948" s="3" t="n">
        <v>3759.61</v>
      </c>
      <c r="L948" s="3" t="n">
        <v>1773.07</v>
      </c>
      <c r="M948" s="2" t="n">
        <v>2.3</v>
      </c>
      <c r="N948" s="2" t="s">
        <v>24</v>
      </c>
      <c r="O948" s="4" t="n">
        <f aca="false">VLOOKUP(F948,DIM_SERVICO!$A$2:$D$151,4,FALSE())</f>
        <v>1722.21</v>
      </c>
      <c r="P948" s="4" t="n">
        <f aca="false">VLOOKUP(E948,DIM_PECA!$A$2:$F$501,6,FALSE())</f>
        <v>509.35</v>
      </c>
      <c r="Q948" s="4" t="n">
        <f aca="false">VLOOKUP(E948,DIM_PECA!$A$2:$F$501,5,FALSE())</f>
        <v>326.47</v>
      </c>
      <c r="R948" s="4" t="n">
        <f aca="false">H948*P948</f>
        <v>2037.4</v>
      </c>
      <c r="S948" s="4" t="n">
        <f aca="false">O948*M948</f>
        <v>3961.083</v>
      </c>
      <c r="T948" s="4" t="n">
        <f aca="false">R948+S948</f>
        <v>5998.483</v>
      </c>
      <c r="U948" s="4" t="n">
        <f aca="false">T948-K948</f>
        <v>2238.873</v>
      </c>
      <c r="V948" s="4" t="n">
        <f aca="false">R948+S948-U948</f>
        <v>3759.61</v>
      </c>
      <c r="W948" s="5" t="str">
        <f aca="false">IF(ROUND(V948-K948,2)=0,"OK","ERRO")</f>
        <v>OK</v>
      </c>
      <c r="X948" s="5" t="str">
        <f aca="false">VLOOKUP(F948,DIM_SERVICO!$A$2:$D$151,3,FALSE())</f>
        <v>Suspensão</v>
      </c>
    </row>
    <row r="949" customFormat="false" ht="15" hidden="false" customHeight="false" outlineLevel="0" collapsed="false">
      <c r="A949" s="6" t="n">
        <v>948</v>
      </c>
      <c r="B949" s="6" t="n">
        <v>286</v>
      </c>
      <c r="C949" s="6" t="n">
        <v>2</v>
      </c>
      <c r="D949" s="6" t="n">
        <v>958</v>
      </c>
      <c r="E949" s="6" t="n">
        <v>175</v>
      </c>
      <c r="F949" s="6" t="n">
        <v>136</v>
      </c>
      <c r="G949" s="6" t="n">
        <v>388</v>
      </c>
      <c r="H949" s="6" t="n">
        <v>4</v>
      </c>
      <c r="I949" s="7" t="n">
        <v>74.76</v>
      </c>
      <c r="J949" s="7" t="n">
        <v>509.38</v>
      </c>
      <c r="K949" s="7" t="n">
        <v>638.54</v>
      </c>
      <c r="L949" s="7" t="n">
        <v>349.19</v>
      </c>
      <c r="M949" s="6" t="n">
        <v>10.8</v>
      </c>
      <c r="N949" s="6" t="s">
        <v>25</v>
      </c>
      <c r="O949" s="8" t="n">
        <f aca="false">VLOOKUP(F949,DIM_SERVICO!$A$2:$D$151,4,FALSE())</f>
        <v>509.38</v>
      </c>
      <c r="P949" s="8" t="n">
        <f aca="false">VLOOKUP(E949,DIM_PECA!$A$2:$F$501,6,FALSE())</f>
        <v>32.29</v>
      </c>
      <c r="Q949" s="8" t="n">
        <f aca="false">VLOOKUP(E949,DIM_PECA!$A$2:$F$501,5,FALSE())</f>
        <v>18.69</v>
      </c>
      <c r="R949" s="8" t="n">
        <f aca="false">H949*P949</f>
        <v>129.16</v>
      </c>
      <c r="S949" s="8" t="n">
        <f aca="false">O949*M949</f>
        <v>5501.304</v>
      </c>
      <c r="T949" s="8" t="n">
        <f aca="false">R949+S949</f>
        <v>5630.464</v>
      </c>
      <c r="U949" s="8" t="n">
        <f aca="false">T949-K949</f>
        <v>4991.924</v>
      </c>
      <c r="V949" s="8" t="n">
        <f aca="false">R949+S949-U949</f>
        <v>638.54</v>
      </c>
      <c r="W949" s="9" t="str">
        <f aca="false">IF(ROUND(V949-K949,2)=0,"OK","ERRO")</f>
        <v>OK</v>
      </c>
      <c r="X949" s="9" t="str">
        <f aca="false">VLOOKUP(F949,DIM_SERVICO!$A$2:$D$151,3,FALSE())</f>
        <v>Elétrica</v>
      </c>
    </row>
    <row r="950" customFormat="false" ht="15" hidden="false" customHeight="false" outlineLevel="0" collapsed="false">
      <c r="A950" s="2" t="n">
        <v>949</v>
      </c>
      <c r="B950" s="2" t="n">
        <v>81</v>
      </c>
      <c r="C950" s="2" t="n">
        <v>368</v>
      </c>
      <c r="D950" s="2" t="n">
        <v>761</v>
      </c>
      <c r="E950" s="2" t="n">
        <v>484</v>
      </c>
      <c r="F950" s="2" t="n">
        <v>58</v>
      </c>
      <c r="G950" s="2" t="n">
        <v>326</v>
      </c>
      <c r="H950" s="2" t="n">
        <v>1</v>
      </c>
      <c r="I950" s="3" t="n">
        <v>81.27</v>
      </c>
      <c r="J950" s="3" t="n">
        <v>1803.6</v>
      </c>
      <c r="K950" s="3" t="n">
        <v>1820.99</v>
      </c>
      <c r="L950" s="3" t="n">
        <v>890.72</v>
      </c>
      <c r="M950" s="2" t="n">
        <v>11.9</v>
      </c>
      <c r="N950" s="2" t="s">
        <v>26</v>
      </c>
      <c r="O950" s="4" t="n">
        <f aca="false">VLOOKUP(F950,DIM_SERVICO!$A$2:$D$151,4,FALSE())</f>
        <v>1803.6</v>
      </c>
      <c r="P950" s="4" t="n">
        <f aca="false">VLOOKUP(E950,DIM_PECA!$A$2:$F$501,6,FALSE())</f>
        <v>113.23</v>
      </c>
      <c r="Q950" s="4" t="n">
        <f aca="false">VLOOKUP(E950,DIM_PECA!$A$2:$F$501,5,FALSE())</f>
        <v>81.27</v>
      </c>
      <c r="R950" s="4" t="n">
        <f aca="false">H950*P950</f>
        <v>113.23</v>
      </c>
      <c r="S950" s="4" t="n">
        <f aca="false">O950*M950</f>
        <v>21462.84</v>
      </c>
      <c r="T950" s="4" t="n">
        <f aca="false">R950+S950</f>
        <v>21576.07</v>
      </c>
      <c r="U950" s="4" t="n">
        <f aca="false">T950-K950</f>
        <v>19755.08</v>
      </c>
      <c r="V950" s="4" t="n">
        <f aca="false">R950+S950-U950</f>
        <v>1820.99</v>
      </c>
      <c r="W950" s="5" t="str">
        <f aca="false">IF(ROUND(V950-K950,2)=0,"OK","ERRO")</f>
        <v>OK</v>
      </c>
      <c r="X950" s="5" t="str">
        <f aca="false">VLOOKUP(F950,DIM_SERVICO!$A$2:$D$151,3,FALSE())</f>
        <v>Freios</v>
      </c>
    </row>
    <row r="951" customFormat="false" ht="15" hidden="false" customHeight="false" outlineLevel="0" collapsed="false">
      <c r="A951" s="6" t="n">
        <v>950</v>
      </c>
      <c r="B951" s="6" t="n">
        <v>774</v>
      </c>
      <c r="C951" s="6" t="n">
        <v>757</v>
      </c>
      <c r="D951" s="6" t="n">
        <v>177</v>
      </c>
      <c r="E951" s="6" t="n">
        <v>373</v>
      </c>
      <c r="F951" s="6" t="n">
        <v>16</v>
      </c>
      <c r="G951" s="6" t="n">
        <v>1141</v>
      </c>
      <c r="H951" s="6" t="n">
        <v>3</v>
      </c>
      <c r="I951" s="7" t="n">
        <v>223.44</v>
      </c>
      <c r="J951" s="7" t="n">
        <v>266.12</v>
      </c>
      <c r="K951" s="7" t="n">
        <v>514.1</v>
      </c>
      <c r="L951" s="7" t="n">
        <v>170.51</v>
      </c>
      <c r="M951" s="6" t="n">
        <v>8.4</v>
      </c>
      <c r="N951" s="6" t="s">
        <v>27</v>
      </c>
      <c r="O951" s="8" t="n">
        <f aca="false">VLOOKUP(F951,DIM_SERVICO!$A$2:$D$151,4,FALSE())</f>
        <v>266.12</v>
      </c>
      <c r="P951" s="8" t="n">
        <f aca="false">VLOOKUP(E951,DIM_PECA!$A$2:$F$501,6,FALSE())</f>
        <v>101.7</v>
      </c>
      <c r="Q951" s="8" t="n">
        <f aca="false">VLOOKUP(E951,DIM_PECA!$A$2:$F$501,5,FALSE())</f>
        <v>74.48</v>
      </c>
      <c r="R951" s="8" t="n">
        <f aca="false">H951*P951</f>
        <v>305.1</v>
      </c>
      <c r="S951" s="8" t="n">
        <f aca="false">O951*M951</f>
        <v>2235.408</v>
      </c>
      <c r="T951" s="8" t="n">
        <f aca="false">R951+S951</f>
        <v>2540.508</v>
      </c>
      <c r="U951" s="8" t="n">
        <f aca="false">T951-K951</f>
        <v>2026.408</v>
      </c>
      <c r="V951" s="8" t="n">
        <f aca="false">R951+S951-U951</f>
        <v>514.1</v>
      </c>
      <c r="W951" s="9" t="str">
        <f aca="false">IF(ROUND(V951-K951,2)=0,"OK","ERRO")</f>
        <v>OK</v>
      </c>
      <c r="X951" s="9" t="str">
        <f aca="false">VLOOKUP(F951,DIM_SERVICO!$A$2:$D$151,3,FALSE())</f>
        <v>Funilaria</v>
      </c>
    </row>
    <row r="952" customFormat="false" ht="15" hidden="false" customHeight="false" outlineLevel="0" collapsed="false">
      <c r="A952" s="2" t="n">
        <v>951</v>
      </c>
      <c r="B952" s="2" t="n">
        <v>793</v>
      </c>
      <c r="C952" s="2" t="n">
        <v>1057</v>
      </c>
      <c r="D952" s="2" t="n">
        <v>1196</v>
      </c>
      <c r="E952" s="2" t="n">
        <v>48</v>
      </c>
      <c r="F952" s="2" t="n">
        <v>136</v>
      </c>
      <c r="G952" s="2" t="n">
        <v>251</v>
      </c>
      <c r="H952" s="2" t="n">
        <v>1</v>
      </c>
      <c r="I952" s="3" t="n">
        <v>953.97</v>
      </c>
      <c r="J952" s="3" t="n">
        <v>509.38</v>
      </c>
      <c r="K952" s="3" t="n">
        <v>2178.31</v>
      </c>
      <c r="L952" s="3" t="n">
        <v>948.84</v>
      </c>
      <c r="M952" s="2" t="n">
        <v>3.6</v>
      </c>
      <c r="N952" s="2" t="s">
        <v>25</v>
      </c>
      <c r="O952" s="4" t="n">
        <f aca="false">VLOOKUP(F952,DIM_SERVICO!$A$2:$D$151,4,FALSE())</f>
        <v>509.38</v>
      </c>
      <c r="P952" s="4" t="n">
        <f aca="false">VLOOKUP(E952,DIM_PECA!$A$2:$F$501,6,FALSE())</f>
        <v>1910.96</v>
      </c>
      <c r="Q952" s="4" t="n">
        <f aca="false">VLOOKUP(E952,DIM_PECA!$A$2:$F$501,5,FALSE())</f>
        <v>953.97</v>
      </c>
      <c r="R952" s="4" t="n">
        <f aca="false">H952*P952</f>
        <v>1910.96</v>
      </c>
      <c r="S952" s="4" t="n">
        <f aca="false">O952*M952</f>
        <v>1833.768</v>
      </c>
      <c r="T952" s="4" t="n">
        <f aca="false">R952+S952</f>
        <v>3744.728</v>
      </c>
      <c r="U952" s="4" t="n">
        <f aca="false">T952-K952</f>
        <v>1566.418</v>
      </c>
      <c r="V952" s="4" t="n">
        <f aca="false">R952+S952-U952</f>
        <v>2178.31</v>
      </c>
      <c r="W952" s="5" t="str">
        <f aca="false">IF(ROUND(V952-K952,2)=0,"OK","ERRO")</f>
        <v>OK</v>
      </c>
      <c r="X952" s="5" t="str">
        <f aca="false">VLOOKUP(F952,DIM_SERVICO!$A$2:$D$151,3,FALSE())</f>
        <v>Elétrica</v>
      </c>
    </row>
    <row r="953" customFormat="false" ht="15" hidden="false" customHeight="false" outlineLevel="0" collapsed="false">
      <c r="A953" s="6" t="n">
        <v>952</v>
      </c>
      <c r="B953" s="6" t="n">
        <v>421</v>
      </c>
      <c r="C953" s="6" t="n">
        <v>1150</v>
      </c>
      <c r="D953" s="6" t="n">
        <v>211</v>
      </c>
      <c r="E953" s="6" t="n">
        <v>255</v>
      </c>
      <c r="F953" s="6" t="n">
        <v>144</v>
      </c>
      <c r="G953" s="6" t="n">
        <v>482</v>
      </c>
      <c r="H953" s="6" t="n">
        <v>3</v>
      </c>
      <c r="I953" s="7" t="n">
        <v>2970.72</v>
      </c>
      <c r="J953" s="7" t="n">
        <v>2149.33</v>
      </c>
      <c r="K953" s="7" t="n">
        <v>7928.86</v>
      </c>
      <c r="L953" s="7" t="n">
        <v>3870.57</v>
      </c>
      <c r="M953" s="6" t="n">
        <v>5.2</v>
      </c>
      <c r="N953" s="6" t="s">
        <v>24</v>
      </c>
      <c r="O953" s="8" t="n">
        <f aca="false">VLOOKUP(F953,DIM_SERVICO!$A$2:$D$151,4,FALSE())</f>
        <v>2149.33</v>
      </c>
      <c r="P953" s="8" t="n">
        <f aca="false">VLOOKUP(E953,DIM_PECA!$A$2:$F$501,6,FALSE())</f>
        <v>1926.51</v>
      </c>
      <c r="Q953" s="8" t="n">
        <f aca="false">VLOOKUP(E953,DIM_PECA!$A$2:$F$501,5,FALSE())</f>
        <v>990.24</v>
      </c>
      <c r="R953" s="8" t="n">
        <f aca="false">H953*P953</f>
        <v>5779.53</v>
      </c>
      <c r="S953" s="8" t="n">
        <f aca="false">O953*M953</f>
        <v>11176.516</v>
      </c>
      <c r="T953" s="8" t="n">
        <f aca="false">R953+S953</f>
        <v>16956.046</v>
      </c>
      <c r="U953" s="8" t="n">
        <f aca="false">T953-K953</f>
        <v>9027.186</v>
      </c>
      <c r="V953" s="8" t="n">
        <f aca="false">R953+S953-U953</f>
        <v>7928.86</v>
      </c>
      <c r="W953" s="9" t="str">
        <f aca="false">IF(ROUND(V953-K953,2)=0,"OK","ERRO")</f>
        <v>OK</v>
      </c>
      <c r="X953" s="9" t="str">
        <f aca="false">VLOOKUP(F953,DIM_SERVICO!$A$2:$D$151,3,FALSE())</f>
        <v>Pintura</v>
      </c>
    </row>
    <row r="954" customFormat="false" ht="15" hidden="false" customHeight="false" outlineLevel="0" collapsed="false">
      <c r="A954" s="2" t="n">
        <v>953</v>
      </c>
      <c r="B954" s="2" t="n">
        <v>88</v>
      </c>
      <c r="C954" s="2" t="n">
        <v>389</v>
      </c>
      <c r="D954" s="2" t="n">
        <v>372</v>
      </c>
      <c r="E954" s="2" t="n">
        <v>337</v>
      </c>
      <c r="F954" s="2" t="n">
        <v>82</v>
      </c>
      <c r="G954" s="2" t="n">
        <v>696</v>
      </c>
      <c r="H954" s="2" t="n">
        <v>2</v>
      </c>
      <c r="I954" s="3" t="n">
        <v>929.02</v>
      </c>
      <c r="J954" s="3" t="n">
        <v>673.49</v>
      </c>
      <c r="K954" s="3" t="n">
        <v>2145.12</v>
      </c>
      <c r="L954" s="3" t="n">
        <v>938.8</v>
      </c>
      <c r="M954" s="2" t="n">
        <v>3.8</v>
      </c>
      <c r="N954" s="2" t="s">
        <v>24</v>
      </c>
      <c r="O954" s="4" t="n">
        <f aca="false">VLOOKUP(F954,DIM_SERVICO!$A$2:$D$151,4,FALSE())</f>
        <v>673.49</v>
      </c>
      <c r="P954" s="4" t="n">
        <f aca="false">VLOOKUP(E954,DIM_PECA!$A$2:$F$501,6,FALSE())</f>
        <v>854.99</v>
      </c>
      <c r="Q954" s="4" t="n">
        <f aca="false">VLOOKUP(E954,DIM_PECA!$A$2:$F$501,5,FALSE())</f>
        <v>464.51</v>
      </c>
      <c r="R954" s="4" t="n">
        <f aca="false">H954*P954</f>
        <v>1709.98</v>
      </c>
      <c r="S954" s="4" t="n">
        <f aca="false">O954*M954</f>
        <v>2559.262</v>
      </c>
      <c r="T954" s="4" t="n">
        <f aca="false">R954+S954</f>
        <v>4269.242</v>
      </c>
      <c r="U954" s="4" t="n">
        <f aca="false">T954-K954</f>
        <v>2124.122</v>
      </c>
      <c r="V954" s="4" t="n">
        <f aca="false">R954+S954-U954</f>
        <v>2145.12</v>
      </c>
      <c r="W954" s="5" t="str">
        <f aca="false">IF(ROUND(V954-K954,2)=0,"OK","ERRO")</f>
        <v>OK</v>
      </c>
      <c r="X954" s="5" t="str">
        <f aca="false">VLOOKUP(F954,DIM_SERVICO!$A$2:$D$151,3,FALSE())</f>
        <v>Diagnóstico</v>
      </c>
    </row>
    <row r="955" customFormat="false" ht="15" hidden="false" customHeight="false" outlineLevel="0" collapsed="false">
      <c r="A955" s="6" t="n">
        <v>954</v>
      </c>
      <c r="B955" s="6" t="n">
        <v>954</v>
      </c>
      <c r="C955" s="6" t="n">
        <v>1387</v>
      </c>
      <c r="D955" s="6" t="n">
        <v>825</v>
      </c>
      <c r="E955" s="6" t="n">
        <v>365</v>
      </c>
      <c r="F955" s="6" t="n">
        <v>26</v>
      </c>
      <c r="G955" s="6" t="n">
        <v>1575</v>
      </c>
      <c r="H955" s="6" t="n">
        <v>4</v>
      </c>
      <c r="I955" s="7" t="n">
        <v>1332.24</v>
      </c>
      <c r="J955" s="7" t="n">
        <v>168.44</v>
      </c>
      <c r="K955" s="7" t="n">
        <v>2640.2</v>
      </c>
      <c r="L955" s="7" t="n">
        <v>1227.94</v>
      </c>
      <c r="M955" s="6" t="n">
        <v>1.1</v>
      </c>
      <c r="N955" s="6" t="s">
        <v>24</v>
      </c>
      <c r="O955" s="8" t="n">
        <f aca="false">VLOOKUP(F955,DIM_SERVICO!$A$2:$D$151,4,FALSE())</f>
        <v>168.44</v>
      </c>
      <c r="P955" s="8" t="n">
        <f aca="false">VLOOKUP(E955,DIM_PECA!$A$2:$F$501,6,FALSE())</f>
        <v>617.94</v>
      </c>
      <c r="Q955" s="8" t="n">
        <f aca="false">VLOOKUP(E955,DIM_PECA!$A$2:$F$501,5,FALSE())</f>
        <v>333.06</v>
      </c>
      <c r="R955" s="8" t="n">
        <f aca="false">H955*P955</f>
        <v>2471.76</v>
      </c>
      <c r="S955" s="8" t="n">
        <f aca="false">O955*M955</f>
        <v>185.284</v>
      </c>
      <c r="T955" s="8" t="n">
        <f aca="false">R955+S955</f>
        <v>2657.044</v>
      </c>
      <c r="U955" s="8" t="n">
        <f aca="false">T955-K955</f>
        <v>16.8440000000005</v>
      </c>
      <c r="V955" s="8" t="n">
        <f aca="false">R955+S955-U955</f>
        <v>2640.2</v>
      </c>
      <c r="W955" s="9" t="str">
        <f aca="false">IF(ROUND(V955-K955,2)=0,"OK","ERRO")</f>
        <v>OK</v>
      </c>
      <c r="X955" s="9" t="str">
        <f aca="false">VLOOKUP(F955,DIM_SERVICO!$A$2:$D$151,3,FALSE())</f>
        <v>Suspensão</v>
      </c>
    </row>
    <row r="956" customFormat="false" ht="15" hidden="false" customHeight="false" outlineLevel="0" collapsed="false">
      <c r="A956" s="2" t="n">
        <v>955</v>
      </c>
      <c r="B956" s="2" t="n">
        <v>245</v>
      </c>
      <c r="C956" s="2" t="n">
        <v>1158</v>
      </c>
      <c r="D956" s="2" t="n">
        <v>400</v>
      </c>
      <c r="E956" s="2" t="n">
        <v>95</v>
      </c>
      <c r="F956" s="2" t="n">
        <v>75</v>
      </c>
      <c r="G956" s="2" t="n">
        <v>304</v>
      </c>
      <c r="H956" s="2" t="n">
        <v>3</v>
      </c>
      <c r="I956" s="3" t="n">
        <v>1556.91</v>
      </c>
      <c r="J956" s="3" t="n">
        <v>1549.88</v>
      </c>
      <c r="K956" s="3" t="n">
        <v>4340.38</v>
      </c>
      <c r="L956" s="3" t="n">
        <v>2180.26</v>
      </c>
      <c r="M956" s="2" t="n">
        <v>11.7</v>
      </c>
      <c r="N956" s="2" t="s">
        <v>27</v>
      </c>
      <c r="O956" s="4" t="n">
        <f aca="false">VLOOKUP(F956,DIM_SERVICO!$A$2:$D$151,4,FALSE())</f>
        <v>1549.88</v>
      </c>
      <c r="P956" s="4" t="n">
        <f aca="false">VLOOKUP(E956,DIM_PECA!$A$2:$F$501,6,FALSE())</f>
        <v>1090.92</v>
      </c>
      <c r="Q956" s="4" t="n">
        <f aca="false">VLOOKUP(E956,DIM_PECA!$A$2:$F$501,5,FALSE())</f>
        <v>518.97</v>
      </c>
      <c r="R956" s="4" t="n">
        <f aca="false">H956*P956</f>
        <v>3272.76</v>
      </c>
      <c r="S956" s="4" t="n">
        <f aca="false">O956*M956</f>
        <v>18133.596</v>
      </c>
      <c r="T956" s="4" t="n">
        <f aca="false">R956+S956</f>
        <v>21406.356</v>
      </c>
      <c r="U956" s="4" t="n">
        <f aca="false">T956-K956</f>
        <v>17065.976</v>
      </c>
      <c r="V956" s="4" t="n">
        <f aca="false">R956+S956-U956</f>
        <v>4340.38</v>
      </c>
      <c r="W956" s="5" t="str">
        <f aca="false">IF(ROUND(V956-K956,2)=0,"OK","ERRO")</f>
        <v>OK</v>
      </c>
      <c r="X956" s="5" t="str">
        <f aca="false">VLOOKUP(F956,DIM_SERVICO!$A$2:$D$151,3,FALSE())</f>
        <v>Freios</v>
      </c>
    </row>
    <row r="957" customFormat="false" ht="15" hidden="false" customHeight="false" outlineLevel="0" collapsed="false">
      <c r="A957" s="6" t="n">
        <v>956</v>
      </c>
      <c r="B957" s="6" t="n">
        <v>66</v>
      </c>
      <c r="C957" s="6" t="n">
        <v>66</v>
      </c>
      <c r="D957" s="6" t="n">
        <v>51</v>
      </c>
      <c r="E957" s="6" t="n">
        <v>314</v>
      </c>
      <c r="F957" s="6" t="n">
        <v>21</v>
      </c>
      <c r="G957" s="6" t="n">
        <v>1395</v>
      </c>
      <c r="H957" s="6" t="n">
        <v>4</v>
      </c>
      <c r="I957" s="7" t="n">
        <v>4048.68</v>
      </c>
      <c r="J957" s="7" t="n">
        <v>126.78</v>
      </c>
      <c r="K957" s="7" t="n">
        <v>8563.62</v>
      </c>
      <c r="L957" s="7" t="n">
        <v>4467.74</v>
      </c>
      <c r="M957" s="6" t="n">
        <v>3</v>
      </c>
      <c r="N957" s="6" t="s">
        <v>24</v>
      </c>
      <c r="O957" s="8" t="n">
        <f aca="false">VLOOKUP(F957,DIM_SERVICO!$A$2:$D$151,4,FALSE())</f>
        <v>126.78</v>
      </c>
      <c r="P957" s="8" t="n">
        <f aca="false">VLOOKUP(E957,DIM_PECA!$A$2:$F$501,6,FALSE())</f>
        <v>2109.21</v>
      </c>
      <c r="Q957" s="8" t="n">
        <f aca="false">VLOOKUP(E957,DIM_PECA!$A$2:$F$501,5,FALSE())</f>
        <v>1012.17</v>
      </c>
      <c r="R957" s="8" t="n">
        <f aca="false">H957*P957</f>
        <v>8436.84</v>
      </c>
      <c r="S957" s="8" t="n">
        <f aca="false">O957*M957</f>
        <v>380.34</v>
      </c>
      <c r="T957" s="8" t="n">
        <f aca="false">R957+S957</f>
        <v>8817.18</v>
      </c>
      <c r="U957" s="8" t="n">
        <f aca="false">T957-K957</f>
        <v>253.56</v>
      </c>
      <c r="V957" s="8" t="n">
        <f aca="false">R957+S957-U957</f>
        <v>8563.62</v>
      </c>
      <c r="W957" s="9" t="str">
        <f aca="false">IF(ROUND(V957-K957,2)=0,"OK","ERRO")</f>
        <v>OK</v>
      </c>
      <c r="X957" s="9" t="str">
        <f aca="false">VLOOKUP(F957,DIM_SERVICO!$A$2:$D$151,3,FALSE())</f>
        <v>Suspensão</v>
      </c>
    </row>
    <row r="958" customFormat="false" ht="15" hidden="false" customHeight="false" outlineLevel="0" collapsed="false">
      <c r="A958" s="2" t="n">
        <v>957</v>
      </c>
      <c r="B958" s="2" t="n">
        <v>1394</v>
      </c>
      <c r="C958" s="2" t="n">
        <v>601</v>
      </c>
      <c r="D958" s="2" t="n">
        <v>1160</v>
      </c>
      <c r="E958" s="2" t="n">
        <v>117</v>
      </c>
      <c r="F958" s="2" t="n">
        <v>1</v>
      </c>
      <c r="G958" s="2" t="n">
        <v>1347</v>
      </c>
      <c r="H958" s="2" t="n">
        <v>4</v>
      </c>
      <c r="I958" s="3" t="n">
        <v>2440.4</v>
      </c>
      <c r="J958" s="3" t="n">
        <v>412.84</v>
      </c>
      <c r="K958" s="3" t="n">
        <v>4327.31</v>
      </c>
      <c r="L958" s="3" t="n">
        <v>1663.09</v>
      </c>
      <c r="M958" s="2" t="n">
        <v>3.4</v>
      </c>
      <c r="N958" s="2" t="s">
        <v>24</v>
      </c>
      <c r="O958" s="4" t="n">
        <f aca="false">VLOOKUP(F958,DIM_SERVICO!$A$2:$D$151,4,FALSE())</f>
        <v>412.84</v>
      </c>
      <c r="P958" s="4" t="n">
        <f aca="false">VLOOKUP(E958,DIM_PECA!$A$2:$F$501,6,FALSE())</f>
        <v>1098.82</v>
      </c>
      <c r="Q958" s="4" t="n">
        <f aca="false">VLOOKUP(E958,DIM_PECA!$A$2:$F$501,5,FALSE())</f>
        <v>610.1</v>
      </c>
      <c r="R958" s="4" t="n">
        <f aca="false">H958*P958</f>
        <v>4395.28</v>
      </c>
      <c r="S958" s="4" t="n">
        <f aca="false">O958*M958</f>
        <v>1403.656</v>
      </c>
      <c r="T958" s="4" t="n">
        <f aca="false">R958+S958</f>
        <v>5798.936</v>
      </c>
      <c r="U958" s="4" t="n">
        <f aca="false">T958-K958</f>
        <v>1471.626</v>
      </c>
      <c r="V958" s="4" t="n">
        <f aca="false">R958+S958-U958</f>
        <v>4327.31</v>
      </c>
      <c r="W958" s="5" t="str">
        <f aca="false">IF(ROUND(V958-K958,2)=0,"OK","ERRO")</f>
        <v>OK</v>
      </c>
      <c r="X958" s="5" t="str">
        <f aca="false">VLOOKUP(F958,DIM_SERVICO!$A$2:$D$151,3,FALSE())</f>
        <v>Elétrica</v>
      </c>
    </row>
    <row r="959" customFormat="false" ht="15" hidden="false" customHeight="false" outlineLevel="0" collapsed="false">
      <c r="A959" s="6" t="n">
        <v>958</v>
      </c>
      <c r="B959" s="6" t="n">
        <v>654</v>
      </c>
      <c r="C959" s="6" t="n">
        <v>1030</v>
      </c>
      <c r="D959" s="6" t="n">
        <v>434</v>
      </c>
      <c r="E959" s="6" t="n">
        <v>430</v>
      </c>
      <c r="F959" s="6" t="n">
        <v>147</v>
      </c>
      <c r="G959" s="6" t="n">
        <v>1509</v>
      </c>
      <c r="H959" s="6" t="n">
        <v>1</v>
      </c>
      <c r="I959" s="7" t="n">
        <v>1060.15</v>
      </c>
      <c r="J959" s="7" t="n">
        <v>1891.42</v>
      </c>
      <c r="K959" s="7" t="n">
        <v>3618.87</v>
      </c>
      <c r="L959" s="7" t="n">
        <v>1851.77</v>
      </c>
      <c r="M959" s="6" t="n">
        <v>1.5</v>
      </c>
      <c r="N959" s="6" t="s">
        <v>24</v>
      </c>
      <c r="O959" s="8" t="n">
        <f aca="false">VLOOKUP(F959,DIM_SERVICO!$A$2:$D$151,4,FALSE())</f>
        <v>1891.42</v>
      </c>
      <c r="P959" s="8" t="n">
        <f aca="false">VLOOKUP(E959,DIM_PECA!$A$2:$F$501,6,FALSE())</f>
        <v>1801.3</v>
      </c>
      <c r="Q959" s="8" t="n">
        <f aca="false">VLOOKUP(E959,DIM_PECA!$A$2:$F$501,5,FALSE())</f>
        <v>1060.15</v>
      </c>
      <c r="R959" s="8" t="n">
        <f aca="false">H959*P959</f>
        <v>1801.3</v>
      </c>
      <c r="S959" s="8" t="n">
        <f aca="false">O959*M959</f>
        <v>2837.13</v>
      </c>
      <c r="T959" s="8" t="n">
        <f aca="false">R959+S959</f>
        <v>4638.43</v>
      </c>
      <c r="U959" s="8" t="n">
        <f aca="false">T959-K959</f>
        <v>1019.56</v>
      </c>
      <c r="V959" s="8" t="n">
        <f aca="false">R959+S959-U959</f>
        <v>3618.87</v>
      </c>
      <c r="W959" s="9" t="str">
        <f aca="false">IF(ROUND(V959-K959,2)=0,"OK","ERRO")</f>
        <v>OK</v>
      </c>
      <c r="X959" s="9" t="str">
        <f aca="false">VLOOKUP(F959,DIM_SERVICO!$A$2:$D$151,3,FALSE())</f>
        <v>Motor</v>
      </c>
    </row>
    <row r="960" customFormat="false" ht="15" hidden="false" customHeight="false" outlineLevel="0" collapsed="false">
      <c r="A960" s="2" t="n">
        <v>959</v>
      </c>
      <c r="B960" s="2" t="n">
        <v>557</v>
      </c>
      <c r="C960" s="2" t="n">
        <v>343</v>
      </c>
      <c r="D960" s="2" t="n">
        <v>677</v>
      </c>
      <c r="E960" s="2" t="n">
        <v>254</v>
      </c>
      <c r="F960" s="2" t="n">
        <v>139</v>
      </c>
      <c r="G960" s="2" t="n">
        <v>1205</v>
      </c>
      <c r="H960" s="2" t="n">
        <v>4</v>
      </c>
      <c r="I960" s="3" t="n">
        <v>249</v>
      </c>
      <c r="J960" s="3" t="n">
        <v>2138.46</v>
      </c>
      <c r="K960" s="3" t="n">
        <v>2544.38</v>
      </c>
      <c r="L960" s="3" t="n">
        <v>1125.78</v>
      </c>
      <c r="M960" s="2" t="n">
        <v>2.2</v>
      </c>
      <c r="N960" s="2" t="s">
        <v>24</v>
      </c>
      <c r="O960" s="4" t="n">
        <f aca="false">VLOOKUP(F960,DIM_SERVICO!$A$2:$D$151,4,FALSE())</f>
        <v>2138.46</v>
      </c>
      <c r="P960" s="4" t="n">
        <f aca="false">VLOOKUP(E960,DIM_PECA!$A$2:$F$501,6,FALSE())</f>
        <v>134.96</v>
      </c>
      <c r="Q960" s="4" t="n">
        <f aca="false">VLOOKUP(E960,DIM_PECA!$A$2:$F$501,5,FALSE())</f>
        <v>62.25</v>
      </c>
      <c r="R960" s="4" t="n">
        <f aca="false">H960*P960</f>
        <v>539.84</v>
      </c>
      <c r="S960" s="4" t="n">
        <f aca="false">O960*M960</f>
        <v>4704.612</v>
      </c>
      <c r="T960" s="4" t="n">
        <f aca="false">R960+S960</f>
        <v>5244.452</v>
      </c>
      <c r="U960" s="4" t="n">
        <f aca="false">T960-K960</f>
        <v>2700.072</v>
      </c>
      <c r="V960" s="4" t="n">
        <f aca="false">R960+S960-U960</f>
        <v>2544.38</v>
      </c>
      <c r="W960" s="5" t="str">
        <f aca="false">IF(ROUND(V960-K960,2)=0,"OK","ERRO")</f>
        <v>OK</v>
      </c>
      <c r="X960" s="5" t="str">
        <f aca="false">VLOOKUP(F960,DIM_SERVICO!$A$2:$D$151,3,FALSE())</f>
        <v>Revisão</v>
      </c>
    </row>
    <row r="961" customFormat="false" ht="15" hidden="false" customHeight="false" outlineLevel="0" collapsed="false">
      <c r="A961" s="6" t="n">
        <v>960</v>
      </c>
      <c r="B961" s="6" t="n">
        <v>170</v>
      </c>
      <c r="C961" s="6" t="n">
        <v>229</v>
      </c>
      <c r="D961" s="6" t="n">
        <v>1023</v>
      </c>
      <c r="E961" s="6" t="n">
        <v>258</v>
      </c>
      <c r="F961" s="6" t="n">
        <v>46</v>
      </c>
      <c r="G961" s="6" t="n">
        <v>965</v>
      </c>
      <c r="H961" s="6" t="n">
        <v>2</v>
      </c>
      <c r="I961" s="7" t="n">
        <v>631.94</v>
      </c>
      <c r="J961" s="7" t="n">
        <v>1282.78</v>
      </c>
      <c r="K961" s="7" t="n">
        <v>2293.02</v>
      </c>
      <c r="L961" s="7" t="n">
        <v>1137.48</v>
      </c>
      <c r="M961" s="6" t="n">
        <v>4.6</v>
      </c>
      <c r="N961" s="6" t="s">
        <v>25</v>
      </c>
      <c r="O961" s="8" t="n">
        <f aca="false">VLOOKUP(F961,DIM_SERVICO!$A$2:$D$151,4,FALSE())</f>
        <v>1282.78</v>
      </c>
      <c r="P961" s="8" t="n">
        <f aca="false">VLOOKUP(E961,DIM_PECA!$A$2:$F$501,6,FALSE())</f>
        <v>505.12</v>
      </c>
      <c r="Q961" s="8" t="n">
        <f aca="false">VLOOKUP(E961,DIM_PECA!$A$2:$F$501,5,FALSE())</f>
        <v>315.97</v>
      </c>
      <c r="R961" s="8" t="n">
        <f aca="false">H961*P961</f>
        <v>1010.24</v>
      </c>
      <c r="S961" s="8" t="n">
        <f aca="false">O961*M961</f>
        <v>5900.788</v>
      </c>
      <c r="T961" s="8" t="n">
        <f aca="false">R961+S961</f>
        <v>6911.028</v>
      </c>
      <c r="U961" s="8" t="n">
        <f aca="false">T961-K961</f>
        <v>4618.008</v>
      </c>
      <c r="V961" s="8" t="n">
        <f aca="false">R961+S961-U961</f>
        <v>2293.02</v>
      </c>
      <c r="W961" s="9" t="str">
        <f aca="false">IF(ROUND(V961-K961,2)=0,"OK","ERRO")</f>
        <v>OK</v>
      </c>
      <c r="X961" s="9" t="str">
        <f aca="false">VLOOKUP(F961,DIM_SERVICO!$A$2:$D$151,3,FALSE())</f>
        <v>Revisão</v>
      </c>
    </row>
    <row r="962" customFormat="false" ht="15" hidden="false" customHeight="false" outlineLevel="0" collapsed="false">
      <c r="A962" s="2" t="n">
        <v>961</v>
      </c>
      <c r="B962" s="2" t="n">
        <v>1336</v>
      </c>
      <c r="C962" s="2" t="n">
        <v>77</v>
      </c>
      <c r="D962" s="2" t="n">
        <v>806</v>
      </c>
      <c r="E962" s="2" t="n">
        <v>197</v>
      </c>
      <c r="F962" s="2" t="n">
        <v>147</v>
      </c>
      <c r="G962" s="2" t="n">
        <v>1194</v>
      </c>
      <c r="H962" s="2" t="n">
        <v>1</v>
      </c>
      <c r="I962" s="3" t="n">
        <v>125.56</v>
      </c>
      <c r="J962" s="3" t="n">
        <v>1891.42</v>
      </c>
      <c r="K962" s="3" t="n">
        <v>2072.06</v>
      </c>
      <c r="L962" s="3" t="n">
        <v>1230.28</v>
      </c>
      <c r="M962" s="2" t="n">
        <v>2.9</v>
      </c>
      <c r="N962" s="2" t="s">
        <v>25</v>
      </c>
      <c r="O962" s="4" t="n">
        <f aca="false">VLOOKUP(F962,DIM_SERVICO!$A$2:$D$151,4,FALSE())</f>
        <v>1891.42</v>
      </c>
      <c r="P962" s="4" t="n">
        <f aca="false">VLOOKUP(E962,DIM_PECA!$A$2:$F$501,6,FALSE())</f>
        <v>180.64</v>
      </c>
      <c r="Q962" s="4" t="n">
        <f aca="false">VLOOKUP(E962,DIM_PECA!$A$2:$F$501,5,FALSE())</f>
        <v>125.56</v>
      </c>
      <c r="R962" s="4" t="n">
        <f aca="false">H962*P962</f>
        <v>180.64</v>
      </c>
      <c r="S962" s="4" t="n">
        <f aca="false">O962*M962</f>
        <v>5485.118</v>
      </c>
      <c r="T962" s="4" t="n">
        <f aca="false">R962+S962</f>
        <v>5665.758</v>
      </c>
      <c r="U962" s="4" t="n">
        <f aca="false">T962-K962</f>
        <v>3593.698</v>
      </c>
      <c r="V962" s="4" t="n">
        <f aca="false">R962+S962-U962</f>
        <v>2072.06</v>
      </c>
      <c r="W962" s="5" t="str">
        <f aca="false">IF(ROUND(V962-K962,2)=0,"OK","ERRO")</f>
        <v>OK</v>
      </c>
      <c r="X962" s="5" t="str">
        <f aca="false">VLOOKUP(F962,DIM_SERVICO!$A$2:$D$151,3,FALSE())</f>
        <v>Motor</v>
      </c>
    </row>
    <row r="963" customFormat="false" ht="15" hidden="false" customHeight="false" outlineLevel="0" collapsed="false">
      <c r="A963" s="6" t="n">
        <v>962</v>
      </c>
      <c r="B963" s="6" t="n">
        <v>123</v>
      </c>
      <c r="C963" s="6" t="n">
        <v>185</v>
      </c>
      <c r="D963" s="6" t="n">
        <v>1010</v>
      </c>
      <c r="E963" s="6" t="n">
        <v>238</v>
      </c>
      <c r="F963" s="6" t="n">
        <v>127</v>
      </c>
      <c r="G963" s="6" t="n">
        <v>1038</v>
      </c>
      <c r="H963" s="6" t="n">
        <v>3</v>
      </c>
      <c r="I963" s="7" t="n">
        <v>2646.54</v>
      </c>
      <c r="J963" s="7" t="n">
        <v>165.02</v>
      </c>
      <c r="K963" s="7" t="n">
        <v>4942.46</v>
      </c>
      <c r="L963" s="7" t="n">
        <v>2224.1</v>
      </c>
      <c r="M963" s="6" t="n">
        <v>10.3</v>
      </c>
      <c r="N963" s="6" t="s">
        <v>24</v>
      </c>
      <c r="O963" s="8" t="n">
        <f aca="false">VLOOKUP(F963,DIM_SERVICO!$A$2:$D$151,4,FALSE())</f>
        <v>165.02</v>
      </c>
      <c r="P963" s="8" t="n">
        <f aca="false">VLOOKUP(E963,DIM_PECA!$A$2:$F$501,6,FALSE())</f>
        <v>1592.48</v>
      </c>
      <c r="Q963" s="8" t="n">
        <f aca="false">VLOOKUP(E963,DIM_PECA!$A$2:$F$501,5,FALSE())</f>
        <v>882.18</v>
      </c>
      <c r="R963" s="8" t="n">
        <f aca="false">H963*P963</f>
        <v>4777.44</v>
      </c>
      <c r="S963" s="8" t="n">
        <f aca="false">O963*M963</f>
        <v>1699.706</v>
      </c>
      <c r="T963" s="8" t="n">
        <f aca="false">R963+S963</f>
        <v>6477.146</v>
      </c>
      <c r="U963" s="8" t="n">
        <f aca="false">T963-K963</f>
        <v>1534.686</v>
      </c>
      <c r="V963" s="8" t="n">
        <f aca="false">R963+S963-U963</f>
        <v>4942.46</v>
      </c>
      <c r="W963" s="9" t="str">
        <f aca="false">IF(ROUND(V963-K963,2)=0,"OK","ERRO")</f>
        <v>OK</v>
      </c>
      <c r="X963" s="9" t="str">
        <f aca="false">VLOOKUP(F963,DIM_SERVICO!$A$2:$D$151,3,FALSE())</f>
        <v>Suspensão</v>
      </c>
    </row>
    <row r="964" customFormat="false" ht="15" hidden="false" customHeight="false" outlineLevel="0" collapsed="false">
      <c r="A964" s="2" t="n">
        <v>963</v>
      </c>
      <c r="B964" s="2" t="n">
        <v>394</v>
      </c>
      <c r="C964" s="2" t="n">
        <v>116</v>
      </c>
      <c r="D964" s="2" t="n">
        <v>193</v>
      </c>
      <c r="E964" s="2" t="n">
        <v>451</v>
      </c>
      <c r="F964" s="2" t="n">
        <v>137</v>
      </c>
      <c r="G964" s="2" t="n">
        <v>99</v>
      </c>
      <c r="H964" s="2" t="n">
        <v>1</v>
      </c>
      <c r="I964" s="3" t="n">
        <v>709.64</v>
      </c>
      <c r="J964" s="3" t="n">
        <v>1147.35</v>
      </c>
      <c r="K964" s="3" t="n">
        <v>2176.13</v>
      </c>
      <c r="L964" s="3" t="n">
        <v>1001.57</v>
      </c>
      <c r="M964" s="2" t="n">
        <v>9.1</v>
      </c>
      <c r="N964" s="2" t="s">
        <v>24</v>
      </c>
      <c r="O964" s="4" t="n">
        <f aca="false">VLOOKUP(F964,DIM_SERVICO!$A$2:$D$151,4,FALSE())</f>
        <v>1147.35</v>
      </c>
      <c r="P964" s="4" t="n">
        <f aca="false">VLOOKUP(E964,DIM_PECA!$A$2:$F$501,6,FALSE())</f>
        <v>1028.78</v>
      </c>
      <c r="Q964" s="4" t="n">
        <f aca="false">VLOOKUP(E964,DIM_PECA!$A$2:$F$501,5,FALSE())</f>
        <v>709.64</v>
      </c>
      <c r="R964" s="4" t="n">
        <f aca="false">H964*P964</f>
        <v>1028.78</v>
      </c>
      <c r="S964" s="4" t="n">
        <f aca="false">O964*M964</f>
        <v>10440.885</v>
      </c>
      <c r="T964" s="4" t="n">
        <f aca="false">R964+S964</f>
        <v>11469.665</v>
      </c>
      <c r="U964" s="4" t="n">
        <f aca="false">T964-K964</f>
        <v>9293.535</v>
      </c>
      <c r="V964" s="4" t="n">
        <f aca="false">R964+S964-U964</f>
        <v>2176.13</v>
      </c>
      <c r="W964" s="5" t="str">
        <f aca="false">IF(ROUND(V964-K964,2)=0,"OK","ERRO")</f>
        <v>OK</v>
      </c>
      <c r="X964" s="5" t="str">
        <f aca="false">VLOOKUP(F964,DIM_SERVICO!$A$2:$D$151,3,FALSE())</f>
        <v>Diagnóstico</v>
      </c>
    </row>
    <row r="965" customFormat="false" ht="15" hidden="false" customHeight="false" outlineLevel="0" collapsed="false">
      <c r="A965" s="6" t="n">
        <v>964</v>
      </c>
      <c r="B965" s="6" t="n">
        <v>45</v>
      </c>
      <c r="C965" s="6" t="n">
        <v>956</v>
      </c>
      <c r="D965" s="6" t="n">
        <v>801</v>
      </c>
      <c r="E965" s="6" t="n">
        <v>200</v>
      </c>
      <c r="F965" s="6" t="n">
        <v>16</v>
      </c>
      <c r="G965" s="6" t="n">
        <v>240</v>
      </c>
      <c r="H965" s="6" t="n">
        <v>2</v>
      </c>
      <c r="I965" s="7" t="n">
        <v>1653.88</v>
      </c>
      <c r="J965" s="7" t="n">
        <v>266.12</v>
      </c>
      <c r="K965" s="7" t="n">
        <v>2822.7</v>
      </c>
      <c r="L965" s="7" t="n">
        <v>1070.5</v>
      </c>
      <c r="M965" s="6" t="n">
        <v>4.4</v>
      </c>
      <c r="N965" s="6" t="s">
        <v>24</v>
      </c>
      <c r="O965" s="8" t="n">
        <f aca="false">VLOOKUP(F965,DIM_SERVICO!$A$2:$D$151,4,FALSE())</f>
        <v>266.12</v>
      </c>
      <c r="P965" s="8" t="n">
        <f aca="false">VLOOKUP(E965,DIM_PECA!$A$2:$F$501,6,FALSE())</f>
        <v>1278.29</v>
      </c>
      <c r="Q965" s="8" t="n">
        <f aca="false">VLOOKUP(E965,DIM_PECA!$A$2:$F$501,5,FALSE())</f>
        <v>826.94</v>
      </c>
      <c r="R965" s="8" t="n">
        <f aca="false">H965*P965</f>
        <v>2556.58</v>
      </c>
      <c r="S965" s="8" t="n">
        <f aca="false">O965*M965</f>
        <v>1170.928</v>
      </c>
      <c r="T965" s="8" t="n">
        <f aca="false">R965+S965</f>
        <v>3727.508</v>
      </c>
      <c r="U965" s="8" t="n">
        <f aca="false">T965-K965</f>
        <v>904.808</v>
      </c>
      <c r="V965" s="8" t="n">
        <f aca="false">R965+S965-U965</f>
        <v>2822.7</v>
      </c>
      <c r="W965" s="9" t="str">
        <f aca="false">IF(ROUND(V965-K965,2)=0,"OK","ERRO")</f>
        <v>OK</v>
      </c>
      <c r="X965" s="9" t="str">
        <f aca="false">VLOOKUP(F965,DIM_SERVICO!$A$2:$D$151,3,FALSE())</f>
        <v>Funilaria</v>
      </c>
    </row>
    <row r="966" customFormat="false" ht="15" hidden="false" customHeight="false" outlineLevel="0" collapsed="false">
      <c r="A966" s="2" t="n">
        <v>965</v>
      </c>
      <c r="B966" s="2" t="n">
        <v>1190</v>
      </c>
      <c r="C966" s="2" t="n">
        <v>966</v>
      </c>
      <c r="D966" s="2" t="n">
        <v>680</v>
      </c>
      <c r="E966" s="2" t="n">
        <v>48</v>
      </c>
      <c r="F966" s="2" t="n">
        <v>7</v>
      </c>
      <c r="G966" s="2" t="n">
        <v>69</v>
      </c>
      <c r="H966" s="2" t="n">
        <v>1</v>
      </c>
      <c r="I966" s="3" t="n">
        <v>953.97</v>
      </c>
      <c r="J966" s="3" t="n">
        <v>2158.23</v>
      </c>
      <c r="K966" s="3" t="n">
        <v>4069.19</v>
      </c>
      <c r="L966" s="3" t="n">
        <v>2193.25</v>
      </c>
      <c r="M966" s="2" t="n">
        <v>9.1</v>
      </c>
      <c r="N966" s="2" t="s">
        <v>24</v>
      </c>
      <c r="O966" s="4" t="n">
        <f aca="false">VLOOKUP(F966,DIM_SERVICO!$A$2:$D$151,4,FALSE())</f>
        <v>2158.23</v>
      </c>
      <c r="P966" s="4" t="n">
        <f aca="false">VLOOKUP(E966,DIM_PECA!$A$2:$F$501,6,FALSE())</f>
        <v>1910.96</v>
      </c>
      <c r="Q966" s="4" t="n">
        <f aca="false">VLOOKUP(E966,DIM_PECA!$A$2:$F$501,5,FALSE())</f>
        <v>953.97</v>
      </c>
      <c r="R966" s="4" t="n">
        <f aca="false">H966*P966</f>
        <v>1910.96</v>
      </c>
      <c r="S966" s="4" t="n">
        <f aca="false">O966*M966</f>
        <v>19639.893</v>
      </c>
      <c r="T966" s="4" t="n">
        <f aca="false">R966+S966</f>
        <v>21550.853</v>
      </c>
      <c r="U966" s="4" t="n">
        <f aca="false">T966-K966</f>
        <v>17481.663</v>
      </c>
      <c r="V966" s="4" t="n">
        <f aca="false">R966+S966-U966</f>
        <v>4069.19</v>
      </c>
      <c r="W966" s="5" t="str">
        <f aca="false">IF(ROUND(V966-K966,2)=0,"OK","ERRO")</f>
        <v>OK</v>
      </c>
      <c r="X966" s="5" t="str">
        <f aca="false">VLOOKUP(F966,DIM_SERVICO!$A$2:$D$151,3,FALSE())</f>
        <v>Revisão</v>
      </c>
    </row>
    <row r="967" customFormat="false" ht="15" hidden="false" customHeight="false" outlineLevel="0" collapsed="false">
      <c r="A967" s="6" t="n">
        <v>966</v>
      </c>
      <c r="B967" s="6" t="n">
        <v>1225</v>
      </c>
      <c r="C967" s="6" t="n">
        <v>715</v>
      </c>
      <c r="D967" s="6" t="n">
        <v>854</v>
      </c>
      <c r="E967" s="6" t="n">
        <v>441</v>
      </c>
      <c r="F967" s="6" t="n">
        <v>80</v>
      </c>
      <c r="G967" s="6" t="n">
        <v>490</v>
      </c>
      <c r="H967" s="6" t="n">
        <v>4</v>
      </c>
      <c r="I967" s="7" t="n">
        <v>456</v>
      </c>
      <c r="J967" s="7" t="n">
        <v>2134.39</v>
      </c>
      <c r="K967" s="7" t="n">
        <v>2543.46</v>
      </c>
      <c r="L967" s="7" t="n">
        <v>1239.35</v>
      </c>
      <c r="M967" s="6" t="n">
        <v>10.4</v>
      </c>
      <c r="N967" s="6" t="s">
        <v>24</v>
      </c>
      <c r="O967" s="8" t="n">
        <f aca="false">VLOOKUP(F967,DIM_SERVICO!$A$2:$D$151,4,FALSE())</f>
        <v>2134.39</v>
      </c>
      <c r="P967" s="8" t="n">
        <f aca="false">VLOOKUP(E967,DIM_PECA!$A$2:$F$501,6,FALSE())</f>
        <v>157.56</v>
      </c>
      <c r="Q967" s="8" t="n">
        <f aca="false">VLOOKUP(E967,DIM_PECA!$A$2:$F$501,5,FALSE())</f>
        <v>114</v>
      </c>
      <c r="R967" s="8" t="n">
        <f aca="false">H967*P967</f>
        <v>630.24</v>
      </c>
      <c r="S967" s="8" t="n">
        <f aca="false">O967*M967</f>
        <v>22197.656</v>
      </c>
      <c r="T967" s="8" t="n">
        <f aca="false">R967+S967</f>
        <v>22827.896</v>
      </c>
      <c r="U967" s="8" t="n">
        <f aca="false">T967-K967</f>
        <v>20284.436</v>
      </c>
      <c r="V967" s="8" t="n">
        <f aca="false">R967+S967-U967</f>
        <v>2543.46</v>
      </c>
      <c r="W967" s="9" t="str">
        <f aca="false">IF(ROUND(V967-K967,2)=0,"OK","ERRO")</f>
        <v>OK</v>
      </c>
      <c r="X967" s="9" t="str">
        <f aca="false">VLOOKUP(F967,DIM_SERVICO!$A$2:$D$151,3,FALSE())</f>
        <v>Suspensão</v>
      </c>
    </row>
    <row r="968" customFormat="false" ht="15" hidden="false" customHeight="false" outlineLevel="0" collapsed="false">
      <c r="A968" s="2" t="n">
        <v>967</v>
      </c>
      <c r="B968" s="2" t="n">
        <v>564</v>
      </c>
      <c r="C968" s="2" t="n">
        <v>924</v>
      </c>
      <c r="D968" s="2" t="n">
        <v>1147</v>
      </c>
      <c r="E968" s="2" t="n">
        <v>419</v>
      </c>
      <c r="F968" s="2" t="n">
        <v>24</v>
      </c>
      <c r="G968" s="2" t="n">
        <v>1526</v>
      </c>
      <c r="H968" s="2" t="n">
        <v>3</v>
      </c>
      <c r="I968" s="3" t="n">
        <v>242.37</v>
      </c>
      <c r="J968" s="3" t="n">
        <v>1124.34</v>
      </c>
      <c r="K968" s="3" t="n">
        <v>1485.22</v>
      </c>
      <c r="L968" s="3" t="n">
        <v>644.75</v>
      </c>
      <c r="M968" s="2" t="n">
        <v>1.4</v>
      </c>
      <c r="N968" s="2" t="s">
        <v>25</v>
      </c>
      <c r="O968" s="4" t="n">
        <f aca="false">VLOOKUP(F968,DIM_SERVICO!$A$2:$D$151,4,FALSE())</f>
        <v>1124.34</v>
      </c>
      <c r="P968" s="4" t="n">
        <f aca="false">VLOOKUP(E968,DIM_PECA!$A$2:$F$501,6,FALSE())</f>
        <v>175.3</v>
      </c>
      <c r="Q968" s="4" t="n">
        <f aca="false">VLOOKUP(E968,DIM_PECA!$A$2:$F$501,5,FALSE())</f>
        <v>80.79</v>
      </c>
      <c r="R968" s="4" t="n">
        <f aca="false">H968*P968</f>
        <v>525.9</v>
      </c>
      <c r="S968" s="4" t="n">
        <f aca="false">O968*M968</f>
        <v>1574.076</v>
      </c>
      <c r="T968" s="4" t="n">
        <f aca="false">R968+S968</f>
        <v>2099.976</v>
      </c>
      <c r="U968" s="4" t="n">
        <f aca="false">T968-K968</f>
        <v>614.756</v>
      </c>
      <c r="V968" s="4" t="n">
        <f aca="false">R968+S968-U968</f>
        <v>1485.22</v>
      </c>
      <c r="W968" s="5" t="str">
        <f aca="false">IF(ROUND(V968-K968,2)=0,"OK","ERRO")</f>
        <v>OK</v>
      </c>
      <c r="X968" s="5" t="str">
        <f aca="false">VLOOKUP(F968,DIM_SERVICO!$A$2:$D$151,3,FALSE())</f>
        <v>Elétrica</v>
      </c>
    </row>
    <row r="969" customFormat="false" ht="15" hidden="false" customHeight="false" outlineLevel="0" collapsed="false">
      <c r="A969" s="6" t="n">
        <v>968</v>
      </c>
      <c r="B969" s="6" t="n">
        <v>428</v>
      </c>
      <c r="C969" s="6" t="n">
        <v>796</v>
      </c>
      <c r="D969" s="6" t="n">
        <v>415</v>
      </c>
      <c r="E969" s="6" t="n">
        <v>441</v>
      </c>
      <c r="F969" s="6" t="n">
        <v>13</v>
      </c>
      <c r="G969" s="6" t="n">
        <v>362</v>
      </c>
      <c r="H969" s="6" t="n">
        <v>1</v>
      </c>
      <c r="I969" s="7" t="n">
        <v>114</v>
      </c>
      <c r="J969" s="7" t="n">
        <v>1546.25</v>
      </c>
      <c r="K969" s="7" t="n">
        <v>1703.81</v>
      </c>
      <c r="L969" s="7" t="n">
        <v>865.47</v>
      </c>
      <c r="M969" s="6" t="n">
        <v>6.7</v>
      </c>
      <c r="N969" s="6" t="s">
        <v>24</v>
      </c>
      <c r="O969" s="8" t="n">
        <f aca="false">VLOOKUP(F969,DIM_SERVICO!$A$2:$D$151,4,FALSE())</f>
        <v>1546.25</v>
      </c>
      <c r="P969" s="8" t="n">
        <f aca="false">VLOOKUP(E969,DIM_PECA!$A$2:$F$501,6,FALSE())</f>
        <v>157.56</v>
      </c>
      <c r="Q969" s="8" t="n">
        <f aca="false">VLOOKUP(E969,DIM_PECA!$A$2:$F$501,5,FALSE())</f>
        <v>114</v>
      </c>
      <c r="R969" s="8" t="n">
        <f aca="false">H969*P969</f>
        <v>157.56</v>
      </c>
      <c r="S969" s="8" t="n">
        <f aca="false">O969*M969</f>
        <v>10359.875</v>
      </c>
      <c r="T969" s="8" t="n">
        <f aca="false">R969+S969</f>
        <v>10517.435</v>
      </c>
      <c r="U969" s="8" t="n">
        <f aca="false">T969-K969</f>
        <v>8813.625</v>
      </c>
      <c r="V969" s="8" t="n">
        <f aca="false">R969+S969-U969</f>
        <v>1703.81</v>
      </c>
      <c r="W969" s="9" t="str">
        <f aca="false">IF(ROUND(V969-K969,2)=0,"OK","ERRO")</f>
        <v>OK</v>
      </c>
      <c r="X969" s="9" t="str">
        <f aca="false">VLOOKUP(F969,DIM_SERVICO!$A$2:$D$151,3,FALSE())</f>
        <v>Diagnóstico</v>
      </c>
    </row>
    <row r="970" customFormat="false" ht="15" hidden="false" customHeight="false" outlineLevel="0" collapsed="false">
      <c r="A970" s="2" t="n">
        <v>969</v>
      </c>
      <c r="B970" s="2" t="n">
        <v>398</v>
      </c>
      <c r="C970" s="2" t="n">
        <v>394</v>
      </c>
      <c r="D970" s="2" t="n">
        <v>750</v>
      </c>
      <c r="E970" s="2" t="n">
        <v>100</v>
      </c>
      <c r="F970" s="2" t="n">
        <v>122</v>
      </c>
      <c r="G970" s="2" t="n">
        <v>275</v>
      </c>
      <c r="H970" s="2" t="n">
        <v>3</v>
      </c>
      <c r="I970" s="3" t="n">
        <v>2026.65</v>
      </c>
      <c r="J970" s="3" t="n">
        <v>1850.29</v>
      </c>
      <c r="K970" s="3" t="n">
        <v>5315.17</v>
      </c>
      <c r="L970" s="3" t="n">
        <v>2599.02</v>
      </c>
      <c r="M970" s="2" t="n">
        <v>7.4</v>
      </c>
      <c r="N970" s="2" t="s">
        <v>24</v>
      </c>
      <c r="O970" s="4" t="n">
        <f aca="false">VLOOKUP(F970,DIM_SERVICO!$A$2:$D$151,4,FALSE())</f>
        <v>1850.29</v>
      </c>
      <c r="P970" s="4" t="n">
        <f aca="false">VLOOKUP(E970,DIM_PECA!$A$2:$F$501,6,FALSE())</f>
        <v>1351.82</v>
      </c>
      <c r="Q970" s="4" t="n">
        <f aca="false">VLOOKUP(E970,DIM_PECA!$A$2:$F$501,5,FALSE())</f>
        <v>675.55</v>
      </c>
      <c r="R970" s="4" t="n">
        <f aca="false">H970*P970</f>
        <v>4055.46</v>
      </c>
      <c r="S970" s="4" t="n">
        <f aca="false">O970*M970</f>
        <v>13692.146</v>
      </c>
      <c r="T970" s="4" t="n">
        <f aca="false">R970+S970</f>
        <v>17747.606</v>
      </c>
      <c r="U970" s="4" t="n">
        <f aca="false">T970-K970</f>
        <v>12432.436</v>
      </c>
      <c r="V970" s="4" t="n">
        <f aca="false">R970+S970-U970</f>
        <v>5315.17</v>
      </c>
      <c r="W970" s="5" t="str">
        <f aca="false">IF(ROUND(V970-K970,2)=0,"OK","ERRO")</f>
        <v>OK</v>
      </c>
      <c r="X970" s="5" t="str">
        <f aca="false">VLOOKUP(F970,DIM_SERVICO!$A$2:$D$151,3,FALSE())</f>
        <v>Freios</v>
      </c>
    </row>
    <row r="971" customFormat="false" ht="15" hidden="false" customHeight="false" outlineLevel="0" collapsed="false">
      <c r="A971" s="6" t="n">
        <v>970</v>
      </c>
      <c r="B971" s="6" t="n">
        <v>951</v>
      </c>
      <c r="C971" s="6" t="n">
        <v>1068</v>
      </c>
      <c r="D971" s="6" t="n">
        <v>60</v>
      </c>
      <c r="E971" s="6" t="n">
        <v>381</v>
      </c>
      <c r="F971" s="6" t="n">
        <v>53</v>
      </c>
      <c r="G971" s="6" t="n">
        <v>1546</v>
      </c>
      <c r="H971" s="6" t="n">
        <v>1</v>
      </c>
      <c r="I971" s="7" t="n">
        <v>1084.63</v>
      </c>
      <c r="J971" s="7" t="n">
        <v>955.09</v>
      </c>
      <c r="K971" s="7" t="n">
        <v>3029.41</v>
      </c>
      <c r="L971" s="7" t="n">
        <v>1581.04</v>
      </c>
      <c r="M971" s="6" t="n">
        <v>3.2</v>
      </c>
      <c r="N971" s="6" t="s">
        <v>24</v>
      </c>
      <c r="O971" s="8" t="n">
        <f aca="false">VLOOKUP(F971,DIM_SERVICO!$A$2:$D$151,4,FALSE())</f>
        <v>955.09</v>
      </c>
      <c r="P971" s="8" t="n">
        <f aca="false">VLOOKUP(E971,DIM_PECA!$A$2:$F$501,6,FALSE())</f>
        <v>2074.32</v>
      </c>
      <c r="Q971" s="8" t="n">
        <f aca="false">VLOOKUP(E971,DIM_PECA!$A$2:$F$501,5,FALSE())</f>
        <v>1084.63</v>
      </c>
      <c r="R971" s="8" t="n">
        <f aca="false">H971*P971</f>
        <v>2074.32</v>
      </c>
      <c r="S971" s="8" t="n">
        <f aca="false">O971*M971</f>
        <v>3056.288</v>
      </c>
      <c r="T971" s="8" t="n">
        <f aca="false">R971+S971</f>
        <v>5130.608</v>
      </c>
      <c r="U971" s="8" t="n">
        <f aca="false">T971-K971</f>
        <v>2101.198</v>
      </c>
      <c r="V971" s="8" t="n">
        <f aca="false">R971+S971-U971</f>
        <v>3029.41</v>
      </c>
      <c r="W971" s="9" t="str">
        <f aca="false">IF(ROUND(V971-K971,2)=0,"OK","ERRO")</f>
        <v>OK</v>
      </c>
      <c r="X971" s="9" t="str">
        <f aca="false">VLOOKUP(F971,DIM_SERVICO!$A$2:$D$151,3,FALSE())</f>
        <v>Motor</v>
      </c>
    </row>
    <row r="972" customFormat="false" ht="15" hidden="false" customHeight="false" outlineLevel="0" collapsed="false">
      <c r="A972" s="2" t="n">
        <v>971</v>
      </c>
      <c r="B972" s="2" t="n">
        <v>1009</v>
      </c>
      <c r="C972" s="2" t="n">
        <v>51</v>
      </c>
      <c r="D972" s="2" t="n">
        <v>672</v>
      </c>
      <c r="E972" s="2" t="n">
        <v>19</v>
      </c>
      <c r="F972" s="2" t="n">
        <v>99</v>
      </c>
      <c r="G972" s="2" t="n">
        <v>1603</v>
      </c>
      <c r="H972" s="2" t="n">
        <v>4</v>
      </c>
      <c r="I972" s="3" t="n">
        <v>1180.88</v>
      </c>
      <c r="J972" s="3" t="n">
        <v>563.92</v>
      </c>
      <c r="K972" s="3" t="n">
        <v>2729.93</v>
      </c>
      <c r="L972" s="3" t="n">
        <v>1318.43</v>
      </c>
      <c r="M972" s="2" t="n">
        <v>11.2</v>
      </c>
      <c r="N972" s="2" t="s">
        <v>27</v>
      </c>
      <c r="O972" s="4" t="n">
        <f aca="false">VLOOKUP(F972,DIM_SERVICO!$A$2:$D$151,4,FALSE())</f>
        <v>563.92</v>
      </c>
      <c r="P972" s="4" t="n">
        <f aca="false">VLOOKUP(E972,DIM_PECA!$A$2:$F$501,6,FALSE())</f>
        <v>600.85</v>
      </c>
      <c r="Q972" s="4" t="n">
        <f aca="false">VLOOKUP(E972,DIM_PECA!$A$2:$F$501,5,FALSE())</f>
        <v>295.22</v>
      </c>
      <c r="R972" s="4" t="n">
        <f aca="false">H972*P972</f>
        <v>2403.4</v>
      </c>
      <c r="S972" s="4" t="n">
        <f aca="false">O972*M972</f>
        <v>6315.904</v>
      </c>
      <c r="T972" s="4" t="n">
        <f aca="false">R972+S972</f>
        <v>8719.304</v>
      </c>
      <c r="U972" s="4" t="n">
        <f aca="false">T972-K972</f>
        <v>5989.374</v>
      </c>
      <c r="V972" s="4" t="n">
        <f aca="false">R972+S972-U972</f>
        <v>2729.93</v>
      </c>
      <c r="W972" s="5" t="str">
        <f aca="false">IF(ROUND(V972-K972,2)=0,"OK","ERRO")</f>
        <v>OK</v>
      </c>
      <c r="X972" s="5" t="str">
        <f aca="false">VLOOKUP(F972,DIM_SERVICO!$A$2:$D$151,3,FALSE())</f>
        <v>Funilaria</v>
      </c>
    </row>
    <row r="973" customFormat="false" ht="15" hidden="false" customHeight="false" outlineLevel="0" collapsed="false">
      <c r="A973" s="6" t="n">
        <v>972</v>
      </c>
      <c r="B973" s="6" t="n">
        <v>491</v>
      </c>
      <c r="C973" s="6" t="n">
        <v>1386</v>
      </c>
      <c r="D973" s="6" t="n">
        <v>645</v>
      </c>
      <c r="E973" s="6" t="n">
        <v>82</v>
      </c>
      <c r="F973" s="6" t="n">
        <v>40</v>
      </c>
      <c r="G973" s="6" t="n">
        <v>1180</v>
      </c>
      <c r="H973" s="6" t="n">
        <v>2</v>
      </c>
      <c r="I973" s="7" t="n">
        <v>178</v>
      </c>
      <c r="J973" s="7" t="n">
        <v>1973.77</v>
      </c>
      <c r="K973" s="7" t="n">
        <v>2278.43</v>
      </c>
      <c r="L973" s="7" t="n">
        <v>1298.55</v>
      </c>
      <c r="M973" s="6" t="n">
        <v>5</v>
      </c>
      <c r="N973" s="6" t="s">
        <v>26</v>
      </c>
      <c r="O973" s="8" t="n">
        <f aca="false">VLOOKUP(F973,DIM_SERVICO!$A$2:$D$151,4,FALSE())</f>
        <v>1973.77</v>
      </c>
      <c r="P973" s="8" t="n">
        <f aca="false">VLOOKUP(E973,DIM_PECA!$A$2:$F$501,6,FALSE())</f>
        <v>152.33</v>
      </c>
      <c r="Q973" s="8" t="n">
        <f aca="false">VLOOKUP(E973,DIM_PECA!$A$2:$F$501,5,FALSE())</f>
        <v>89</v>
      </c>
      <c r="R973" s="8" t="n">
        <f aca="false">H973*P973</f>
        <v>304.66</v>
      </c>
      <c r="S973" s="8" t="n">
        <f aca="false">O973*M973</f>
        <v>9868.85</v>
      </c>
      <c r="T973" s="8" t="n">
        <f aca="false">R973+S973</f>
        <v>10173.51</v>
      </c>
      <c r="U973" s="8" t="n">
        <f aca="false">T973-K973</f>
        <v>7895.08</v>
      </c>
      <c r="V973" s="8" t="n">
        <f aca="false">R973+S973-U973</f>
        <v>2278.43</v>
      </c>
      <c r="W973" s="9" t="str">
        <f aca="false">IF(ROUND(V973-K973,2)=0,"OK","ERRO")</f>
        <v>OK</v>
      </c>
      <c r="X973" s="9" t="str">
        <f aca="false">VLOOKUP(F973,DIM_SERVICO!$A$2:$D$151,3,FALSE())</f>
        <v>Elétrica</v>
      </c>
    </row>
    <row r="974" customFormat="false" ht="15" hidden="false" customHeight="false" outlineLevel="0" collapsed="false">
      <c r="A974" s="2" t="n">
        <v>973</v>
      </c>
      <c r="B974" s="2" t="n">
        <v>576</v>
      </c>
      <c r="C974" s="2" t="n">
        <v>1442</v>
      </c>
      <c r="D974" s="2" t="n">
        <v>503</v>
      </c>
      <c r="E974" s="2" t="n">
        <v>254</v>
      </c>
      <c r="F974" s="2" t="n">
        <v>97</v>
      </c>
      <c r="G974" s="2" t="n">
        <v>456</v>
      </c>
      <c r="H974" s="2" t="n">
        <v>1</v>
      </c>
      <c r="I974" s="3" t="n">
        <v>62.25</v>
      </c>
      <c r="J974" s="3" t="n">
        <v>1095.32</v>
      </c>
      <c r="K974" s="3" t="n">
        <v>1205.67</v>
      </c>
      <c r="L974" s="3" t="n">
        <v>628.2</v>
      </c>
      <c r="M974" s="2" t="n">
        <v>4.8</v>
      </c>
      <c r="N974" s="2" t="s">
        <v>24</v>
      </c>
      <c r="O974" s="4" t="n">
        <f aca="false">VLOOKUP(F974,DIM_SERVICO!$A$2:$D$151,4,FALSE())</f>
        <v>1095.32</v>
      </c>
      <c r="P974" s="4" t="n">
        <f aca="false">VLOOKUP(E974,DIM_PECA!$A$2:$F$501,6,FALSE())</f>
        <v>134.96</v>
      </c>
      <c r="Q974" s="4" t="n">
        <f aca="false">VLOOKUP(E974,DIM_PECA!$A$2:$F$501,5,FALSE())</f>
        <v>62.25</v>
      </c>
      <c r="R974" s="4" t="n">
        <f aca="false">H974*P974</f>
        <v>134.96</v>
      </c>
      <c r="S974" s="4" t="n">
        <f aca="false">O974*M974</f>
        <v>5257.536</v>
      </c>
      <c r="T974" s="4" t="n">
        <f aca="false">R974+S974</f>
        <v>5392.496</v>
      </c>
      <c r="U974" s="4" t="n">
        <f aca="false">T974-K974</f>
        <v>4186.826</v>
      </c>
      <c r="V974" s="4" t="n">
        <f aca="false">R974+S974-U974</f>
        <v>1205.67</v>
      </c>
      <c r="W974" s="5" t="str">
        <f aca="false">IF(ROUND(V974-K974,2)=0,"OK","ERRO")</f>
        <v>OK</v>
      </c>
      <c r="X974" s="5" t="str">
        <f aca="false">VLOOKUP(F974,DIM_SERVICO!$A$2:$D$151,3,FALSE())</f>
        <v>Pintura</v>
      </c>
    </row>
    <row r="975" customFormat="false" ht="15" hidden="false" customHeight="false" outlineLevel="0" collapsed="false">
      <c r="A975" s="6" t="n">
        <v>974</v>
      </c>
      <c r="B975" s="6" t="n">
        <v>1322</v>
      </c>
      <c r="C975" s="6" t="n">
        <v>1219</v>
      </c>
      <c r="D975" s="6" t="n">
        <v>96</v>
      </c>
      <c r="E975" s="6" t="n">
        <v>106</v>
      </c>
      <c r="F975" s="6" t="n">
        <v>99</v>
      </c>
      <c r="G975" s="6" t="n">
        <v>693</v>
      </c>
      <c r="H975" s="6" t="n">
        <v>2</v>
      </c>
      <c r="I975" s="7" t="n">
        <v>1828.96</v>
      </c>
      <c r="J975" s="7" t="n">
        <v>563.92</v>
      </c>
      <c r="K975" s="7" t="n">
        <v>3775.84</v>
      </c>
      <c r="L975" s="7" t="n">
        <v>1636.83</v>
      </c>
      <c r="M975" s="6" t="n">
        <v>10.7</v>
      </c>
      <c r="N975" s="6" t="s">
        <v>26</v>
      </c>
      <c r="O975" s="8" t="n">
        <f aca="false">VLOOKUP(F975,DIM_SERVICO!$A$2:$D$151,4,FALSE())</f>
        <v>563.92</v>
      </c>
      <c r="P975" s="8" t="n">
        <f aca="false">VLOOKUP(E975,DIM_PECA!$A$2:$F$501,6,FALSE())</f>
        <v>1605.96</v>
      </c>
      <c r="Q975" s="8" t="n">
        <f aca="false">VLOOKUP(E975,DIM_PECA!$A$2:$F$501,5,FALSE())</f>
        <v>914.48</v>
      </c>
      <c r="R975" s="8" t="n">
        <f aca="false">H975*P975</f>
        <v>3211.92</v>
      </c>
      <c r="S975" s="8" t="n">
        <f aca="false">O975*M975</f>
        <v>6033.944</v>
      </c>
      <c r="T975" s="8" t="n">
        <f aca="false">R975+S975</f>
        <v>9245.864</v>
      </c>
      <c r="U975" s="8" t="n">
        <f aca="false">T975-K975</f>
        <v>5470.024</v>
      </c>
      <c r="V975" s="8" t="n">
        <f aca="false">R975+S975-U975</f>
        <v>3775.84</v>
      </c>
      <c r="W975" s="9" t="str">
        <f aca="false">IF(ROUND(V975-K975,2)=0,"OK","ERRO")</f>
        <v>OK</v>
      </c>
      <c r="X975" s="9" t="str">
        <f aca="false">VLOOKUP(F975,DIM_SERVICO!$A$2:$D$151,3,FALSE())</f>
        <v>Funilaria</v>
      </c>
    </row>
    <row r="976" customFormat="false" ht="15" hidden="false" customHeight="false" outlineLevel="0" collapsed="false">
      <c r="A976" s="2" t="n">
        <v>975</v>
      </c>
      <c r="B976" s="2" t="n">
        <v>1460</v>
      </c>
      <c r="C976" s="2" t="n">
        <v>325</v>
      </c>
      <c r="D976" s="2" t="n">
        <v>377</v>
      </c>
      <c r="E976" s="2" t="n">
        <v>226</v>
      </c>
      <c r="F976" s="2" t="n">
        <v>41</v>
      </c>
      <c r="G976" s="2" t="n">
        <v>524</v>
      </c>
      <c r="H976" s="2" t="n">
        <v>4</v>
      </c>
      <c r="I976" s="3" t="n">
        <v>4738.08</v>
      </c>
      <c r="J976" s="3" t="n">
        <v>1317.9</v>
      </c>
      <c r="K976" s="3" t="n">
        <v>7598</v>
      </c>
      <c r="L976" s="3" t="n">
        <v>2279.54</v>
      </c>
      <c r="M976" s="2" t="n">
        <v>9.1</v>
      </c>
      <c r="N976" s="2" t="s">
        <v>24</v>
      </c>
      <c r="O976" s="4" t="n">
        <f aca="false">VLOOKUP(F976,DIM_SERVICO!$A$2:$D$151,4,FALSE())</f>
        <v>1317.9</v>
      </c>
      <c r="P976" s="4" t="n">
        <f aca="false">VLOOKUP(E976,DIM_PECA!$A$2:$F$501,6,FALSE())</f>
        <v>1608.79</v>
      </c>
      <c r="Q976" s="4" t="n">
        <f aca="false">VLOOKUP(E976,DIM_PECA!$A$2:$F$501,5,FALSE())</f>
        <v>1184.52</v>
      </c>
      <c r="R976" s="4" t="n">
        <f aca="false">H976*P976</f>
        <v>6435.16</v>
      </c>
      <c r="S976" s="4" t="n">
        <f aca="false">O976*M976</f>
        <v>11992.89</v>
      </c>
      <c r="T976" s="4" t="n">
        <f aca="false">R976+S976</f>
        <v>18428.05</v>
      </c>
      <c r="U976" s="4" t="n">
        <f aca="false">T976-K976</f>
        <v>10830.05</v>
      </c>
      <c r="V976" s="4" t="n">
        <f aca="false">R976+S976-U976</f>
        <v>7598</v>
      </c>
      <c r="W976" s="5" t="str">
        <f aca="false">IF(ROUND(V976-K976,2)=0,"OK","ERRO")</f>
        <v>OK</v>
      </c>
      <c r="X976" s="5" t="str">
        <f aca="false">VLOOKUP(F976,DIM_SERVICO!$A$2:$D$151,3,FALSE())</f>
        <v>Motor</v>
      </c>
    </row>
    <row r="977" customFormat="false" ht="15" hidden="false" customHeight="false" outlineLevel="0" collapsed="false">
      <c r="A977" s="6" t="n">
        <v>976</v>
      </c>
      <c r="B977" s="6" t="n">
        <v>187</v>
      </c>
      <c r="C977" s="6" t="n">
        <v>258</v>
      </c>
      <c r="D977" s="6" t="n">
        <v>307</v>
      </c>
      <c r="E977" s="6" t="n">
        <v>210</v>
      </c>
      <c r="F977" s="6" t="n">
        <v>124</v>
      </c>
      <c r="G977" s="6" t="n">
        <v>799</v>
      </c>
      <c r="H977" s="6" t="n">
        <v>1</v>
      </c>
      <c r="I977" s="7" t="n">
        <v>797.78</v>
      </c>
      <c r="J977" s="7" t="n">
        <v>2049.22</v>
      </c>
      <c r="K977" s="7" t="n">
        <v>3079.7</v>
      </c>
      <c r="L977" s="7" t="n">
        <v>1440.05</v>
      </c>
      <c r="M977" s="6" t="n">
        <v>7.3</v>
      </c>
      <c r="N977" s="6" t="s">
        <v>24</v>
      </c>
      <c r="O977" s="8" t="n">
        <f aca="false">VLOOKUP(F977,DIM_SERVICO!$A$2:$D$151,4,FALSE())</f>
        <v>2049.22</v>
      </c>
      <c r="P977" s="8" t="n">
        <f aca="false">VLOOKUP(E977,DIM_PECA!$A$2:$F$501,6,FALSE())</f>
        <v>1093.33</v>
      </c>
      <c r="Q977" s="8" t="n">
        <f aca="false">VLOOKUP(E977,DIM_PECA!$A$2:$F$501,5,FALSE())</f>
        <v>797.78</v>
      </c>
      <c r="R977" s="8" t="n">
        <f aca="false">H977*P977</f>
        <v>1093.33</v>
      </c>
      <c r="S977" s="8" t="n">
        <f aca="false">O977*M977</f>
        <v>14959.306</v>
      </c>
      <c r="T977" s="8" t="n">
        <f aca="false">R977+S977</f>
        <v>16052.636</v>
      </c>
      <c r="U977" s="8" t="n">
        <f aca="false">T977-K977</f>
        <v>12972.936</v>
      </c>
      <c r="V977" s="8" t="n">
        <f aca="false">R977+S977-U977</f>
        <v>3079.7</v>
      </c>
      <c r="W977" s="9" t="str">
        <f aca="false">IF(ROUND(V977-K977,2)=0,"OK","ERRO")</f>
        <v>OK</v>
      </c>
      <c r="X977" s="9" t="str">
        <f aca="false">VLOOKUP(F977,DIM_SERVICO!$A$2:$D$151,3,FALSE())</f>
        <v>Freios</v>
      </c>
    </row>
    <row r="978" customFormat="false" ht="15" hidden="false" customHeight="false" outlineLevel="0" collapsed="false">
      <c r="A978" s="2" t="n">
        <v>977</v>
      </c>
      <c r="B978" s="2" t="n">
        <v>945</v>
      </c>
      <c r="C978" s="2" t="n">
        <v>569</v>
      </c>
      <c r="D978" s="2" t="n">
        <v>659</v>
      </c>
      <c r="E978" s="2" t="n">
        <v>385</v>
      </c>
      <c r="F978" s="2" t="n">
        <v>86</v>
      </c>
      <c r="G978" s="2" t="n">
        <v>341</v>
      </c>
      <c r="H978" s="2" t="n">
        <v>2</v>
      </c>
      <c r="I978" s="3" t="n">
        <v>1682.72</v>
      </c>
      <c r="J978" s="3" t="n">
        <v>147.26</v>
      </c>
      <c r="K978" s="3" t="n">
        <v>2512.76</v>
      </c>
      <c r="L978" s="3" t="n">
        <v>757.17</v>
      </c>
      <c r="M978" s="2" t="n">
        <v>8.5</v>
      </c>
      <c r="N978" s="2" t="s">
        <v>24</v>
      </c>
      <c r="O978" s="4" t="n">
        <f aca="false">VLOOKUP(F978,DIM_SERVICO!$A$2:$D$151,4,FALSE())</f>
        <v>147.26</v>
      </c>
      <c r="P978" s="4" t="n">
        <f aca="false">VLOOKUP(E978,DIM_PECA!$A$2:$F$501,6,FALSE())</f>
        <v>1182.75</v>
      </c>
      <c r="Q978" s="4" t="n">
        <f aca="false">VLOOKUP(E978,DIM_PECA!$A$2:$F$501,5,FALSE())</f>
        <v>841.36</v>
      </c>
      <c r="R978" s="4" t="n">
        <f aca="false">H978*P978</f>
        <v>2365.5</v>
      </c>
      <c r="S978" s="4" t="n">
        <f aca="false">O978*M978</f>
        <v>1251.71</v>
      </c>
      <c r="T978" s="4" t="n">
        <f aca="false">R978+S978</f>
        <v>3617.21</v>
      </c>
      <c r="U978" s="4" t="n">
        <f aca="false">T978-K978</f>
        <v>1104.45</v>
      </c>
      <c r="V978" s="4" t="n">
        <f aca="false">R978+S978-U978</f>
        <v>2512.76</v>
      </c>
      <c r="W978" s="5" t="str">
        <f aca="false">IF(ROUND(V978-K978,2)=0,"OK","ERRO")</f>
        <v>OK</v>
      </c>
      <c r="X978" s="5" t="str">
        <f aca="false">VLOOKUP(F978,DIM_SERVICO!$A$2:$D$151,3,FALSE())</f>
        <v>Suspensão</v>
      </c>
    </row>
    <row r="979" customFormat="false" ht="15" hidden="false" customHeight="false" outlineLevel="0" collapsed="false">
      <c r="A979" s="6" t="n">
        <v>978</v>
      </c>
      <c r="B979" s="6" t="n">
        <v>1333</v>
      </c>
      <c r="C979" s="6" t="n">
        <v>738</v>
      </c>
      <c r="D979" s="6" t="n">
        <v>1073</v>
      </c>
      <c r="E979" s="6" t="n">
        <v>401</v>
      </c>
      <c r="F979" s="6" t="n">
        <v>110</v>
      </c>
      <c r="G979" s="6" t="n">
        <v>534</v>
      </c>
      <c r="H979" s="6" t="n">
        <v>2</v>
      </c>
      <c r="I979" s="7" t="n">
        <v>685.9</v>
      </c>
      <c r="J979" s="7" t="n">
        <v>587.35</v>
      </c>
      <c r="K979" s="7" t="n">
        <v>1787.89</v>
      </c>
      <c r="L979" s="7" t="n">
        <v>862.47</v>
      </c>
      <c r="M979" s="6" t="n">
        <v>6.6</v>
      </c>
      <c r="N979" s="6" t="s">
        <v>24</v>
      </c>
      <c r="O979" s="8" t="n">
        <f aca="false">VLOOKUP(F979,DIM_SERVICO!$A$2:$D$151,4,FALSE())</f>
        <v>587.35</v>
      </c>
      <c r="P979" s="8" t="n">
        <f aca="false">VLOOKUP(E979,DIM_PECA!$A$2:$F$501,6,FALSE())</f>
        <v>600.27</v>
      </c>
      <c r="Q979" s="8" t="n">
        <f aca="false">VLOOKUP(E979,DIM_PECA!$A$2:$F$501,5,FALSE())</f>
        <v>342.95</v>
      </c>
      <c r="R979" s="8" t="n">
        <f aca="false">H979*P979</f>
        <v>1200.54</v>
      </c>
      <c r="S979" s="8" t="n">
        <f aca="false">O979*M979</f>
        <v>3876.51</v>
      </c>
      <c r="T979" s="8" t="n">
        <f aca="false">R979+S979</f>
        <v>5077.05</v>
      </c>
      <c r="U979" s="8" t="n">
        <f aca="false">T979-K979</f>
        <v>3289.16</v>
      </c>
      <c r="V979" s="8" t="n">
        <f aca="false">R979+S979-U979</f>
        <v>1787.89</v>
      </c>
      <c r="W979" s="9" t="str">
        <f aca="false">IF(ROUND(V979-K979,2)=0,"OK","ERRO")</f>
        <v>OK</v>
      </c>
      <c r="X979" s="9" t="str">
        <f aca="false">VLOOKUP(F979,DIM_SERVICO!$A$2:$D$151,3,FALSE())</f>
        <v>Funilaria</v>
      </c>
    </row>
    <row r="980" customFormat="false" ht="15" hidden="false" customHeight="false" outlineLevel="0" collapsed="false">
      <c r="A980" s="2" t="n">
        <v>979</v>
      </c>
      <c r="B980" s="2" t="n">
        <v>359</v>
      </c>
      <c r="C980" s="2" t="n">
        <v>769</v>
      </c>
      <c r="D980" s="2" t="n">
        <v>488</v>
      </c>
      <c r="E980" s="2" t="n">
        <v>118</v>
      </c>
      <c r="F980" s="2" t="n">
        <v>124</v>
      </c>
      <c r="G980" s="2" t="n">
        <v>171</v>
      </c>
      <c r="H980" s="2" t="n">
        <v>4</v>
      </c>
      <c r="I980" s="3" t="n">
        <v>786.72</v>
      </c>
      <c r="J980" s="3" t="n">
        <v>2049.22</v>
      </c>
      <c r="K980" s="3" t="n">
        <v>3377.58</v>
      </c>
      <c r="L980" s="3" t="n">
        <v>1588.95</v>
      </c>
      <c r="M980" s="2" t="n">
        <v>3.8</v>
      </c>
      <c r="N980" s="2" t="s">
        <v>24</v>
      </c>
      <c r="O980" s="4" t="n">
        <f aca="false">VLOOKUP(F980,DIM_SERVICO!$A$2:$D$151,4,FALSE())</f>
        <v>2049.22</v>
      </c>
      <c r="P980" s="4" t="n">
        <f aca="false">VLOOKUP(E980,DIM_PECA!$A$2:$F$501,6,FALSE())</f>
        <v>332.09</v>
      </c>
      <c r="Q980" s="4" t="n">
        <f aca="false">VLOOKUP(E980,DIM_PECA!$A$2:$F$501,5,FALSE())</f>
        <v>196.68</v>
      </c>
      <c r="R980" s="4" t="n">
        <f aca="false">H980*P980</f>
        <v>1328.36</v>
      </c>
      <c r="S980" s="4" t="n">
        <f aca="false">O980*M980</f>
        <v>7787.036</v>
      </c>
      <c r="T980" s="4" t="n">
        <f aca="false">R980+S980</f>
        <v>9115.396</v>
      </c>
      <c r="U980" s="4" t="n">
        <f aca="false">T980-K980</f>
        <v>5737.816</v>
      </c>
      <c r="V980" s="4" t="n">
        <f aca="false">R980+S980-U980</f>
        <v>3377.58</v>
      </c>
      <c r="W980" s="5" t="str">
        <f aca="false">IF(ROUND(V980-K980,2)=0,"OK","ERRO")</f>
        <v>OK</v>
      </c>
      <c r="X980" s="5" t="str">
        <f aca="false">VLOOKUP(F980,DIM_SERVICO!$A$2:$D$151,3,FALSE())</f>
        <v>Freios</v>
      </c>
    </row>
    <row r="981" customFormat="false" ht="15" hidden="false" customHeight="false" outlineLevel="0" collapsed="false">
      <c r="A981" s="6" t="n">
        <v>980</v>
      </c>
      <c r="B981" s="6" t="n">
        <v>1203</v>
      </c>
      <c r="C981" s="6" t="n">
        <v>1048</v>
      </c>
      <c r="D981" s="6" t="n">
        <v>1111</v>
      </c>
      <c r="E981" s="6" t="n">
        <v>249</v>
      </c>
      <c r="F981" s="6" t="n">
        <v>57</v>
      </c>
      <c r="G981" s="6" t="n">
        <v>142</v>
      </c>
      <c r="H981" s="6" t="n">
        <v>1</v>
      </c>
      <c r="I981" s="7" t="n">
        <v>1043.6</v>
      </c>
      <c r="J981" s="7" t="n">
        <v>719.54</v>
      </c>
      <c r="K981" s="7" t="n">
        <v>2894.02</v>
      </c>
      <c r="L981" s="7" t="n">
        <v>1591.91</v>
      </c>
      <c r="M981" s="6" t="n">
        <v>4.9</v>
      </c>
      <c r="N981" s="6" t="s">
        <v>24</v>
      </c>
      <c r="O981" s="8" t="n">
        <f aca="false">VLOOKUP(F981,DIM_SERVICO!$A$2:$D$151,4,FALSE())</f>
        <v>719.54</v>
      </c>
      <c r="P981" s="8" t="n">
        <f aca="false">VLOOKUP(E981,DIM_PECA!$A$2:$F$501,6,FALSE())</f>
        <v>2233.54</v>
      </c>
      <c r="Q981" s="8" t="n">
        <f aca="false">VLOOKUP(E981,DIM_PECA!$A$2:$F$501,5,FALSE())</f>
        <v>1043.6</v>
      </c>
      <c r="R981" s="8" t="n">
        <f aca="false">H981*P981</f>
        <v>2233.54</v>
      </c>
      <c r="S981" s="8" t="n">
        <f aca="false">O981*M981</f>
        <v>3525.746</v>
      </c>
      <c r="T981" s="8" t="n">
        <f aca="false">R981+S981</f>
        <v>5759.286</v>
      </c>
      <c r="U981" s="8" t="n">
        <f aca="false">T981-K981</f>
        <v>2865.266</v>
      </c>
      <c r="V981" s="8" t="n">
        <f aca="false">R981+S981-U981</f>
        <v>2894.02</v>
      </c>
      <c r="W981" s="9" t="str">
        <f aca="false">IF(ROUND(V981-K981,2)=0,"OK","ERRO")</f>
        <v>OK</v>
      </c>
      <c r="X981" s="9" t="str">
        <f aca="false">VLOOKUP(F981,DIM_SERVICO!$A$2:$D$151,3,FALSE())</f>
        <v>Diagnóstico</v>
      </c>
    </row>
    <row r="982" customFormat="false" ht="15" hidden="false" customHeight="false" outlineLevel="0" collapsed="false">
      <c r="A982" s="2" t="n">
        <v>981</v>
      </c>
      <c r="B982" s="2" t="n">
        <v>534</v>
      </c>
      <c r="C982" s="2" t="n">
        <v>703</v>
      </c>
      <c r="D982" s="2" t="n">
        <v>425</v>
      </c>
      <c r="E982" s="2" t="n">
        <v>455</v>
      </c>
      <c r="F982" s="2" t="n">
        <v>145</v>
      </c>
      <c r="G982" s="2" t="n">
        <v>1235</v>
      </c>
      <c r="H982" s="2" t="n">
        <v>3</v>
      </c>
      <c r="I982" s="3" t="n">
        <v>1548.15</v>
      </c>
      <c r="J982" s="3" t="n">
        <v>392.14</v>
      </c>
      <c r="K982" s="3" t="n">
        <v>3572.71</v>
      </c>
      <c r="L982" s="3" t="n">
        <v>1814.61</v>
      </c>
      <c r="M982" s="2" t="n">
        <v>9.4</v>
      </c>
      <c r="N982" s="2" t="s">
        <v>24</v>
      </c>
      <c r="O982" s="4" t="n">
        <f aca="false">VLOOKUP(F982,DIM_SERVICO!$A$2:$D$151,4,FALSE())</f>
        <v>392.14</v>
      </c>
      <c r="P982" s="4" t="n">
        <f aca="false">VLOOKUP(E982,DIM_PECA!$A$2:$F$501,6,FALSE())</f>
        <v>1060.19</v>
      </c>
      <c r="Q982" s="4" t="n">
        <f aca="false">VLOOKUP(E982,DIM_PECA!$A$2:$F$501,5,FALSE())</f>
        <v>516.05</v>
      </c>
      <c r="R982" s="4" t="n">
        <f aca="false">H982*P982</f>
        <v>3180.57</v>
      </c>
      <c r="S982" s="4" t="n">
        <f aca="false">O982*M982</f>
        <v>3686.116</v>
      </c>
      <c r="T982" s="4" t="n">
        <f aca="false">R982+S982</f>
        <v>6866.686</v>
      </c>
      <c r="U982" s="4" t="n">
        <f aca="false">T982-K982</f>
        <v>3293.976</v>
      </c>
      <c r="V982" s="4" t="n">
        <f aca="false">R982+S982-U982</f>
        <v>3572.71</v>
      </c>
      <c r="W982" s="5" t="str">
        <f aca="false">IF(ROUND(V982-K982,2)=0,"OK","ERRO")</f>
        <v>OK</v>
      </c>
      <c r="X982" s="5" t="str">
        <f aca="false">VLOOKUP(F982,DIM_SERVICO!$A$2:$D$151,3,FALSE())</f>
        <v>Revisão</v>
      </c>
    </row>
    <row r="983" customFormat="false" ht="15" hidden="false" customHeight="false" outlineLevel="0" collapsed="false">
      <c r="A983" s="6" t="n">
        <v>982</v>
      </c>
      <c r="B983" s="6" t="n">
        <v>56</v>
      </c>
      <c r="C983" s="6" t="n">
        <v>1310</v>
      </c>
      <c r="D983" s="6" t="n">
        <v>575</v>
      </c>
      <c r="E983" s="6" t="n">
        <v>144</v>
      </c>
      <c r="F983" s="6" t="n">
        <v>47</v>
      </c>
      <c r="G983" s="6" t="n">
        <v>523</v>
      </c>
      <c r="H983" s="6" t="n">
        <v>1</v>
      </c>
      <c r="I983" s="7" t="n">
        <v>74.74</v>
      </c>
      <c r="J983" s="7" t="n">
        <v>399.81</v>
      </c>
      <c r="K983" s="7" t="n">
        <v>555.31</v>
      </c>
      <c r="L983" s="7" t="n">
        <v>312.87</v>
      </c>
      <c r="M983" s="6" t="n">
        <v>9</v>
      </c>
      <c r="N983" s="6" t="s">
        <v>27</v>
      </c>
      <c r="O983" s="8" t="n">
        <f aca="false">VLOOKUP(F983,DIM_SERVICO!$A$2:$D$151,4,FALSE())</f>
        <v>399.81</v>
      </c>
      <c r="P983" s="8" t="n">
        <f aca="false">VLOOKUP(E983,DIM_PECA!$A$2:$F$501,6,FALSE())</f>
        <v>155.5</v>
      </c>
      <c r="Q983" s="8" t="n">
        <f aca="false">VLOOKUP(E983,DIM_PECA!$A$2:$F$501,5,FALSE())</f>
        <v>74.74</v>
      </c>
      <c r="R983" s="8" t="n">
        <f aca="false">H983*P983</f>
        <v>155.5</v>
      </c>
      <c r="S983" s="8" t="n">
        <f aca="false">O983*M983</f>
        <v>3598.29</v>
      </c>
      <c r="T983" s="8" t="n">
        <f aca="false">R983+S983</f>
        <v>3753.79</v>
      </c>
      <c r="U983" s="8" t="n">
        <f aca="false">T983-K983</f>
        <v>3198.48</v>
      </c>
      <c r="V983" s="8" t="n">
        <f aca="false">R983+S983-U983</f>
        <v>555.31</v>
      </c>
      <c r="W983" s="9" t="str">
        <f aca="false">IF(ROUND(V983-K983,2)=0,"OK","ERRO")</f>
        <v>OK</v>
      </c>
      <c r="X983" s="9" t="str">
        <f aca="false">VLOOKUP(F983,DIM_SERVICO!$A$2:$D$151,3,FALSE())</f>
        <v>Funilaria</v>
      </c>
    </row>
    <row r="984" customFormat="false" ht="15" hidden="false" customHeight="false" outlineLevel="0" collapsed="false">
      <c r="A984" s="2" t="n">
        <v>983</v>
      </c>
      <c r="B984" s="2" t="n">
        <v>399</v>
      </c>
      <c r="C984" s="2" t="n">
        <v>438</v>
      </c>
      <c r="D984" s="2" t="n">
        <v>1147</v>
      </c>
      <c r="E984" s="2" t="n">
        <v>239</v>
      </c>
      <c r="F984" s="2" t="n">
        <v>16</v>
      </c>
      <c r="G984" s="2" t="n">
        <v>1442</v>
      </c>
      <c r="H984" s="2" t="n">
        <v>4</v>
      </c>
      <c r="I984" s="3" t="n">
        <v>867.68</v>
      </c>
      <c r="J984" s="3" t="n">
        <v>266.12</v>
      </c>
      <c r="K984" s="3" t="n">
        <v>1563.41</v>
      </c>
      <c r="L984" s="3" t="n">
        <v>573.42</v>
      </c>
      <c r="M984" s="2" t="n">
        <v>9.8</v>
      </c>
      <c r="N984" s="2" t="s">
        <v>25</v>
      </c>
      <c r="O984" s="4" t="n">
        <f aca="false">VLOOKUP(F984,DIM_SERVICO!$A$2:$D$151,4,FALSE())</f>
        <v>266.12</v>
      </c>
      <c r="P984" s="4" t="n">
        <f aca="false">VLOOKUP(E984,DIM_PECA!$A$2:$F$501,6,FALSE())</f>
        <v>367.75</v>
      </c>
      <c r="Q984" s="4" t="n">
        <f aca="false">VLOOKUP(E984,DIM_PECA!$A$2:$F$501,5,FALSE())</f>
        <v>216.92</v>
      </c>
      <c r="R984" s="4" t="n">
        <f aca="false">H984*P984</f>
        <v>1471</v>
      </c>
      <c r="S984" s="4" t="n">
        <f aca="false">O984*M984</f>
        <v>2607.976</v>
      </c>
      <c r="T984" s="4" t="n">
        <f aca="false">R984+S984</f>
        <v>4078.976</v>
      </c>
      <c r="U984" s="4" t="n">
        <f aca="false">T984-K984</f>
        <v>2515.566</v>
      </c>
      <c r="V984" s="4" t="n">
        <f aca="false">R984+S984-U984</f>
        <v>1563.41</v>
      </c>
      <c r="W984" s="5" t="str">
        <f aca="false">IF(ROUND(V984-K984,2)=0,"OK","ERRO")</f>
        <v>OK</v>
      </c>
      <c r="X984" s="5" t="str">
        <f aca="false">VLOOKUP(F984,DIM_SERVICO!$A$2:$D$151,3,FALSE())</f>
        <v>Funilaria</v>
      </c>
    </row>
    <row r="985" customFormat="false" ht="15" hidden="false" customHeight="false" outlineLevel="0" collapsed="false">
      <c r="A985" s="6" t="n">
        <v>984</v>
      </c>
      <c r="B985" s="6" t="n">
        <v>321</v>
      </c>
      <c r="C985" s="6" t="n">
        <v>494</v>
      </c>
      <c r="D985" s="6" t="n">
        <v>611</v>
      </c>
      <c r="E985" s="6" t="n">
        <v>270</v>
      </c>
      <c r="F985" s="6" t="n">
        <v>95</v>
      </c>
      <c r="G985" s="6" t="n">
        <v>722</v>
      </c>
      <c r="H985" s="6" t="n">
        <v>2</v>
      </c>
      <c r="I985" s="7" t="n">
        <v>2137.1</v>
      </c>
      <c r="J985" s="7" t="n">
        <v>1029.22</v>
      </c>
      <c r="K985" s="7" t="n">
        <v>4858.62</v>
      </c>
      <c r="L985" s="7" t="n">
        <v>2307.6</v>
      </c>
      <c r="M985" s="6" t="n">
        <v>7.8</v>
      </c>
      <c r="N985" s="6" t="s">
        <v>24</v>
      </c>
      <c r="O985" s="8" t="n">
        <f aca="false">VLOOKUP(F985,DIM_SERVICO!$A$2:$D$151,4,FALSE())</f>
        <v>1029.22</v>
      </c>
      <c r="P985" s="8" t="n">
        <f aca="false">VLOOKUP(E985,DIM_PECA!$A$2:$F$501,6,FALSE())</f>
        <v>1964.28</v>
      </c>
      <c r="Q985" s="8" t="n">
        <f aca="false">VLOOKUP(E985,DIM_PECA!$A$2:$F$501,5,FALSE())</f>
        <v>1068.55</v>
      </c>
      <c r="R985" s="8" t="n">
        <f aca="false">H985*P985</f>
        <v>3928.56</v>
      </c>
      <c r="S985" s="8" t="n">
        <f aca="false">O985*M985</f>
        <v>8027.916</v>
      </c>
      <c r="T985" s="8" t="n">
        <f aca="false">R985+S985</f>
        <v>11956.476</v>
      </c>
      <c r="U985" s="8" t="n">
        <f aca="false">T985-K985</f>
        <v>7097.856</v>
      </c>
      <c r="V985" s="8" t="n">
        <f aca="false">R985+S985-U985</f>
        <v>4858.62</v>
      </c>
      <c r="W985" s="9" t="str">
        <f aca="false">IF(ROUND(V985-K985,2)=0,"OK","ERRO")</f>
        <v>OK</v>
      </c>
      <c r="X985" s="9" t="str">
        <f aca="false">VLOOKUP(F985,DIM_SERVICO!$A$2:$D$151,3,FALSE())</f>
        <v>Elétrica</v>
      </c>
    </row>
    <row r="986" customFormat="false" ht="15" hidden="false" customHeight="false" outlineLevel="0" collapsed="false">
      <c r="A986" s="2" t="n">
        <v>985</v>
      </c>
      <c r="B986" s="2" t="n">
        <v>430</v>
      </c>
      <c r="C986" s="2" t="n">
        <v>919</v>
      </c>
      <c r="D986" s="2" t="n">
        <v>693</v>
      </c>
      <c r="E986" s="2" t="n">
        <v>392</v>
      </c>
      <c r="F986" s="2" t="n">
        <v>115</v>
      </c>
      <c r="G986" s="2" t="n">
        <v>1177</v>
      </c>
      <c r="H986" s="2" t="n">
        <v>4</v>
      </c>
      <c r="I986" s="3" t="n">
        <v>4257.96</v>
      </c>
      <c r="J986" s="3" t="n">
        <v>1374.43</v>
      </c>
      <c r="K986" s="3" t="n">
        <v>7143.27</v>
      </c>
      <c r="L986" s="3" t="n">
        <v>2367.7</v>
      </c>
      <c r="M986" s="2" t="n">
        <v>3.9</v>
      </c>
      <c r="N986" s="2" t="s">
        <v>27</v>
      </c>
      <c r="O986" s="4" t="n">
        <f aca="false">VLOOKUP(F986,DIM_SERVICO!$A$2:$D$151,4,FALSE())</f>
        <v>1374.43</v>
      </c>
      <c r="P986" s="4" t="n">
        <f aca="false">VLOOKUP(E986,DIM_PECA!$A$2:$F$501,6,FALSE())</f>
        <v>1442.21</v>
      </c>
      <c r="Q986" s="4" t="n">
        <f aca="false">VLOOKUP(E986,DIM_PECA!$A$2:$F$501,5,FALSE())</f>
        <v>1064.49</v>
      </c>
      <c r="R986" s="4" t="n">
        <f aca="false">H986*P986</f>
        <v>5768.84</v>
      </c>
      <c r="S986" s="4" t="n">
        <f aca="false">O986*M986</f>
        <v>5360.277</v>
      </c>
      <c r="T986" s="4" t="n">
        <f aca="false">R986+S986</f>
        <v>11129.117</v>
      </c>
      <c r="U986" s="4" t="n">
        <f aca="false">T986-K986</f>
        <v>3985.847</v>
      </c>
      <c r="V986" s="4" t="n">
        <f aca="false">R986+S986-U986</f>
        <v>7143.27</v>
      </c>
      <c r="W986" s="5" t="str">
        <f aca="false">IF(ROUND(V986-K986,2)=0,"OK","ERRO")</f>
        <v>OK</v>
      </c>
      <c r="X986" s="5" t="str">
        <f aca="false">VLOOKUP(F986,DIM_SERVICO!$A$2:$D$151,3,FALSE())</f>
        <v>Suspensão</v>
      </c>
    </row>
    <row r="987" customFormat="false" ht="15" hidden="false" customHeight="false" outlineLevel="0" collapsed="false">
      <c r="A987" s="6" t="n">
        <v>986</v>
      </c>
      <c r="B987" s="6" t="n">
        <v>378</v>
      </c>
      <c r="C987" s="6" t="n">
        <v>332</v>
      </c>
      <c r="D987" s="6" t="n">
        <v>1129</v>
      </c>
      <c r="E987" s="6" t="n">
        <v>298</v>
      </c>
      <c r="F987" s="6" t="n">
        <v>15</v>
      </c>
      <c r="G987" s="6" t="n">
        <v>1498</v>
      </c>
      <c r="H987" s="6" t="n">
        <v>3</v>
      </c>
      <c r="I987" s="7" t="n">
        <v>2523.6</v>
      </c>
      <c r="J987" s="7" t="n">
        <v>1426.42</v>
      </c>
      <c r="K987" s="7" t="n">
        <v>5605.45</v>
      </c>
      <c r="L987" s="7" t="n">
        <v>2472.88</v>
      </c>
      <c r="M987" s="6" t="n">
        <v>9.7</v>
      </c>
      <c r="N987" s="6" t="s">
        <v>24</v>
      </c>
      <c r="O987" s="8" t="n">
        <f aca="false">VLOOKUP(F987,DIM_SERVICO!$A$2:$D$151,4,FALSE())</f>
        <v>1426.42</v>
      </c>
      <c r="P987" s="8" t="n">
        <f aca="false">VLOOKUP(E987,DIM_PECA!$A$2:$F$501,6,FALSE())</f>
        <v>1393.01</v>
      </c>
      <c r="Q987" s="8" t="n">
        <f aca="false">VLOOKUP(E987,DIM_PECA!$A$2:$F$501,5,FALSE())</f>
        <v>841.2</v>
      </c>
      <c r="R987" s="8" t="n">
        <f aca="false">H987*P987</f>
        <v>4179.03</v>
      </c>
      <c r="S987" s="8" t="n">
        <f aca="false">O987*M987</f>
        <v>13836.274</v>
      </c>
      <c r="T987" s="8" t="n">
        <f aca="false">R987+S987</f>
        <v>18015.304</v>
      </c>
      <c r="U987" s="8" t="n">
        <f aca="false">T987-K987</f>
        <v>12409.854</v>
      </c>
      <c r="V987" s="8" t="n">
        <f aca="false">R987+S987-U987</f>
        <v>5605.45</v>
      </c>
      <c r="W987" s="9" t="str">
        <f aca="false">IF(ROUND(V987-K987,2)=0,"OK","ERRO")</f>
        <v>OK</v>
      </c>
      <c r="X987" s="9" t="str">
        <f aca="false">VLOOKUP(F987,DIM_SERVICO!$A$2:$D$151,3,FALSE())</f>
        <v>Pintura</v>
      </c>
    </row>
    <row r="988" customFormat="false" ht="15" hidden="false" customHeight="false" outlineLevel="0" collapsed="false">
      <c r="A988" s="2" t="n">
        <v>987</v>
      </c>
      <c r="B988" s="2" t="n">
        <v>380</v>
      </c>
      <c r="C988" s="2" t="n">
        <v>669</v>
      </c>
      <c r="D988" s="2" t="n">
        <v>739</v>
      </c>
      <c r="E988" s="2" t="n">
        <v>264</v>
      </c>
      <c r="F988" s="2" t="n">
        <v>66</v>
      </c>
      <c r="G988" s="2" t="n">
        <v>1199</v>
      </c>
      <c r="H988" s="2" t="n">
        <v>4</v>
      </c>
      <c r="I988" s="3" t="n">
        <v>2164.24</v>
      </c>
      <c r="J988" s="3" t="n">
        <v>1805.9</v>
      </c>
      <c r="K988" s="3" t="n">
        <v>4564.36</v>
      </c>
      <c r="L988" s="3" t="n">
        <v>1577.35</v>
      </c>
      <c r="M988" s="2" t="n">
        <v>9.8</v>
      </c>
      <c r="N988" s="2" t="s">
        <v>24</v>
      </c>
      <c r="O988" s="4" t="n">
        <f aca="false">VLOOKUP(F988,DIM_SERVICO!$A$2:$D$151,4,FALSE())</f>
        <v>1805.9</v>
      </c>
      <c r="P988" s="4" t="n">
        <f aca="false">VLOOKUP(E988,DIM_PECA!$A$2:$F$501,6,FALSE())</f>
        <v>788.84</v>
      </c>
      <c r="Q988" s="4" t="n">
        <f aca="false">VLOOKUP(E988,DIM_PECA!$A$2:$F$501,5,FALSE())</f>
        <v>541.06</v>
      </c>
      <c r="R988" s="4" t="n">
        <f aca="false">H988*P988</f>
        <v>3155.36</v>
      </c>
      <c r="S988" s="4" t="n">
        <f aca="false">O988*M988</f>
        <v>17697.82</v>
      </c>
      <c r="T988" s="4" t="n">
        <f aca="false">R988+S988</f>
        <v>20853.18</v>
      </c>
      <c r="U988" s="4" t="n">
        <f aca="false">T988-K988</f>
        <v>16288.82</v>
      </c>
      <c r="V988" s="4" t="n">
        <f aca="false">R988+S988-U988</f>
        <v>4564.36</v>
      </c>
      <c r="W988" s="5" t="str">
        <f aca="false">IF(ROUND(V988-K988,2)=0,"OK","ERRO")</f>
        <v>OK</v>
      </c>
      <c r="X988" s="5" t="str">
        <f aca="false">VLOOKUP(F988,DIM_SERVICO!$A$2:$D$151,3,FALSE())</f>
        <v>Pintura</v>
      </c>
    </row>
    <row r="989" customFormat="false" ht="15" hidden="false" customHeight="false" outlineLevel="0" collapsed="false">
      <c r="A989" s="6" t="n">
        <v>988</v>
      </c>
      <c r="B989" s="6" t="n">
        <v>1132</v>
      </c>
      <c r="C989" s="6" t="n">
        <v>928</v>
      </c>
      <c r="D989" s="6" t="n">
        <v>938</v>
      </c>
      <c r="E989" s="6" t="n">
        <v>442</v>
      </c>
      <c r="F989" s="6" t="n">
        <v>111</v>
      </c>
      <c r="G989" s="6" t="n">
        <v>1643</v>
      </c>
      <c r="H989" s="6" t="n">
        <v>4</v>
      </c>
      <c r="I989" s="7" t="n">
        <v>125.88</v>
      </c>
      <c r="J989" s="7" t="n">
        <v>1482.2</v>
      </c>
      <c r="K989" s="7" t="n">
        <v>1725.72</v>
      </c>
      <c r="L989" s="7" t="n">
        <v>854.9</v>
      </c>
      <c r="M989" s="6" t="n">
        <v>1.2</v>
      </c>
      <c r="N989" s="6" t="s">
        <v>24</v>
      </c>
      <c r="O989" s="8" t="n">
        <f aca="false">VLOOKUP(F989,DIM_SERVICO!$A$2:$D$151,4,FALSE())</f>
        <v>1482.2</v>
      </c>
      <c r="P989" s="8" t="n">
        <f aca="false">VLOOKUP(E989,DIM_PECA!$A$2:$F$501,6,FALSE())</f>
        <v>60.88</v>
      </c>
      <c r="Q989" s="8" t="n">
        <f aca="false">VLOOKUP(E989,DIM_PECA!$A$2:$F$501,5,FALSE())</f>
        <v>31.47</v>
      </c>
      <c r="R989" s="8" t="n">
        <f aca="false">H989*P989</f>
        <v>243.52</v>
      </c>
      <c r="S989" s="8" t="n">
        <f aca="false">O989*M989</f>
        <v>1778.64</v>
      </c>
      <c r="T989" s="8" t="n">
        <f aca="false">R989+S989</f>
        <v>2022.16</v>
      </c>
      <c r="U989" s="8" t="n">
        <f aca="false">T989-K989</f>
        <v>296.44</v>
      </c>
      <c r="V989" s="8" t="n">
        <f aca="false">R989+S989-U989</f>
        <v>1725.72</v>
      </c>
      <c r="W989" s="9" t="str">
        <f aca="false">IF(ROUND(V989-K989,2)=0,"OK","ERRO")</f>
        <v>OK</v>
      </c>
      <c r="X989" s="9" t="str">
        <f aca="false">VLOOKUP(F989,DIM_SERVICO!$A$2:$D$151,3,FALSE())</f>
        <v>Pintura</v>
      </c>
    </row>
    <row r="990" customFormat="false" ht="15" hidden="false" customHeight="false" outlineLevel="0" collapsed="false">
      <c r="A990" s="2" t="n">
        <v>989</v>
      </c>
      <c r="B990" s="2" t="n">
        <v>1203</v>
      </c>
      <c r="C990" s="2" t="n">
        <v>1048</v>
      </c>
      <c r="D990" s="2" t="n">
        <v>193</v>
      </c>
      <c r="E990" s="2" t="n">
        <v>171</v>
      </c>
      <c r="F990" s="2" t="n">
        <v>136</v>
      </c>
      <c r="G990" s="2" t="n">
        <v>12</v>
      </c>
      <c r="H990" s="2" t="n">
        <v>4</v>
      </c>
      <c r="I990" s="3" t="n">
        <v>4778.72</v>
      </c>
      <c r="J990" s="3" t="n">
        <v>509.38</v>
      </c>
      <c r="K990" s="3" t="n">
        <v>9194.14</v>
      </c>
      <c r="L990" s="3" t="n">
        <v>4183.91</v>
      </c>
      <c r="M990" s="2" t="n">
        <v>11.1</v>
      </c>
      <c r="N990" s="2" t="s">
        <v>26</v>
      </c>
      <c r="O990" s="4" t="n">
        <f aca="false">VLOOKUP(F990,DIM_SERVICO!$A$2:$D$151,4,FALSE())</f>
        <v>509.38</v>
      </c>
      <c r="P990" s="4" t="n">
        <f aca="false">VLOOKUP(E990,DIM_PECA!$A$2:$F$501,6,FALSE())</f>
        <v>2218.1</v>
      </c>
      <c r="Q990" s="4" t="n">
        <f aca="false">VLOOKUP(E990,DIM_PECA!$A$2:$F$501,5,FALSE())</f>
        <v>1194.68</v>
      </c>
      <c r="R990" s="4" t="n">
        <f aca="false">H990*P990</f>
        <v>8872.4</v>
      </c>
      <c r="S990" s="4" t="n">
        <f aca="false">O990*M990</f>
        <v>5654.118</v>
      </c>
      <c r="T990" s="4" t="n">
        <f aca="false">R990+S990</f>
        <v>14526.518</v>
      </c>
      <c r="U990" s="4" t="n">
        <f aca="false">T990-K990</f>
        <v>5332.378</v>
      </c>
      <c r="V990" s="4" t="n">
        <f aca="false">R990+S990-U990</f>
        <v>9194.14</v>
      </c>
      <c r="W990" s="5" t="str">
        <f aca="false">IF(ROUND(V990-K990,2)=0,"OK","ERRO")</f>
        <v>OK</v>
      </c>
      <c r="X990" s="5" t="str">
        <f aca="false">VLOOKUP(F990,DIM_SERVICO!$A$2:$D$151,3,FALSE())</f>
        <v>Elétrica</v>
      </c>
    </row>
    <row r="991" customFormat="false" ht="15" hidden="false" customHeight="false" outlineLevel="0" collapsed="false">
      <c r="A991" s="6" t="n">
        <v>990</v>
      </c>
      <c r="B991" s="6" t="n">
        <v>810</v>
      </c>
      <c r="C991" s="6" t="n">
        <v>1220</v>
      </c>
      <c r="D991" s="6" t="n">
        <v>470</v>
      </c>
      <c r="E991" s="6" t="n">
        <v>192</v>
      </c>
      <c r="F991" s="6" t="n">
        <v>28</v>
      </c>
      <c r="G991" s="6" t="n">
        <v>221</v>
      </c>
      <c r="H991" s="6" t="n">
        <v>2</v>
      </c>
      <c r="I991" s="7" t="n">
        <v>1792.1</v>
      </c>
      <c r="J991" s="7" t="n">
        <v>2152.12</v>
      </c>
      <c r="K991" s="7" t="n">
        <v>4831.12</v>
      </c>
      <c r="L991" s="7" t="n">
        <v>1895.98</v>
      </c>
      <c r="M991" s="6" t="n">
        <v>9.7</v>
      </c>
      <c r="N991" s="6" t="s">
        <v>24</v>
      </c>
      <c r="O991" s="8" t="n">
        <f aca="false">VLOOKUP(F991,DIM_SERVICO!$A$2:$D$151,4,FALSE())</f>
        <v>2152.12</v>
      </c>
      <c r="P991" s="8" t="n">
        <f aca="false">VLOOKUP(E991,DIM_PECA!$A$2:$F$501,6,FALSE())</f>
        <v>1549.55</v>
      </c>
      <c r="Q991" s="8" t="n">
        <f aca="false">VLOOKUP(E991,DIM_PECA!$A$2:$F$501,5,FALSE())</f>
        <v>896.05</v>
      </c>
      <c r="R991" s="8" t="n">
        <f aca="false">H991*P991</f>
        <v>3099.1</v>
      </c>
      <c r="S991" s="8" t="n">
        <f aca="false">O991*M991</f>
        <v>20875.564</v>
      </c>
      <c r="T991" s="8" t="n">
        <f aca="false">R991+S991</f>
        <v>23974.664</v>
      </c>
      <c r="U991" s="8" t="n">
        <f aca="false">T991-K991</f>
        <v>19143.544</v>
      </c>
      <c r="V991" s="8" t="n">
        <f aca="false">R991+S991-U991</f>
        <v>4831.12</v>
      </c>
      <c r="W991" s="9" t="str">
        <f aca="false">IF(ROUND(V991-K991,2)=0,"OK","ERRO")</f>
        <v>OK</v>
      </c>
      <c r="X991" s="9" t="str">
        <f aca="false">VLOOKUP(F991,DIM_SERVICO!$A$2:$D$151,3,FALSE())</f>
        <v>Freios</v>
      </c>
    </row>
    <row r="992" customFormat="false" ht="15" hidden="false" customHeight="false" outlineLevel="0" collapsed="false">
      <c r="A992" s="2" t="n">
        <v>991</v>
      </c>
      <c r="B992" s="2" t="n">
        <v>364</v>
      </c>
      <c r="C992" s="2" t="n">
        <v>846</v>
      </c>
      <c r="D992" s="2" t="n">
        <v>869</v>
      </c>
      <c r="E992" s="2" t="n">
        <v>37</v>
      </c>
      <c r="F992" s="2" t="n">
        <v>145</v>
      </c>
      <c r="G992" s="2" t="n">
        <v>1264</v>
      </c>
      <c r="H992" s="2" t="n">
        <v>2</v>
      </c>
      <c r="I992" s="3" t="n">
        <v>1447.5</v>
      </c>
      <c r="J992" s="3" t="n">
        <v>392.14</v>
      </c>
      <c r="K992" s="3" t="n">
        <v>2404.27</v>
      </c>
      <c r="L992" s="3" t="n">
        <v>793.15</v>
      </c>
      <c r="M992" s="2" t="n">
        <v>5.5</v>
      </c>
      <c r="N992" s="2" t="s">
        <v>24</v>
      </c>
      <c r="O992" s="4" t="n">
        <f aca="false">VLOOKUP(F992,DIM_SERVICO!$A$2:$D$151,4,FALSE())</f>
        <v>392.14</v>
      </c>
      <c r="P992" s="4" t="n">
        <f aca="false">VLOOKUP(E992,DIM_PECA!$A$2:$F$501,6,FALSE())</f>
        <v>1030.6</v>
      </c>
      <c r="Q992" s="4" t="n">
        <f aca="false">VLOOKUP(E992,DIM_PECA!$A$2:$F$501,5,FALSE())</f>
        <v>723.75</v>
      </c>
      <c r="R992" s="4" t="n">
        <f aca="false">H992*P992</f>
        <v>2061.2</v>
      </c>
      <c r="S992" s="4" t="n">
        <f aca="false">O992*M992</f>
        <v>2156.77</v>
      </c>
      <c r="T992" s="4" t="n">
        <f aca="false">R992+S992</f>
        <v>4217.97</v>
      </c>
      <c r="U992" s="4" t="n">
        <f aca="false">T992-K992</f>
        <v>1813.7</v>
      </c>
      <c r="V992" s="4" t="n">
        <f aca="false">R992+S992-U992</f>
        <v>2404.27</v>
      </c>
      <c r="W992" s="5" t="str">
        <f aca="false">IF(ROUND(V992-K992,2)=0,"OK","ERRO")</f>
        <v>OK</v>
      </c>
      <c r="X992" s="5" t="str">
        <f aca="false">VLOOKUP(F992,DIM_SERVICO!$A$2:$D$151,3,FALSE())</f>
        <v>Revisão</v>
      </c>
    </row>
    <row r="993" customFormat="false" ht="15" hidden="false" customHeight="false" outlineLevel="0" collapsed="false">
      <c r="A993" s="6" t="n">
        <v>992</v>
      </c>
      <c r="B993" s="6" t="n">
        <v>753</v>
      </c>
      <c r="C993" s="6" t="n">
        <v>217</v>
      </c>
      <c r="D993" s="6" t="n">
        <v>44</v>
      </c>
      <c r="E993" s="6" t="n">
        <v>450</v>
      </c>
      <c r="F993" s="6" t="n">
        <v>3</v>
      </c>
      <c r="G993" s="6" t="n">
        <v>1483</v>
      </c>
      <c r="H993" s="6" t="n">
        <v>2</v>
      </c>
      <c r="I993" s="7" t="n">
        <v>1991.38</v>
      </c>
      <c r="J993" s="7" t="n">
        <v>274.77</v>
      </c>
      <c r="K993" s="7" t="n">
        <v>3587.6</v>
      </c>
      <c r="L993" s="7" t="n">
        <v>1456.26</v>
      </c>
      <c r="M993" s="6" t="n">
        <v>4.7</v>
      </c>
      <c r="N993" s="6" t="s">
        <v>26</v>
      </c>
      <c r="O993" s="8" t="n">
        <f aca="false">VLOOKUP(F993,DIM_SERVICO!$A$2:$D$151,4,FALSE())</f>
        <v>274.77</v>
      </c>
      <c r="P993" s="8" t="n">
        <f aca="false">VLOOKUP(E993,DIM_PECA!$A$2:$F$501,6,FALSE())</f>
        <v>1812.4</v>
      </c>
      <c r="Q993" s="8" t="n">
        <f aca="false">VLOOKUP(E993,DIM_PECA!$A$2:$F$501,5,FALSE())</f>
        <v>995.69</v>
      </c>
      <c r="R993" s="8" t="n">
        <f aca="false">H993*P993</f>
        <v>3624.8</v>
      </c>
      <c r="S993" s="8" t="n">
        <f aca="false">O993*M993</f>
        <v>1291.419</v>
      </c>
      <c r="T993" s="8" t="n">
        <f aca="false">R993+S993</f>
        <v>4916.219</v>
      </c>
      <c r="U993" s="8" t="n">
        <f aca="false">T993-K993</f>
        <v>1328.619</v>
      </c>
      <c r="V993" s="8" t="n">
        <f aca="false">R993+S993-U993</f>
        <v>3587.6</v>
      </c>
      <c r="W993" s="9" t="str">
        <f aca="false">IF(ROUND(V993-K993,2)=0,"OK","ERRO")</f>
        <v>OK</v>
      </c>
      <c r="X993" s="9" t="str">
        <f aca="false">VLOOKUP(F993,DIM_SERVICO!$A$2:$D$151,3,FALSE())</f>
        <v>Pintura</v>
      </c>
    </row>
    <row r="994" customFormat="false" ht="15" hidden="false" customHeight="false" outlineLevel="0" collapsed="false">
      <c r="A994" s="2" t="n">
        <v>993</v>
      </c>
      <c r="B994" s="2" t="n">
        <v>36</v>
      </c>
      <c r="C994" s="2" t="n">
        <v>1255</v>
      </c>
      <c r="D994" s="2" t="n">
        <v>1149</v>
      </c>
      <c r="E994" s="2" t="n">
        <v>198</v>
      </c>
      <c r="F994" s="2" t="n">
        <v>49</v>
      </c>
      <c r="G994" s="2" t="n">
        <v>652</v>
      </c>
      <c r="H994" s="2" t="n">
        <v>1</v>
      </c>
      <c r="I994" s="3" t="n">
        <v>414.3</v>
      </c>
      <c r="J994" s="3" t="n">
        <v>1883.63</v>
      </c>
      <c r="K994" s="3" t="n">
        <v>2268.44</v>
      </c>
      <c r="L994" s="3" t="n">
        <v>906.16</v>
      </c>
      <c r="M994" s="2" t="n">
        <v>6.1</v>
      </c>
      <c r="N994" s="2" t="s">
        <v>26</v>
      </c>
      <c r="O994" s="4" t="n">
        <f aca="false">VLOOKUP(F994,DIM_SERVICO!$A$2:$D$151,4,FALSE())</f>
        <v>1883.63</v>
      </c>
      <c r="P994" s="4" t="n">
        <f aca="false">VLOOKUP(E994,DIM_PECA!$A$2:$F$501,6,FALSE())</f>
        <v>636.86</v>
      </c>
      <c r="Q994" s="4" t="n">
        <f aca="false">VLOOKUP(E994,DIM_PECA!$A$2:$F$501,5,FALSE())</f>
        <v>414.3</v>
      </c>
      <c r="R994" s="4" t="n">
        <f aca="false">H994*P994</f>
        <v>636.86</v>
      </c>
      <c r="S994" s="4" t="n">
        <f aca="false">O994*M994</f>
        <v>11490.143</v>
      </c>
      <c r="T994" s="4" t="n">
        <f aca="false">R994+S994</f>
        <v>12127.003</v>
      </c>
      <c r="U994" s="4" t="n">
        <f aca="false">T994-K994</f>
        <v>9858.563</v>
      </c>
      <c r="V994" s="4" t="n">
        <f aca="false">R994+S994-U994</f>
        <v>2268.44</v>
      </c>
      <c r="W994" s="5" t="str">
        <f aca="false">IF(ROUND(V994-K994,2)=0,"OK","ERRO")</f>
        <v>OK</v>
      </c>
      <c r="X994" s="5" t="str">
        <f aca="false">VLOOKUP(F994,DIM_SERVICO!$A$2:$D$151,3,FALSE())</f>
        <v>Suspensão</v>
      </c>
    </row>
    <row r="995" customFormat="false" ht="15" hidden="false" customHeight="false" outlineLevel="0" collapsed="false">
      <c r="A995" s="6" t="n">
        <v>994</v>
      </c>
      <c r="B995" s="6" t="n">
        <v>354</v>
      </c>
      <c r="C995" s="6" t="n">
        <v>927</v>
      </c>
      <c r="D995" s="6" t="n">
        <v>101</v>
      </c>
      <c r="E995" s="6" t="n">
        <v>188</v>
      </c>
      <c r="F995" s="6" t="n">
        <v>53</v>
      </c>
      <c r="G995" s="6" t="n">
        <v>1669</v>
      </c>
      <c r="H995" s="6" t="n">
        <v>2</v>
      </c>
      <c r="I995" s="7" t="n">
        <v>1196.4</v>
      </c>
      <c r="J995" s="7" t="n">
        <v>955.09</v>
      </c>
      <c r="K995" s="7" t="n">
        <v>3171.81</v>
      </c>
      <c r="L995" s="7" t="n">
        <v>1533.64</v>
      </c>
      <c r="M995" s="6" t="n">
        <v>4.8</v>
      </c>
      <c r="N995" s="6" t="s">
        <v>24</v>
      </c>
      <c r="O995" s="8" t="n">
        <f aca="false">VLOOKUP(F995,DIM_SERVICO!$A$2:$D$151,4,FALSE())</f>
        <v>955.09</v>
      </c>
      <c r="P995" s="8" t="n">
        <f aca="false">VLOOKUP(E995,DIM_PECA!$A$2:$F$501,6,FALSE())</f>
        <v>1108.36</v>
      </c>
      <c r="Q995" s="8" t="n">
        <f aca="false">VLOOKUP(E995,DIM_PECA!$A$2:$F$501,5,FALSE())</f>
        <v>598.2</v>
      </c>
      <c r="R995" s="8" t="n">
        <f aca="false">H995*P995</f>
        <v>2216.72</v>
      </c>
      <c r="S995" s="8" t="n">
        <f aca="false">O995*M995</f>
        <v>4584.432</v>
      </c>
      <c r="T995" s="8" t="n">
        <f aca="false">R995+S995</f>
        <v>6801.152</v>
      </c>
      <c r="U995" s="8" t="n">
        <f aca="false">T995-K995</f>
        <v>3629.342</v>
      </c>
      <c r="V995" s="8" t="n">
        <f aca="false">R995+S995-U995</f>
        <v>3171.81</v>
      </c>
      <c r="W995" s="9" t="str">
        <f aca="false">IF(ROUND(V995-K995,2)=0,"OK","ERRO")</f>
        <v>OK</v>
      </c>
      <c r="X995" s="9" t="str">
        <f aca="false">VLOOKUP(F995,DIM_SERVICO!$A$2:$D$151,3,FALSE())</f>
        <v>Motor</v>
      </c>
    </row>
    <row r="996" customFormat="false" ht="15" hidden="false" customHeight="false" outlineLevel="0" collapsed="false">
      <c r="A996" s="2" t="n">
        <v>995</v>
      </c>
      <c r="B996" s="2" t="n">
        <v>1414</v>
      </c>
      <c r="C996" s="2" t="n">
        <v>454</v>
      </c>
      <c r="D996" s="2" t="n">
        <v>1128</v>
      </c>
      <c r="E996" s="2" t="n">
        <v>11</v>
      </c>
      <c r="F996" s="2" t="n">
        <v>17</v>
      </c>
      <c r="G996" s="2" t="n">
        <v>591</v>
      </c>
      <c r="H996" s="2" t="n">
        <v>3</v>
      </c>
      <c r="I996" s="3" t="n">
        <v>1744.44</v>
      </c>
      <c r="J996" s="3" t="n">
        <v>131.97</v>
      </c>
      <c r="K996" s="3" t="n">
        <v>2705.86</v>
      </c>
      <c r="L996" s="3" t="n">
        <v>904.48</v>
      </c>
      <c r="M996" s="2" t="n">
        <v>11.6</v>
      </c>
      <c r="N996" s="2" t="s">
        <v>26</v>
      </c>
      <c r="O996" s="4" t="n">
        <f aca="false">VLOOKUP(F996,DIM_SERVICO!$A$2:$D$151,4,FALSE())</f>
        <v>131.97</v>
      </c>
      <c r="P996" s="4" t="n">
        <f aca="false">VLOOKUP(E996,DIM_PECA!$A$2:$F$501,6,FALSE())</f>
        <v>958.18</v>
      </c>
      <c r="Q996" s="4" t="n">
        <f aca="false">VLOOKUP(E996,DIM_PECA!$A$2:$F$501,5,FALSE())</f>
        <v>581.48</v>
      </c>
      <c r="R996" s="4" t="n">
        <f aca="false">H996*P996</f>
        <v>2874.54</v>
      </c>
      <c r="S996" s="4" t="n">
        <f aca="false">O996*M996</f>
        <v>1530.852</v>
      </c>
      <c r="T996" s="4" t="n">
        <f aca="false">R996+S996</f>
        <v>4405.392</v>
      </c>
      <c r="U996" s="4" t="n">
        <f aca="false">T996-K996</f>
        <v>1699.532</v>
      </c>
      <c r="V996" s="4" t="n">
        <f aca="false">R996+S996-U996</f>
        <v>2705.86</v>
      </c>
      <c r="W996" s="5" t="str">
        <f aca="false">IF(ROUND(V996-K996,2)=0,"OK","ERRO")</f>
        <v>OK</v>
      </c>
      <c r="X996" s="5" t="str">
        <f aca="false">VLOOKUP(F996,DIM_SERVICO!$A$2:$D$151,3,FALSE())</f>
        <v>Pintura</v>
      </c>
    </row>
    <row r="997" customFormat="false" ht="15" hidden="false" customHeight="false" outlineLevel="0" collapsed="false">
      <c r="A997" s="6" t="n">
        <v>996</v>
      </c>
      <c r="B997" s="6" t="n">
        <v>1442</v>
      </c>
      <c r="C997" s="6" t="n">
        <v>1274</v>
      </c>
      <c r="D997" s="6" t="n">
        <v>869</v>
      </c>
      <c r="E997" s="6" t="n">
        <v>81</v>
      </c>
      <c r="F997" s="6" t="n">
        <v>145</v>
      </c>
      <c r="G997" s="6" t="n">
        <v>1703</v>
      </c>
      <c r="H997" s="6" t="n">
        <v>3</v>
      </c>
      <c r="I997" s="7" t="n">
        <v>2721.54</v>
      </c>
      <c r="J997" s="7" t="n">
        <v>392.14</v>
      </c>
      <c r="K997" s="7" t="n">
        <v>4403.62</v>
      </c>
      <c r="L997" s="7" t="n">
        <v>1493.24</v>
      </c>
      <c r="M997" s="6" t="n">
        <v>5.4</v>
      </c>
      <c r="N997" s="6" t="s">
        <v>24</v>
      </c>
      <c r="O997" s="8" t="n">
        <f aca="false">VLOOKUP(F997,DIM_SERVICO!$A$2:$D$151,4,FALSE())</f>
        <v>392.14</v>
      </c>
      <c r="P997" s="8" t="n">
        <f aca="false">VLOOKUP(E997,DIM_PECA!$A$2:$F$501,6,FALSE())</f>
        <v>1337.16</v>
      </c>
      <c r="Q997" s="8" t="n">
        <f aca="false">VLOOKUP(E997,DIM_PECA!$A$2:$F$501,5,FALSE())</f>
        <v>907.18</v>
      </c>
      <c r="R997" s="8" t="n">
        <f aca="false">H997*P997</f>
        <v>4011.48</v>
      </c>
      <c r="S997" s="8" t="n">
        <f aca="false">O997*M997</f>
        <v>2117.556</v>
      </c>
      <c r="T997" s="8" t="n">
        <f aca="false">R997+S997</f>
        <v>6129.036</v>
      </c>
      <c r="U997" s="8" t="n">
        <f aca="false">T997-K997</f>
        <v>1725.416</v>
      </c>
      <c r="V997" s="8" t="n">
        <f aca="false">R997+S997-U997</f>
        <v>4403.62</v>
      </c>
      <c r="W997" s="9" t="str">
        <f aca="false">IF(ROUND(V997-K997,2)=0,"OK","ERRO")</f>
        <v>OK</v>
      </c>
      <c r="X997" s="9" t="str">
        <f aca="false">VLOOKUP(F997,DIM_SERVICO!$A$2:$D$151,3,FALSE())</f>
        <v>Revisão</v>
      </c>
    </row>
    <row r="998" customFormat="false" ht="15" hidden="false" customHeight="false" outlineLevel="0" collapsed="false">
      <c r="A998" s="2" t="n">
        <v>997</v>
      </c>
      <c r="B998" s="2" t="n">
        <v>256</v>
      </c>
      <c r="C998" s="2" t="n">
        <v>672</v>
      </c>
      <c r="D998" s="2" t="n">
        <v>958</v>
      </c>
      <c r="E998" s="2" t="n">
        <v>488</v>
      </c>
      <c r="F998" s="2" t="n">
        <v>4</v>
      </c>
      <c r="G998" s="2" t="n">
        <v>794</v>
      </c>
      <c r="H998" s="2" t="n">
        <v>2</v>
      </c>
      <c r="I998" s="3" t="n">
        <v>2292.54</v>
      </c>
      <c r="J998" s="3" t="n">
        <v>1007.95</v>
      </c>
      <c r="K998" s="3" t="n">
        <v>5576.97</v>
      </c>
      <c r="L998" s="3" t="n">
        <v>2788.69</v>
      </c>
      <c r="M998" s="2" t="n">
        <v>9.4</v>
      </c>
      <c r="N998" s="2" t="s">
        <v>26</v>
      </c>
      <c r="O998" s="4" t="n">
        <f aca="false">VLOOKUP(F998,DIM_SERVICO!$A$2:$D$151,4,FALSE())</f>
        <v>1007.95</v>
      </c>
      <c r="P998" s="4" t="n">
        <f aca="false">VLOOKUP(E998,DIM_PECA!$A$2:$F$501,6,FALSE())</f>
        <v>2284.51</v>
      </c>
      <c r="Q998" s="4" t="n">
        <f aca="false">VLOOKUP(E998,DIM_PECA!$A$2:$F$501,5,FALSE())</f>
        <v>1146.27</v>
      </c>
      <c r="R998" s="4" t="n">
        <f aca="false">H998*P998</f>
        <v>4569.02</v>
      </c>
      <c r="S998" s="4" t="n">
        <f aca="false">O998*M998</f>
        <v>9474.73</v>
      </c>
      <c r="T998" s="4" t="n">
        <f aca="false">R998+S998</f>
        <v>14043.75</v>
      </c>
      <c r="U998" s="4" t="n">
        <f aca="false">T998-K998</f>
        <v>8466.78</v>
      </c>
      <c r="V998" s="4" t="n">
        <f aca="false">R998+S998-U998</f>
        <v>5576.97</v>
      </c>
      <c r="W998" s="5" t="str">
        <f aca="false">IF(ROUND(V998-K998,2)=0,"OK","ERRO")</f>
        <v>OK</v>
      </c>
      <c r="X998" s="5" t="str">
        <f aca="false">VLOOKUP(F998,DIM_SERVICO!$A$2:$D$151,3,FALSE())</f>
        <v>Revisão</v>
      </c>
    </row>
    <row r="999" customFormat="false" ht="15" hidden="false" customHeight="false" outlineLevel="0" collapsed="false">
      <c r="A999" s="6" t="n">
        <v>998</v>
      </c>
      <c r="B999" s="6" t="n">
        <v>1054</v>
      </c>
      <c r="C999" s="6" t="n">
        <v>1074</v>
      </c>
      <c r="D999" s="6" t="n">
        <v>1066</v>
      </c>
      <c r="E999" s="6" t="n">
        <v>137</v>
      </c>
      <c r="F999" s="6" t="n">
        <v>11</v>
      </c>
      <c r="G999" s="6" t="n">
        <v>146</v>
      </c>
      <c r="H999" s="6" t="n">
        <v>1</v>
      </c>
      <c r="I999" s="7" t="n">
        <v>238.53</v>
      </c>
      <c r="J999" s="7" t="n">
        <v>2164.78</v>
      </c>
      <c r="K999" s="7" t="n">
        <v>2477.11</v>
      </c>
      <c r="L999" s="7" t="n">
        <v>1447.3</v>
      </c>
      <c r="M999" s="6" t="n">
        <v>10.7</v>
      </c>
      <c r="N999" s="6" t="s">
        <v>24</v>
      </c>
      <c r="O999" s="8" t="n">
        <f aca="false">VLOOKUP(F999,DIM_SERVICO!$A$2:$D$151,4,FALSE())</f>
        <v>2164.78</v>
      </c>
      <c r="P999" s="8" t="n">
        <f aca="false">VLOOKUP(E999,DIM_PECA!$A$2:$F$501,6,FALSE())</f>
        <v>362.88</v>
      </c>
      <c r="Q999" s="8" t="n">
        <f aca="false">VLOOKUP(E999,DIM_PECA!$A$2:$F$501,5,FALSE())</f>
        <v>238.53</v>
      </c>
      <c r="R999" s="8" t="n">
        <f aca="false">H999*P999</f>
        <v>362.88</v>
      </c>
      <c r="S999" s="8" t="n">
        <f aca="false">O999*M999</f>
        <v>23163.146</v>
      </c>
      <c r="T999" s="8" t="n">
        <f aca="false">R999+S999</f>
        <v>23526.026</v>
      </c>
      <c r="U999" s="8" t="n">
        <f aca="false">T999-K999</f>
        <v>21048.916</v>
      </c>
      <c r="V999" s="8" t="n">
        <f aca="false">R999+S999-U999</f>
        <v>2477.11</v>
      </c>
      <c r="W999" s="9" t="str">
        <f aca="false">IF(ROUND(V999-K999,2)=0,"OK","ERRO")</f>
        <v>OK</v>
      </c>
      <c r="X999" s="9" t="str">
        <f aca="false">VLOOKUP(F999,DIM_SERVICO!$A$2:$D$151,3,FALSE())</f>
        <v>Freios</v>
      </c>
    </row>
    <row r="1000" customFormat="false" ht="15" hidden="false" customHeight="false" outlineLevel="0" collapsed="false">
      <c r="A1000" s="2" t="n">
        <v>999</v>
      </c>
      <c r="B1000" s="2" t="n">
        <v>1210</v>
      </c>
      <c r="C1000" s="2" t="n">
        <v>509</v>
      </c>
      <c r="D1000" s="2" t="n">
        <v>872</v>
      </c>
      <c r="E1000" s="2" t="n">
        <v>15</v>
      </c>
      <c r="F1000" s="2" t="n">
        <v>118</v>
      </c>
      <c r="G1000" s="2" t="n">
        <v>208</v>
      </c>
      <c r="H1000" s="2" t="n">
        <v>3</v>
      </c>
      <c r="I1000" s="3" t="n">
        <v>2238.69</v>
      </c>
      <c r="J1000" s="3" t="n">
        <v>114.25</v>
      </c>
      <c r="K1000" s="3" t="n">
        <v>3174.86</v>
      </c>
      <c r="L1000" s="3" t="n">
        <v>877.14</v>
      </c>
      <c r="M1000" s="2" t="n">
        <v>1.2</v>
      </c>
      <c r="N1000" s="2" t="s">
        <v>25</v>
      </c>
      <c r="O1000" s="4" t="n">
        <f aca="false">VLOOKUP(F1000,DIM_SERVICO!$A$2:$D$151,4,FALSE())</f>
        <v>114.25</v>
      </c>
      <c r="P1000" s="4" t="n">
        <f aca="false">VLOOKUP(E1000,DIM_PECA!$A$2:$F$501,6,FALSE())</f>
        <v>1041.8</v>
      </c>
      <c r="Q1000" s="4" t="n">
        <f aca="false">VLOOKUP(E1000,DIM_PECA!$A$2:$F$501,5,FALSE())</f>
        <v>746.23</v>
      </c>
      <c r="R1000" s="4" t="n">
        <f aca="false">H1000*P1000</f>
        <v>3125.4</v>
      </c>
      <c r="S1000" s="4" t="n">
        <f aca="false">O1000*M1000</f>
        <v>137.1</v>
      </c>
      <c r="T1000" s="4" t="n">
        <f aca="false">R1000+S1000</f>
        <v>3262.5</v>
      </c>
      <c r="U1000" s="4" t="n">
        <f aca="false">T1000-K1000</f>
        <v>87.6399999999994</v>
      </c>
      <c r="V1000" s="4" t="n">
        <f aca="false">R1000+S1000-U1000</f>
        <v>3174.86</v>
      </c>
      <c r="W1000" s="5" t="str">
        <f aca="false">IF(ROUND(V1000-K1000,2)=0,"OK","ERRO")</f>
        <v>OK</v>
      </c>
      <c r="X1000" s="5" t="str">
        <f aca="false">VLOOKUP(F1000,DIM_SERVICO!$A$2:$D$151,3,FALSE())</f>
        <v>Elétrica</v>
      </c>
    </row>
    <row r="1001" customFormat="false" ht="15" hidden="false" customHeight="false" outlineLevel="0" collapsed="false">
      <c r="A1001" s="6" t="n">
        <v>1000</v>
      </c>
      <c r="B1001" s="6" t="n">
        <v>376</v>
      </c>
      <c r="C1001" s="6" t="n">
        <v>953</v>
      </c>
      <c r="D1001" s="6" t="n">
        <v>861</v>
      </c>
      <c r="E1001" s="6" t="n">
        <v>410</v>
      </c>
      <c r="F1001" s="6" t="n">
        <v>60</v>
      </c>
      <c r="G1001" s="6" t="n">
        <v>975</v>
      </c>
      <c r="H1001" s="6" t="n">
        <v>2</v>
      </c>
      <c r="I1001" s="7" t="n">
        <v>2193.26</v>
      </c>
      <c r="J1001" s="7" t="n">
        <v>1091.63</v>
      </c>
      <c r="K1001" s="7" t="n">
        <v>5173.63</v>
      </c>
      <c r="L1001" s="7" t="n">
        <v>2575.25</v>
      </c>
      <c r="M1001" s="6" t="n">
        <v>9.7</v>
      </c>
      <c r="N1001" s="6" t="s">
        <v>24</v>
      </c>
      <c r="O1001" s="8" t="n">
        <f aca="false">VLOOKUP(F1001,DIM_SERVICO!$A$2:$D$151,4,FALSE())</f>
        <v>1091.63</v>
      </c>
      <c r="P1001" s="8" t="n">
        <f aca="false">VLOOKUP(E1001,DIM_PECA!$A$2:$F$501,6,FALSE())</f>
        <v>2265.94</v>
      </c>
      <c r="Q1001" s="8" t="n">
        <f aca="false">VLOOKUP(E1001,DIM_PECA!$A$2:$F$501,5,FALSE())</f>
        <v>1096.63</v>
      </c>
      <c r="R1001" s="8" t="n">
        <f aca="false">H1001*P1001</f>
        <v>4531.88</v>
      </c>
      <c r="S1001" s="8" t="n">
        <f aca="false">O1001*M1001</f>
        <v>10588.811</v>
      </c>
      <c r="T1001" s="8" t="n">
        <f aca="false">R1001+S1001</f>
        <v>15120.691</v>
      </c>
      <c r="U1001" s="8" t="n">
        <f aca="false">T1001-K1001</f>
        <v>9947.061</v>
      </c>
      <c r="V1001" s="8" t="n">
        <f aca="false">R1001+S1001-U1001</f>
        <v>5173.63</v>
      </c>
      <c r="W1001" s="9" t="str">
        <f aca="false">IF(ROUND(V1001-K1001,2)=0,"OK","ERRO")</f>
        <v>OK</v>
      </c>
      <c r="X1001" s="9" t="str">
        <f aca="false">VLOOKUP(F1001,DIM_SERVICO!$A$2:$D$151,3,FALSE())</f>
        <v>Diagnóstico</v>
      </c>
    </row>
    <row r="1002" customFormat="false" ht="15" hidden="false" customHeight="false" outlineLevel="0" collapsed="false">
      <c r="A1002" s="2" t="n">
        <v>1001</v>
      </c>
      <c r="B1002" s="2" t="n">
        <v>339</v>
      </c>
      <c r="C1002" s="2" t="n">
        <v>294</v>
      </c>
      <c r="D1002" s="2" t="n">
        <v>816</v>
      </c>
      <c r="E1002" s="2" t="n">
        <v>177</v>
      </c>
      <c r="F1002" s="2" t="n">
        <v>44</v>
      </c>
      <c r="G1002" s="2" t="n">
        <v>1005</v>
      </c>
      <c r="H1002" s="2" t="n">
        <v>3</v>
      </c>
      <c r="I1002" s="3" t="n">
        <v>483.33</v>
      </c>
      <c r="J1002" s="3" t="n">
        <v>1855.21</v>
      </c>
      <c r="K1002" s="3" t="n">
        <v>2547.46</v>
      </c>
      <c r="L1002" s="3" t="n">
        <v>1071.04</v>
      </c>
      <c r="M1002" s="2" t="n">
        <v>1</v>
      </c>
      <c r="N1002" s="2" t="s">
        <v>24</v>
      </c>
      <c r="O1002" s="4" t="n">
        <f aca="false">VLOOKUP(F1002,DIM_SERVICO!$A$2:$D$151,4,FALSE())</f>
        <v>1855.21</v>
      </c>
      <c r="P1002" s="4" t="n">
        <f aca="false">VLOOKUP(E1002,DIM_PECA!$A$2:$F$501,6,FALSE())</f>
        <v>248.08</v>
      </c>
      <c r="Q1002" s="4" t="n">
        <f aca="false">VLOOKUP(E1002,DIM_PECA!$A$2:$F$501,5,FALSE())</f>
        <v>161.11</v>
      </c>
      <c r="R1002" s="4" t="n">
        <f aca="false">H1002*P1002</f>
        <v>744.24</v>
      </c>
      <c r="S1002" s="4" t="n">
        <f aca="false">O1002*M1002</f>
        <v>1855.21</v>
      </c>
      <c r="T1002" s="4" t="n">
        <f aca="false">R1002+S1002</f>
        <v>2599.45</v>
      </c>
      <c r="U1002" s="4" t="n">
        <f aca="false">T1002-K1002</f>
        <v>51.9899999999998</v>
      </c>
      <c r="V1002" s="4" t="n">
        <f aca="false">R1002+S1002-U1002</f>
        <v>2547.46</v>
      </c>
      <c r="W1002" s="5" t="str">
        <f aca="false">IF(ROUND(V1002-K1002,2)=0,"OK","ERRO")</f>
        <v>OK</v>
      </c>
      <c r="X1002" s="5" t="str">
        <f aca="false">VLOOKUP(F1002,DIM_SERVICO!$A$2:$D$151,3,FALSE())</f>
        <v>Funilaria</v>
      </c>
    </row>
    <row r="1003" customFormat="false" ht="15" hidden="false" customHeight="false" outlineLevel="0" collapsed="false">
      <c r="A1003" s="6" t="n">
        <v>1002</v>
      </c>
      <c r="B1003" s="6" t="n">
        <v>1382</v>
      </c>
      <c r="C1003" s="6" t="n">
        <v>819</v>
      </c>
      <c r="D1003" s="6" t="n">
        <v>1142</v>
      </c>
      <c r="E1003" s="6" t="n">
        <v>312</v>
      </c>
      <c r="F1003" s="6" t="n">
        <v>114</v>
      </c>
      <c r="G1003" s="6" t="n">
        <v>964</v>
      </c>
      <c r="H1003" s="6" t="n">
        <v>3</v>
      </c>
      <c r="I1003" s="7" t="n">
        <v>1207.44</v>
      </c>
      <c r="J1003" s="7" t="n">
        <v>767.72</v>
      </c>
      <c r="K1003" s="7" t="n">
        <v>2918.63</v>
      </c>
      <c r="L1003" s="7" t="n">
        <v>1442.24</v>
      </c>
      <c r="M1003" s="6" t="n">
        <v>5.8</v>
      </c>
      <c r="N1003" s="6" t="s">
        <v>27</v>
      </c>
      <c r="O1003" s="8" t="n">
        <f aca="false">VLOOKUP(F1003,DIM_SERVICO!$A$2:$D$151,4,FALSE())</f>
        <v>767.72</v>
      </c>
      <c r="P1003" s="8" t="n">
        <f aca="false">VLOOKUP(E1003,DIM_PECA!$A$2:$F$501,6,FALSE())</f>
        <v>716.97</v>
      </c>
      <c r="Q1003" s="8" t="n">
        <f aca="false">VLOOKUP(E1003,DIM_PECA!$A$2:$F$501,5,FALSE())</f>
        <v>402.48</v>
      </c>
      <c r="R1003" s="8" t="n">
        <f aca="false">H1003*P1003</f>
        <v>2150.91</v>
      </c>
      <c r="S1003" s="8" t="n">
        <f aca="false">O1003*M1003</f>
        <v>4452.776</v>
      </c>
      <c r="T1003" s="8" t="n">
        <f aca="false">R1003+S1003</f>
        <v>6603.686</v>
      </c>
      <c r="U1003" s="8" t="n">
        <f aca="false">T1003-K1003</f>
        <v>3685.056</v>
      </c>
      <c r="V1003" s="8" t="n">
        <f aca="false">R1003+S1003-U1003</f>
        <v>2918.63</v>
      </c>
      <c r="W1003" s="9" t="str">
        <f aca="false">IF(ROUND(V1003-K1003,2)=0,"OK","ERRO")</f>
        <v>OK</v>
      </c>
      <c r="X1003" s="9" t="str">
        <f aca="false">VLOOKUP(F1003,DIM_SERVICO!$A$2:$D$151,3,FALSE())</f>
        <v>Elétrica</v>
      </c>
    </row>
    <row r="1004" customFormat="false" ht="15" hidden="false" customHeight="false" outlineLevel="0" collapsed="false">
      <c r="A1004" s="2" t="n">
        <v>1003</v>
      </c>
      <c r="B1004" s="2" t="n">
        <v>247</v>
      </c>
      <c r="C1004" s="2" t="n">
        <v>130</v>
      </c>
      <c r="D1004" s="2" t="n">
        <v>922</v>
      </c>
      <c r="E1004" s="2" t="n">
        <v>111</v>
      </c>
      <c r="F1004" s="2" t="n">
        <v>34</v>
      </c>
      <c r="G1004" s="2" t="n">
        <v>759</v>
      </c>
      <c r="H1004" s="2" t="n">
        <v>4</v>
      </c>
      <c r="I1004" s="3" t="n">
        <v>2305.68</v>
      </c>
      <c r="J1004" s="3" t="n">
        <v>1715.98</v>
      </c>
      <c r="K1004" s="3" t="n">
        <v>4890.73</v>
      </c>
      <c r="L1004" s="3" t="n">
        <v>1729.23</v>
      </c>
      <c r="M1004" s="2" t="n">
        <v>6.8</v>
      </c>
      <c r="N1004" s="2" t="s">
        <v>24</v>
      </c>
      <c r="O1004" s="4" t="n">
        <f aca="false">VLOOKUP(F1004,DIM_SERVICO!$A$2:$D$151,4,FALSE())</f>
        <v>1715.98</v>
      </c>
      <c r="P1004" s="4" t="n">
        <f aca="false">VLOOKUP(E1004,DIM_PECA!$A$2:$F$501,6,FALSE())</f>
        <v>818.64</v>
      </c>
      <c r="Q1004" s="4" t="n">
        <f aca="false">VLOOKUP(E1004,DIM_PECA!$A$2:$F$501,5,FALSE())</f>
        <v>576.42</v>
      </c>
      <c r="R1004" s="4" t="n">
        <f aca="false">H1004*P1004</f>
        <v>3274.56</v>
      </c>
      <c r="S1004" s="4" t="n">
        <f aca="false">O1004*M1004</f>
        <v>11668.664</v>
      </c>
      <c r="T1004" s="4" t="n">
        <f aca="false">R1004+S1004</f>
        <v>14943.224</v>
      </c>
      <c r="U1004" s="4" t="n">
        <f aca="false">T1004-K1004</f>
        <v>10052.494</v>
      </c>
      <c r="V1004" s="4" t="n">
        <f aca="false">R1004+S1004-U1004</f>
        <v>4890.73</v>
      </c>
      <c r="W1004" s="5" t="str">
        <f aca="false">IF(ROUND(V1004-K1004,2)=0,"OK","ERRO")</f>
        <v>OK</v>
      </c>
      <c r="X1004" s="5" t="str">
        <f aca="false">VLOOKUP(F1004,DIM_SERVICO!$A$2:$D$151,3,FALSE())</f>
        <v>Revisão</v>
      </c>
    </row>
    <row r="1005" customFormat="false" ht="15" hidden="false" customHeight="false" outlineLevel="0" collapsed="false">
      <c r="A1005" s="6" t="n">
        <v>1004</v>
      </c>
      <c r="B1005" s="6" t="n">
        <v>1178</v>
      </c>
      <c r="C1005" s="6" t="n">
        <v>774</v>
      </c>
      <c r="D1005" s="6" t="n">
        <v>171</v>
      </c>
      <c r="E1005" s="6" t="n">
        <v>2</v>
      </c>
      <c r="F1005" s="6" t="n">
        <v>135</v>
      </c>
      <c r="G1005" s="6" t="n">
        <v>694</v>
      </c>
      <c r="H1005" s="6" t="n">
        <v>2</v>
      </c>
      <c r="I1005" s="7" t="n">
        <v>1619.38</v>
      </c>
      <c r="J1005" s="7" t="n">
        <v>2099.01</v>
      </c>
      <c r="K1005" s="7" t="n">
        <v>4073.01</v>
      </c>
      <c r="L1005" s="7" t="n">
        <v>1528.48</v>
      </c>
      <c r="M1005" s="6" t="n">
        <v>6.2</v>
      </c>
      <c r="N1005" s="6" t="s">
        <v>24</v>
      </c>
      <c r="O1005" s="8" t="n">
        <f aca="false">VLOOKUP(F1005,DIM_SERVICO!$A$2:$D$151,4,FALSE())</f>
        <v>2099.01</v>
      </c>
      <c r="P1005" s="8" t="n">
        <f aca="false">VLOOKUP(E1005,DIM_PECA!$A$2:$F$501,6,FALSE())</f>
        <v>1213.28</v>
      </c>
      <c r="Q1005" s="8" t="n">
        <f aca="false">VLOOKUP(E1005,DIM_PECA!$A$2:$F$501,5,FALSE())</f>
        <v>809.69</v>
      </c>
      <c r="R1005" s="8" t="n">
        <f aca="false">H1005*P1005</f>
        <v>2426.56</v>
      </c>
      <c r="S1005" s="8" t="n">
        <f aca="false">O1005*M1005</f>
        <v>13013.862</v>
      </c>
      <c r="T1005" s="8" t="n">
        <f aca="false">R1005+S1005</f>
        <v>15440.422</v>
      </c>
      <c r="U1005" s="8" t="n">
        <f aca="false">T1005-K1005</f>
        <v>11367.412</v>
      </c>
      <c r="V1005" s="8" t="n">
        <f aca="false">R1005+S1005-U1005</f>
        <v>4073.01</v>
      </c>
      <c r="W1005" s="9" t="str">
        <f aca="false">IF(ROUND(V1005-K1005,2)=0,"OK","ERRO")</f>
        <v>OK</v>
      </c>
      <c r="X1005" s="9" t="str">
        <f aca="false">VLOOKUP(F1005,DIM_SERVICO!$A$2:$D$151,3,FALSE())</f>
        <v>Motor</v>
      </c>
    </row>
    <row r="1006" customFormat="false" ht="15" hidden="false" customHeight="false" outlineLevel="0" collapsed="false">
      <c r="A1006" s="2" t="n">
        <v>1005</v>
      </c>
      <c r="B1006" s="2" t="n">
        <v>1076</v>
      </c>
      <c r="C1006" s="2" t="n">
        <v>43</v>
      </c>
      <c r="D1006" s="2" t="n">
        <v>177</v>
      </c>
      <c r="E1006" s="2" t="n">
        <v>4</v>
      </c>
      <c r="F1006" s="2" t="n">
        <v>39</v>
      </c>
      <c r="G1006" s="2" t="n">
        <v>1537</v>
      </c>
      <c r="H1006" s="2" t="n">
        <v>2</v>
      </c>
      <c r="I1006" s="3" t="n">
        <v>1632.06</v>
      </c>
      <c r="J1006" s="3" t="n">
        <v>1270.92</v>
      </c>
      <c r="K1006" s="3" t="n">
        <v>4238.12</v>
      </c>
      <c r="L1006" s="3" t="n">
        <v>1976.98</v>
      </c>
      <c r="M1006" s="2" t="n">
        <v>8.6</v>
      </c>
      <c r="N1006" s="2" t="s">
        <v>24</v>
      </c>
      <c r="O1006" s="4" t="n">
        <f aca="false">VLOOKUP(F1006,DIM_SERVICO!$A$2:$D$151,4,FALSE())</f>
        <v>1270.92</v>
      </c>
      <c r="P1006" s="4" t="n">
        <f aca="false">VLOOKUP(E1006,DIM_PECA!$A$2:$F$501,6,FALSE())</f>
        <v>1483.6</v>
      </c>
      <c r="Q1006" s="4" t="n">
        <f aca="false">VLOOKUP(E1006,DIM_PECA!$A$2:$F$501,5,FALSE())</f>
        <v>816.03</v>
      </c>
      <c r="R1006" s="4" t="n">
        <f aca="false">H1006*P1006</f>
        <v>2967.2</v>
      </c>
      <c r="S1006" s="4" t="n">
        <f aca="false">O1006*M1006</f>
        <v>10929.912</v>
      </c>
      <c r="T1006" s="4" t="n">
        <f aca="false">R1006+S1006</f>
        <v>13897.112</v>
      </c>
      <c r="U1006" s="4" t="n">
        <f aca="false">T1006-K1006</f>
        <v>9658.992</v>
      </c>
      <c r="V1006" s="4" t="n">
        <f aca="false">R1006+S1006-U1006</f>
        <v>4238.12</v>
      </c>
      <c r="W1006" s="5" t="str">
        <f aca="false">IF(ROUND(V1006-K1006,2)=0,"OK","ERRO")</f>
        <v>OK</v>
      </c>
      <c r="X1006" s="5" t="str">
        <f aca="false">VLOOKUP(F1006,DIM_SERVICO!$A$2:$D$151,3,FALSE())</f>
        <v>Suspensão</v>
      </c>
    </row>
    <row r="1007" customFormat="false" ht="15" hidden="false" customHeight="false" outlineLevel="0" collapsed="false">
      <c r="A1007" s="6" t="n">
        <v>1006</v>
      </c>
      <c r="B1007" s="6" t="n">
        <v>599</v>
      </c>
      <c r="C1007" s="6" t="n">
        <v>1147</v>
      </c>
      <c r="D1007" s="6" t="n">
        <v>405</v>
      </c>
      <c r="E1007" s="6" t="n">
        <v>448</v>
      </c>
      <c r="F1007" s="6" t="n">
        <v>11</v>
      </c>
      <c r="G1007" s="6" t="n">
        <v>653</v>
      </c>
      <c r="H1007" s="6" t="n">
        <v>1</v>
      </c>
      <c r="I1007" s="7" t="n">
        <v>961.99</v>
      </c>
      <c r="J1007" s="7" t="n">
        <v>2164.78</v>
      </c>
      <c r="K1007" s="7" t="n">
        <v>3436.12</v>
      </c>
      <c r="L1007" s="7" t="n">
        <v>1393.82</v>
      </c>
      <c r="M1007" s="6" t="n">
        <v>11.1</v>
      </c>
      <c r="N1007" s="6" t="s">
        <v>24</v>
      </c>
      <c r="O1007" s="8" t="n">
        <f aca="false">VLOOKUP(F1007,DIM_SERVICO!$A$2:$D$151,4,FALSE())</f>
        <v>2164.78</v>
      </c>
      <c r="P1007" s="8" t="n">
        <f aca="false">VLOOKUP(E1007,DIM_PECA!$A$2:$F$501,6,FALSE())</f>
        <v>1653.13</v>
      </c>
      <c r="Q1007" s="8" t="n">
        <f aca="false">VLOOKUP(E1007,DIM_PECA!$A$2:$F$501,5,FALSE())</f>
        <v>961.99</v>
      </c>
      <c r="R1007" s="8" t="n">
        <f aca="false">H1007*P1007</f>
        <v>1653.13</v>
      </c>
      <c r="S1007" s="8" t="n">
        <f aca="false">O1007*M1007</f>
        <v>24029.058</v>
      </c>
      <c r="T1007" s="8" t="n">
        <f aca="false">R1007+S1007</f>
        <v>25682.188</v>
      </c>
      <c r="U1007" s="8" t="n">
        <f aca="false">T1007-K1007</f>
        <v>22246.068</v>
      </c>
      <c r="V1007" s="8" t="n">
        <f aca="false">R1007+S1007-U1007</f>
        <v>3436.12</v>
      </c>
      <c r="W1007" s="9" t="str">
        <f aca="false">IF(ROUND(V1007-K1007,2)=0,"OK","ERRO")</f>
        <v>OK</v>
      </c>
      <c r="X1007" s="9" t="str">
        <f aca="false">VLOOKUP(F1007,DIM_SERVICO!$A$2:$D$151,3,FALSE())</f>
        <v>Freios</v>
      </c>
    </row>
    <row r="1008" customFormat="false" ht="15" hidden="false" customHeight="false" outlineLevel="0" collapsed="false">
      <c r="A1008" s="2" t="n">
        <v>1007</v>
      </c>
      <c r="B1008" s="2" t="n">
        <v>409</v>
      </c>
      <c r="C1008" s="2" t="n">
        <v>157</v>
      </c>
      <c r="D1008" s="2" t="n">
        <v>983</v>
      </c>
      <c r="E1008" s="2" t="n">
        <v>466</v>
      </c>
      <c r="F1008" s="2" t="n">
        <v>18</v>
      </c>
      <c r="G1008" s="2" t="n">
        <v>1504</v>
      </c>
      <c r="H1008" s="2" t="n">
        <v>4</v>
      </c>
      <c r="I1008" s="3" t="n">
        <v>1972.28</v>
      </c>
      <c r="J1008" s="3" t="n">
        <v>1667.15</v>
      </c>
      <c r="K1008" s="3" t="n">
        <v>5146.75</v>
      </c>
      <c r="L1008" s="3" t="n">
        <v>2525.64</v>
      </c>
      <c r="M1008" s="2" t="n">
        <v>8.9</v>
      </c>
      <c r="N1008" s="2" t="s">
        <v>24</v>
      </c>
      <c r="O1008" s="4" t="n">
        <f aca="false">VLOOKUP(F1008,DIM_SERVICO!$A$2:$D$151,4,FALSE())</f>
        <v>1667.15</v>
      </c>
      <c r="P1008" s="4" t="n">
        <f aca="false">VLOOKUP(E1008,DIM_PECA!$A$2:$F$501,6,FALSE())</f>
        <v>937.62</v>
      </c>
      <c r="Q1008" s="4" t="n">
        <f aca="false">VLOOKUP(E1008,DIM_PECA!$A$2:$F$501,5,FALSE())</f>
        <v>493.07</v>
      </c>
      <c r="R1008" s="4" t="n">
        <f aca="false">H1008*P1008</f>
        <v>3750.48</v>
      </c>
      <c r="S1008" s="4" t="n">
        <f aca="false">O1008*M1008</f>
        <v>14837.635</v>
      </c>
      <c r="T1008" s="4" t="n">
        <f aca="false">R1008+S1008</f>
        <v>18588.115</v>
      </c>
      <c r="U1008" s="4" t="n">
        <f aca="false">T1008-K1008</f>
        <v>13441.365</v>
      </c>
      <c r="V1008" s="4" t="n">
        <f aca="false">R1008+S1008-U1008</f>
        <v>5146.75</v>
      </c>
      <c r="W1008" s="5" t="str">
        <f aca="false">IF(ROUND(V1008-K1008,2)=0,"OK","ERRO")</f>
        <v>OK</v>
      </c>
      <c r="X1008" s="5" t="str">
        <f aca="false">VLOOKUP(F1008,DIM_SERVICO!$A$2:$D$151,3,FALSE())</f>
        <v>Elétrica</v>
      </c>
    </row>
    <row r="1009" customFormat="false" ht="15" hidden="false" customHeight="false" outlineLevel="0" collapsed="false">
      <c r="A1009" s="6" t="n">
        <v>1008</v>
      </c>
      <c r="B1009" s="6" t="n">
        <v>635</v>
      </c>
      <c r="C1009" s="6" t="n">
        <v>230</v>
      </c>
      <c r="D1009" s="6" t="n">
        <v>10</v>
      </c>
      <c r="E1009" s="6" t="n">
        <v>401</v>
      </c>
      <c r="F1009" s="6" t="n">
        <v>98</v>
      </c>
      <c r="G1009" s="6" t="n">
        <v>949</v>
      </c>
      <c r="H1009" s="6" t="n">
        <v>4</v>
      </c>
      <c r="I1009" s="7" t="n">
        <v>1371.8</v>
      </c>
      <c r="J1009" s="7" t="n">
        <v>951.01</v>
      </c>
      <c r="K1009" s="7" t="n">
        <v>3184.49</v>
      </c>
      <c r="L1009" s="7" t="n">
        <v>1381.28</v>
      </c>
      <c r="M1009" s="6" t="n">
        <v>10.2</v>
      </c>
      <c r="N1009" s="6" t="s">
        <v>24</v>
      </c>
      <c r="O1009" s="8" t="n">
        <f aca="false">VLOOKUP(F1009,DIM_SERVICO!$A$2:$D$151,4,FALSE())</f>
        <v>951.01</v>
      </c>
      <c r="P1009" s="8" t="n">
        <f aca="false">VLOOKUP(E1009,DIM_PECA!$A$2:$F$501,6,FALSE())</f>
        <v>600.27</v>
      </c>
      <c r="Q1009" s="8" t="n">
        <f aca="false">VLOOKUP(E1009,DIM_PECA!$A$2:$F$501,5,FALSE())</f>
        <v>342.95</v>
      </c>
      <c r="R1009" s="8" t="n">
        <f aca="false">H1009*P1009</f>
        <v>2401.08</v>
      </c>
      <c r="S1009" s="8" t="n">
        <f aca="false">O1009*M1009</f>
        <v>9700.302</v>
      </c>
      <c r="T1009" s="8" t="n">
        <f aca="false">R1009+S1009</f>
        <v>12101.382</v>
      </c>
      <c r="U1009" s="8" t="n">
        <f aca="false">T1009-K1009</f>
        <v>8916.892</v>
      </c>
      <c r="V1009" s="8" t="n">
        <f aca="false">R1009+S1009-U1009</f>
        <v>3184.49</v>
      </c>
      <c r="W1009" s="9" t="str">
        <f aca="false">IF(ROUND(V1009-K1009,2)=0,"OK","ERRO")</f>
        <v>OK</v>
      </c>
      <c r="X1009" s="9" t="str">
        <f aca="false">VLOOKUP(F1009,DIM_SERVICO!$A$2:$D$151,3,FALSE())</f>
        <v>Revisão</v>
      </c>
    </row>
    <row r="1010" customFormat="false" ht="15" hidden="false" customHeight="false" outlineLevel="0" collapsed="false">
      <c r="A1010" s="2" t="n">
        <v>1009</v>
      </c>
      <c r="B1010" s="2" t="n">
        <v>206</v>
      </c>
      <c r="C1010" s="2" t="n">
        <v>82</v>
      </c>
      <c r="D1010" s="2" t="n">
        <v>196</v>
      </c>
      <c r="E1010" s="2" t="n">
        <v>145</v>
      </c>
      <c r="F1010" s="2" t="n">
        <v>79</v>
      </c>
      <c r="G1010" s="2" t="n">
        <v>163</v>
      </c>
      <c r="H1010" s="2" t="n">
        <v>1</v>
      </c>
      <c r="I1010" s="3" t="n">
        <v>176.09</v>
      </c>
      <c r="J1010" s="3" t="n">
        <v>748.05</v>
      </c>
      <c r="K1010" s="3" t="n">
        <v>1016.41</v>
      </c>
      <c r="L1010" s="3" t="n">
        <v>458.32</v>
      </c>
      <c r="M1010" s="2" t="n">
        <v>11.9</v>
      </c>
      <c r="N1010" s="2" t="s">
        <v>26</v>
      </c>
      <c r="O1010" s="4" t="n">
        <f aca="false">VLOOKUP(F1010,DIM_SERVICO!$A$2:$D$151,4,FALSE())</f>
        <v>748.05</v>
      </c>
      <c r="P1010" s="4" t="n">
        <f aca="false">VLOOKUP(E1010,DIM_PECA!$A$2:$F$501,6,FALSE())</f>
        <v>381.3</v>
      </c>
      <c r="Q1010" s="4" t="n">
        <f aca="false">VLOOKUP(E1010,DIM_PECA!$A$2:$F$501,5,FALSE())</f>
        <v>176.09</v>
      </c>
      <c r="R1010" s="4" t="n">
        <f aca="false">H1010*P1010</f>
        <v>381.3</v>
      </c>
      <c r="S1010" s="4" t="n">
        <f aca="false">O1010*M1010</f>
        <v>8901.795</v>
      </c>
      <c r="T1010" s="4" t="n">
        <f aca="false">R1010+S1010</f>
        <v>9283.095</v>
      </c>
      <c r="U1010" s="4" t="n">
        <f aca="false">T1010-K1010</f>
        <v>8266.685</v>
      </c>
      <c r="V1010" s="4" t="n">
        <f aca="false">R1010+S1010-U1010</f>
        <v>1016.41</v>
      </c>
      <c r="W1010" s="5" t="str">
        <f aca="false">IF(ROUND(V1010-K1010,2)=0,"OK","ERRO")</f>
        <v>OK</v>
      </c>
      <c r="X1010" s="5" t="str">
        <f aca="false">VLOOKUP(F1010,DIM_SERVICO!$A$2:$D$151,3,FALSE())</f>
        <v>Freios</v>
      </c>
    </row>
    <row r="1011" customFormat="false" ht="15" hidden="false" customHeight="false" outlineLevel="0" collapsed="false">
      <c r="A1011" s="6" t="n">
        <v>1010</v>
      </c>
      <c r="B1011" s="6" t="n">
        <v>379</v>
      </c>
      <c r="C1011" s="6" t="n">
        <v>470</v>
      </c>
      <c r="D1011" s="6" t="n">
        <v>330</v>
      </c>
      <c r="E1011" s="6" t="n">
        <v>287</v>
      </c>
      <c r="F1011" s="6" t="n">
        <v>39</v>
      </c>
      <c r="G1011" s="6" t="n">
        <v>1524</v>
      </c>
      <c r="H1011" s="6" t="n">
        <v>2</v>
      </c>
      <c r="I1011" s="7" t="n">
        <v>298.34</v>
      </c>
      <c r="J1011" s="7" t="n">
        <v>1270.92</v>
      </c>
      <c r="K1011" s="7" t="n">
        <v>1784.04</v>
      </c>
      <c r="L1011" s="7" t="n">
        <v>1012.39</v>
      </c>
      <c r="M1011" s="6" t="n">
        <v>3.5</v>
      </c>
      <c r="N1011" s="6" t="s">
        <v>24</v>
      </c>
      <c r="O1011" s="8" t="n">
        <f aca="false">VLOOKUP(F1011,DIM_SERVICO!$A$2:$D$151,4,FALSE())</f>
        <v>1270.92</v>
      </c>
      <c r="P1011" s="8" t="n">
        <f aca="false">VLOOKUP(E1011,DIM_PECA!$A$2:$F$501,6,FALSE())</f>
        <v>256.56</v>
      </c>
      <c r="Q1011" s="8" t="n">
        <f aca="false">VLOOKUP(E1011,DIM_PECA!$A$2:$F$501,5,FALSE())</f>
        <v>149.17</v>
      </c>
      <c r="R1011" s="8" t="n">
        <f aca="false">H1011*P1011</f>
        <v>513.12</v>
      </c>
      <c r="S1011" s="8" t="n">
        <f aca="false">O1011*M1011</f>
        <v>4448.22</v>
      </c>
      <c r="T1011" s="8" t="n">
        <f aca="false">R1011+S1011</f>
        <v>4961.34</v>
      </c>
      <c r="U1011" s="8" t="n">
        <f aca="false">T1011-K1011</f>
        <v>3177.3</v>
      </c>
      <c r="V1011" s="8" t="n">
        <f aca="false">R1011+S1011-U1011</f>
        <v>1784.04</v>
      </c>
      <c r="W1011" s="9" t="str">
        <f aca="false">IF(ROUND(V1011-K1011,2)=0,"OK","ERRO")</f>
        <v>OK</v>
      </c>
      <c r="X1011" s="9" t="str">
        <f aca="false">VLOOKUP(F1011,DIM_SERVICO!$A$2:$D$151,3,FALSE())</f>
        <v>Suspensão</v>
      </c>
    </row>
    <row r="1012" customFormat="false" ht="15" hidden="false" customHeight="false" outlineLevel="0" collapsed="false">
      <c r="A1012" s="2" t="n">
        <v>1011</v>
      </c>
      <c r="B1012" s="2" t="n">
        <v>949</v>
      </c>
      <c r="C1012" s="2" t="n">
        <v>277</v>
      </c>
      <c r="D1012" s="2" t="n">
        <v>1065</v>
      </c>
      <c r="E1012" s="2" t="n">
        <v>480</v>
      </c>
      <c r="F1012" s="2" t="n">
        <v>85</v>
      </c>
      <c r="G1012" s="2" t="n">
        <v>1039</v>
      </c>
      <c r="H1012" s="2" t="n">
        <v>4</v>
      </c>
      <c r="I1012" s="3" t="n">
        <v>3855.6</v>
      </c>
      <c r="J1012" s="3" t="n">
        <v>328.76</v>
      </c>
      <c r="K1012" s="3" t="n">
        <v>7051.48</v>
      </c>
      <c r="L1012" s="3" t="n">
        <v>3052.37</v>
      </c>
      <c r="M1012" s="2" t="n">
        <v>1.7</v>
      </c>
      <c r="N1012" s="2" t="s">
        <v>24</v>
      </c>
      <c r="O1012" s="4" t="n">
        <f aca="false">VLOOKUP(F1012,DIM_SERVICO!$A$2:$D$151,4,FALSE())</f>
        <v>328.76</v>
      </c>
      <c r="P1012" s="4" t="n">
        <f aca="false">VLOOKUP(E1012,DIM_PECA!$A$2:$F$501,6,FALSE())</f>
        <v>1680.68</v>
      </c>
      <c r="Q1012" s="4" t="n">
        <f aca="false">VLOOKUP(E1012,DIM_PECA!$A$2:$F$501,5,FALSE())</f>
        <v>963.9</v>
      </c>
      <c r="R1012" s="4" t="n">
        <f aca="false">H1012*P1012</f>
        <v>6722.72</v>
      </c>
      <c r="S1012" s="4" t="n">
        <f aca="false">O1012*M1012</f>
        <v>558.892</v>
      </c>
      <c r="T1012" s="4" t="n">
        <f aca="false">R1012+S1012</f>
        <v>7281.612</v>
      </c>
      <c r="U1012" s="4" t="n">
        <f aca="false">T1012-K1012</f>
        <v>230.132000000001</v>
      </c>
      <c r="V1012" s="4" t="n">
        <f aca="false">R1012+S1012-U1012</f>
        <v>7051.48</v>
      </c>
      <c r="W1012" s="5" t="str">
        <f aca="false">IF(ROUND(V1012-K1012,2)=0,"OK","ERRO")</f>
        <v>OK</v>
      </c>
      <c r="X1012" s="5" t="str">
        <f aca="false">VLOOKUP(F1012,DIM_SERVICO!$A$2:$D$151,3,FALSE())</f>
        <v>Motor</v>
      </c>
    </row>
    <row r="1013" customFormat="false" ht="15" hidden="false" customHeight="false" outlineLevel="0" collapsed="false">
      <c r="A1013" s="6" t="n">
        <v>1012</v>
      </c>
      <c r="B1013" s="6" t="n">
        <v>882</v>
      </c>
      <c r="C1013" s="6" t="n">
        <v>993</v>
      </c>
      <c r="D1013" s="6" t="n">
        <v>44</v>
      </c>
      <c r="E1013" s="6" t="n">
        <v>445</v>
      </c>
      <c r="F1013" s="6" t="n">
        <v>40</v>
      </c>
      <c r="G1013" s="6" t="n">
        <v>1665</v>
      </c>
      <c r="H1013" s="6" t="n">
        <v>3</v>
      </c>
      <c r="I1013" s="7" t="n">
        <v>1727.4</v>
      </c>
      <c r="J1013" s="7" t="n">
        <v>1973.77</v>
      </c>
      <c r="K1013" s="7" t="n">
        <v>4673.44</v>
      </c>
      <c r="L1013" s="7" t="n">
        <v>1918.18</v>
      </c>
      <c r="M1013" s="6" t="n">
        <v>9.9</v>
      </c>
      <c r="N1013" s="6" t="s">
        <v>26</v>
      </c>
      <c r="O1013" s="8" t="n">
        <f aca="false">VLOOKUP(F1013,DIM_SERVICO!$A$2:$D$151,4,FALSE())</f>
        <v>1973.77</v>
      </c>
      <c r="P1013" s="8" t="n">
        <f aca="false">VLOOKUP(E1013,DIM_PECA!$A$2:$F$501,6,FALSE())</f>
        <v>899.89</v>
      </c>
      <c r="Q1013" s="8" t="n">
        <f aca="false">VLOOKUP(E1013,DIM_PECA!$A$2:$F$501,5,FALSE())</f>
        <v>575.8</v>
      </c>
      <c r="R1013" s="8" t="n">
        <f aca="false">H1013*P1013</f>
        <v>2699.67</v>
      </c>
      <c r="S1013" s="8" t="n">
        <f aca="false">O1013*M1013</f>
        <v>19540.323</v>
      </c>
      <c r="T1013" s="8" t="n">
        <f aca="false">R1013+S1013</f>
        <v>22239.993</v>
      </c>
      <c r="U1013" s="8" t="n">
        <f aca="false">T1013-K1013</f>
        <v>17566.553</v>
      </c>
      <c r="V1013" s="8" t="n">
        <f aca="false">R1013+S1013-U1013</f>
        <v>4673.44</v>
      </c>
      <c r="W1013" s="9" t="str">
        <f aca="false">IF(ROUND(V1013-K1013,2)=0,"OK","ERRO")</f>
        <v>OK</v>
      </c>
      <c r="X1013" s="9" t="str">
        <f aca="false">VLOOKUP(F1013,DIM_SERVICO!$A$2:$D$151,3,FALSE())</f>
        <v>Elétrica</v>
      </c>
    </row>
    <row r="1014" customFormat="false" ht="15" hidden="false" customHeight="false" outlineLevel="0" collapsed="false">
      <c r="A1014" s="2" t="n">
        <v>1013</v>
      </c>
      <c r="B1014" s="2" t="n">
        <v>1315</v>
      </c>
      <c r="C1014" s="2" t="n">
        <v>800</v>
      </c>
      <c r="D1014" s="2" t="n">
        <v>569</v>
      </c>
      <c r="E1014" s="2" t="n">
        <v>168</v>
      </c>
      <c r="F1014" s="2" t="n">
        <v>10</v>
      </c>
      <c r="G1014" s="2" t="n">
        <v>322</v>
      </c>
      <c r="H1014" s="2" t="n">
        <v>3</v>
      </c>
      <c r="I1014" s="3" t="n">
        <v>2241.87</v>
      </c>
      <c r="J1014" s="3" t="n">
        <v>338.82</v>
      </c>
      <c r="K1014" s="3" t="n">
        <v>3313.32</v>
      </c>
      <c r="L1014" s="3" t="n">
        <v>942.25</v>
      </c>
      <c r="M1014" s="2" t="n">
        <v>1.5</v>
      </c>
      <c r="N1014" s="2" t="s">
        <v>27</v>
      </c>
      <c r="O1014" s="4" t="n">
        <f aca="false">VLOOKUP(F1014,DIM_SERVICO!$A$2:$D$151,4,FALSE())</f>
        <v>338.82</v>
      </c>
      <c r="P1014" s="4" t="n">
        <f aca="false">VLOOKUP(E1014,DIM_PECA!$A$2:$F$501,6,FALSE())</f>
        <v>1087.54</v>
      </c>
      <c r="Q1014" s="4" t="n">
        <f aca="false">VLOOKUP(E1014,DIM_PECA!$A$2:$F$501,5,FALSE())</f>
        <v>747.29</v>
      </c>
      <c r="R1014" s="4" t="n">
        <f aca="false">H1014*P1014</f>
        <v>3262.62</v>
      </c>
      <c r="S1014" s="4" t="n">
        <f aca="false">O1014*M1014</f>
        <v>508.23</v>
      </c>
      <c r="T1014" s="4" t="n">
        <f aca="false">R1014+S1014</f>
        <v>3770.85</v>
      </c>
      <c r="U1014" s="4" t="n">
        <f aca="false">T1014-K1014</f>
        <v>457.53</v>
      </c>
      <c r="V1014" s="4" t="n">
        <f aca="false">R1014+S1014-U1014</f>
        <v>3313.32</v>
      </c>
      <c r="W1014" s="5" t="str">
        <f aca="false">IF(ROUND(V1014-K1014,2)=0,"OK","ERRO")</f>
        <v>OK</v>
      </c>
      <c r="X1014" s="5" t="str">
        <f aca="false">VLOOKUP(F1014,DIM_SERVICO!$A$2:$D$151,3,FALSE())</f>
        <v>Diagnóstico</v>
      </c>
    </row>
    <row r="1015" customFormat="false" ht="15" hidden="false" customHeight="false" outlineLevel="0" collapsed="false">
      <c r="A1015" s="6" t="n">
        <v>1014</v>
      </c>
      <c r="B1015" s="6" t="n">
        <v>359</v>
      </c>
      <c r="C1015" s="6" t="n">
        <v>1062</v>
      </c>
      <c r="D1015" s="6" t="n">
        <v>1191</v>
      </c>
      <c r="E1015" s="6" t="n">
        <v>494</v>
      </c>
      <c r="F1015" s="6" t="n">
        <v>37</v>
      </c>
      <c r="G1015" s="6" t="n">
        <v>667</v>
      </c>
      <c r="H1015" s="6" t="n">
        <v>3</v>
      </c>
      <c r="I1015" s="7" t="n">
        <v>2877.63</v>
      </c>
      <c r="J1015" s="7" t="n">
        <v>388.25</v>
      </c>
      <c r="K1015" s="7" t="n">
        <v>4571.71</v>
      </c>
      <c r="L1015" s="7" t="n">
        <v>1517.44</v>
      </c>
      <c r="M1015" s="6" t="n">
        <v>8.5</v>
      </c>
      <c r="N1015" s="6" t="s">
        <v>24</v>
      </c>
      <c r="O1015" s="8" t="n">
        <f aca="false">VLOOKUP(F1015,DIM_SERVICO!$A$2:$D$151,4,FALSE())</f>
        <v>388.25</v>
      </c>
      <c r="P1015" s="8" t="n">
        <f aca="false">VLOOKUP(E1015,DIM_PECA!$A$2:$F$501,6,FALSE())</f>
        <v>1527</v>
      </c>
      <c r="Q1015" s="8" t="n">
        <f aca="false">VLOOKUP(E1015,DIM_PECA!$A$2:$F$501,5,FALSE())</f>
        <v>959.21</v>
      </c>
      <c r="R1015" s="8" t="n">
        <f aca="false">H1015*P1015</f>
        <v>4581</v>
      </c>
      <c r="S1015" s="8" t="n">
        <f aca="false">O1015*M1015</f>
        <v>3300.125</v>
      </c>
      <c r="T1015" s="8" t="n">
        <f aca="false">R1015+S1015</f>
        <v>7881.125</v>
      </c>
      <c r="U1015" s="8" t="n">
        <f aca="false">T1015-K1015</f>
        <v>3309.415</v>
      </c>
      <c r="V1015" s="8" t="n">
        <f aca="false">R1015+S1015-U1015</f>
        <v>4571.71</v>
      </c>
      <c r="W1015" s="9" t="str">
        <f aca="false">IF(ROUND(V1015-K1015,2)=0,"OK","ERRO")</f>
        <v>OK</v>
      </c>
      <c r="X1015" s="9" t="str">
        <f aca="false">VLOOKUP(F1015,DIM_SERVICO!$A$2:$D$151,3,FALSE())</f>
        <v>Freios</v>
      </c>
    </row>
    <row r="1016" customFormat="false" ht="15" hidden="false" customHeight="false" outlineLevel="0" collapsed="false">
      <c r="A1016" s="2" t="n">
        <v>1015</v>
      </c>
      <c r="B1016" s="2" t="n">
        <v>102</v>
      </c>
      <c r="C1016" s="2" t="n">
        <v>708</v>
      </c>
      <c r="D1016" s="2" t="n">
        <v>1104</v>
      </c>
      <c r="E1016" s="2" t="n">
        <v>429</v>
      </c>
      <c r="F1016" s="2" t="n">
        <v>85</v>
      </c>
      <c r="G1016" s="2" t="n">
        <v>5</v>
      </c>
      <c r="H1016" s="2" t="n">
        <v>2</v>
      </c>
      <c r="I1016" s="3" t="n">
        <v>1068.66</v>
      </c>
      <c r="J1016" s="3" t="n">
        <v>328.76</v>
      </c>
      <c r="K1016" s="3" t="n">
        <v>2236.34</v>
      </c>
      <c r="L1016" s="3" t="n">
        <v>1043.3</v>
      </c>
      <c r="M1016" s="2" t="n">
        <v>8</v>
      </c>
      <c r="N1016" s="2" t="s">
        <v>24</v>
      </c>
      <c r="O1016" s="4" t="n">
        <f aca="false">VLOOKUP(F1016,DIM_SERVICO!$A$2:$D$151,4,FALSE())</f>
        <v>328.76</v>
      </c>
      <c r="P1016" s="4" t="n">
        <f aca="false">VLOOKUP(E1016,DIM_PECA!$A$2:$F$501,6,FALSE())</f>
        <v>953.79</v>
      </c>
      <c r="Q1016" s="4" t="n">
        <f aca="false">VLOOKUP(E1016,DIM_PECA!$A$2:$F$501,5,FALSE())</f>
        <v>534.33</v>
      </c>
      <c r="R1016" s="4" t="n">
        <f aca="false">H1016*P1016</f>
        <v>1907.58</v>
      </c>
      <c r="S1016" s="4" t="n">
        <f aca="false">O1016*M1016</f>
        <v>2630.08</v>
      </c>
      <c r="T1016" s="4" t="n">
        <f aca="false">R1016+S1016</f>
        <v>4537.66</v>
      </c>
      <c r="U1016" s="4" t="n">
        <f aca="false">T1016-K1016</f>
        <v>2301.32</v>
      </c>
      <c r="V1016" s="4" t="n">
        <f aca="false">R1016+S1016-U1016</f>
        <v>2236.34</v>
      </c>
      <c r="W1016" s="5" t="str">
        <f aca="false">IF(ROUND(V1016-K1016,2)=0,"OK","ERRO")</f>
        <v>OK</v>
      </c>
      <c r="X1016" s="5" t="str">
        <f aca="false">VLOOKUP(F1016,DIM_SERVICO!$A$2:$D$151,3,FALSE())</f>
        <v>Motor</v>
      </c>
    </row>
    <row r="1017" customFormat="false" ht="15" hidden="false" customHeight="false" outlineLevel="0" collapsed="false">
      <c r="A1017" s="6" t="n">
        <v>1016</v>
      </c>
      <c r="B1017" s="6" t="n">
        <v>432</v>
      </c>
      <c r="C1017" s="6" t="n">
        <v>284</v>
      </c>
      <c r="D1017" s="6" t="n">
        <v>768</v>
      </c>
      <c r="E1017" s="6" t="n">
        <v>111</v>
      </c>
      <c r="F1017" s="6" t="n">
        <v>63</v>
      </c>
      <c r="G1017" s="6" t="n">
        <v>768</v>
      </c>
      <c r="H1017" s="6" t="n">
        <v>2</v>
      </c>
      <c r="I1017" s="7" t="n">
        <v>1152.84</v>
      </c>
      <c r="J1017" s="7" t="n">
        <v>263.48</v>
      </c>
      <c r="K1017" s="7" t="n">
        <v>1900.76</v>
      </c>
      <c r="L1017" s="7" t="n">
        <v>649.62</v>
      </c>
      <c r="M1017" s="6" t="n">
        <v>7.7</v>
      </c>
      <c r="N1017" s="6" t="s">
        <v>24</v>
      </c>
      <c r="O1017" s="8" t="n">
        <f aca="false">VLOOKUP(F1017,DIM_SERVICO!$A$2:$D$151,4,FALSE())</f>
        <v>263.48</v>
      </c>
      <c r="P1017" s="8" t="n">
        <f aca="false">VLOOKUP(E1017,DIM_PECA!$A$2:$F$501,6,FALSE())</f>
        <v>818.64</v>
      </c>
      <c r="Q1017" s="8" t="n">
        <f aca="false">VLOOKUP(E1017,DIM_PECA!$A$2:$F$501,5,FALSE())</f>
        <v>576.42</v>
      </c>
      <c r="R1017" s="8" t="n">
        <f aca="false">H1017*P1017</f>
        <v>1637.28</v>
      </c>
      <c r="S1017" s="8" t="n">
        <f aca="false">O1017*M1017</f>
        <v>2028.796</v>
      </c>
      <c r="T1017" s="8" t="n">
        <f aca="false">R1017+S1017</f>
        <v>3666.076</v>
      </c>
      <c r="U1017" s="8" t="n">
        <f aca="false">T1017-K1017</f>
        <v>1765.316</v>
      </c>
      <c r="V1017" s="8" t="n">
        <f aca="false">R1017+S1017-U1017</f>
        <v>1900.76</v>
      </c>
      <c r="W1017" s="9" t="str">
        <f aca="false">IF(ROUND(V1017-K1017,2)=0,"OK","ERRO")</f>
        <v>OK</v>
      </c>
      <c r="X1017" s="9" t="str">
        <f aca="false">VLOOKUP(F1017,DIM_SERVICO!$A$2:$D$151,3,FALSE())</f>
        <v>Funilaria</v>
      </c>
    </row>
    <row r="1018" customFormat="false" ht="15" hidden="false" customHeight="false" outlineLevel="0" collapsed="false">
      <c r="A1018" s="2" t="n">
        <v>1017</v>
      </c>
      <c r="B1018" s="2" t="n">
        <v>1108</v>
      </c>
      <c r="C1018" s="2" t="n">
        <v>589</v>
      </c>
      <c r="D1018" s="2" t="n">
        <v>903</v>
      </c>
      <c r="E1018" s="2" t="n">
        <v>227</v>
      </c>
      <c r="F1018" s="2" t="n">
        <v>128</v>
      </c>
      <c r="G1018" s="2" t="n">
        <v>256</v>
      </c>
      <c r="H1018" s="2" t="n">
        <v>2</v>
      </c>
      <c r="I1018" s="3" t="n">
        <v>307.4</v>
      </c>
      <c r="J1018" s="3" t="n">
        <v>1139.25</v>
      </c>
      <c r="K1018" s="3" t="n">
        <v>1657.07</v>
      </c>
      <c r="L1018" s="3" t="n">
        <v>950.39</v>
      </c>
      <c r="M1018" s="2" t="n">
        <v>5.1</v>
      </c>
      <c r="N1018" s="2" t="s">
        <v>24</v>
      </c>
      <c r="O1018" s="4" t="n">
        <f aca="false">VLOOKUP(F1018,DIM_SERVICO!$A$2:$D$151,4,FALSE())</f>
        <v>1139.25</v>
      </c>
      <c r="P1018" s="4" t="n">
        <f aca="false">VLOOKUP(E1018,DIM_PECA!$A$2:$F$501,6,FALSE())</f>
        <v>258.91</v>
      </c>
      <c r="Q1018" s="4" t="n">
        <f aca="false">VLOOKUP(E1018,DIM_PECA!$A$2:$F$501,5,FALSE())</f>
        <v>153.7</v>
      </c>
      <c r="R1018" s="4" t="n">
        <f aca="false">H1018*P1018</f>
        <v>517.82</v>
      </c>
      <c r="S1018" s="4" t="n">
        <f aca="false">O1018*M1018</f>
        <v>5810.175</v>
      </c>
      <c r="T1018" s="4" t="n">
        <f aca="false">R1018+S1018</f>
        <v>6327.995</v>
      </c>
      <c r="U1018" s="4" t="n">
        <f aca="false">T1018-K1018</f>
        <v>4670.925</v>
      </c>
      <c r="V1018" s="4" t="n">
        <f aca="false">R1018+S1018-U1018</f>
        <v>1657.07</v>
      </c>
      <c r="W1018" s="5" t="str">
        <f aca="false">IF(ROUND(V1018-K1018,2)=0,"OK","ERRO")</f>
        <v>OK</v>
      </c>
      <c r="X1018" s="5" t="str">
        <f aca="false">VLOOKUP(F1018,DIM_SERVICO!$A$2:$D$151,3,FALSE())</f>
        <v>Revisão</v>
      </c>
    </row>
    <row r="1019" customFormat="false" ht="15" hidden="false" customHeight="false" outlineLevel="0" collapsed="false">
      <c r="A1019" s="6" t="n">
        <v>1018</v>
      </c>
      <c r="B1019" s="6" t="n">
        <v>854</v>
      </c>
      <c r="C1019" s="6" t="n">
        <v>1414</v>
      </c>
      <c r="D1019" s="6" t="n">
        <v>381</v>
      </c>
      <c r="E1019" s="6" t="n">
        <v>316</v>
      </c>
      <c r="F1019" s="6" t="n">
        <v>34</v>
      </c>
      <c r="G1019" s="6" t="n">
        <v>30</v>
      </c>
      <c r="H1019" s="6" t="n">
        <v>2</v>
      </c>
      <c r="I1019" s="7" t="n">
        <v>586.36</v>
      </c>
      <c r="J1019" s="7" t="n">
        <v>1715.98</v>
      </c>
      <c r="K1019" s="7" t="n">
        <v>2968.66</v>
      </c>
      <c r="L1019" s="7" t="n">
        <v>1514.65</v>
      </c>
      <c r="M1019" s="6" t="n">
        <v>5.7</v>
      </c>
      <c r="N1019" s="6" t="s">
        <v>24</v>
      </c>
      <c r="O1019" s="8" t="n">
        <f aca="false">VLOOKUP(F1019,DIM_SERVICO!$A$2:$D$151,4,FALSE())</f>
        <v>1715.98</v>
      </c>
      <c r="P1019" s="8" t="n">
        <f aca="false">VLOOKUP(E1019,DIM_PECA!$A$2:$F$501,6,FALSE())</f>
        <v>626.34</v>
      </c>
      <c r="Q1019" s="8" t="n">
        <f aca="false">VLOOKUP(E1019,DIM_PECA!$A$2:$F$501,5,FALSE())</f>
        <v>293.18</v>
      </c>
      <c r="R1019" s="8" t="n">
        <f aca="false">H1019*P1019</f>
        <v>1252.68</v>
      </c>
      <c r="S1019" s="8" t="n">
        <f aca="false">O1019*M1019</f>
        <v>9781.086</v>
      </c>
      <c r="T1019" s="8" t="n">
        <f aca="false">R1019+S1019</f>
        <v>11033.766</v>
      </c>
      <c r="U1019" s="8" t="n">
        <f aca="false">T1019-K1019</f>
        <v>8065.106</v>
      </c>
      <c r="V1019" s="8" t="n">
        <f aca="false">R1019+S1019-U1019</f>
        <v>2968.66</v>
      </c>
      <c r="W1019" s="9" t="str">
        <f aca="false">IF(ROUND(V1019-K1019,2)=0,"OK","ERRO")</f>
        <v>OK</v>
      </c>
      <c r="X1019" s="9" t="str">
        <f aca="false">VLOOKUP(F1019,DIM_SERVICO!$A$2:$D$151,3,FALSE())</f>
        <v>Revisão</v>
      </c>
    </row>
    <row r="1020" customFormat="false" ht="15" hidden="false" customHeight="false" outlineLevel="0" collapsed="false">
      <c r="A1020" s="2" t="n">
        <v>1019</v>
      </c>
      <c r="B1020" s="2" t="n">
        <v>1142</v>
      </c>
      <c r="C1020" s="2" t="n">
        <v>1500</v>
      </c>
      <c r="D1020" s="2" t="n">
        <v>838</v>
      </c>
      <c r="E1020" s="2" t="n">
        <v>144</v>
      </c>
      <c r="F1020" s="2" t="n">
        <v>79</v>
      </c>
      <c r="G1020" s="2" t="n">
        <v>1061</v>
      </c>
      <c r="H1020" s="2" t="n">
        <v>2</v>
      </c>
      <c r="I1020" s="3" t="n">
        <v>149.48</v>
      </c>
      <c r="J1020" s="3" t="n">
        <v>748.05</v>
      </c>
      <c r="K1020" s="3" t="n">
        <v>1059.05</v>
      </c>
      <c r="L1020" s="3" t="n">
        <v>571.41</v>
      </c>
      <c r="M1020" s="2" t="n">
        <v>6.9</v>
      </c>
      <c r="N1020" s="2" t="s">
        <v>24</v>
      </c>
      <c r="O1020" s="4" t="n">
        <f aca="false">VLOOKUP(F1020,DIM_SERVICO!$A$2:$D$151,4,FALSE())</f>
        <v>748.05</v>
      </c>
      <c r="P1020" s="4" t="n">
        <f aca="false">VLOOKUP(E1020,DIM_PECA!$A$2:$F$501,6,FALSE())</f>
        <v>155.5</v>
      </c>
      <c r="Q1020" s="4" t="n">
        <f aca="false">VLOOKUP(E1020,DIM_PECA!$A$2:$F$501,5,FALSE())</f>
        <v>74.74</v>
      </c>
      <c r="R1020" s="4" t="n">
        <f aca="false">H1020*P1020</f>
        <v>311</v>
      </c>
      <c r="S1020" s="4" t="n">
        <f aca="false">O1020*M1020</f>
        <v>5161.545</v>
      </c>
      <c r="T1020" s="4" t="n">
        <f aca="false">R1020+S1020</f>
        <v>5472.545</v>
      </c>
      <c r="U1020" s="4" t="n">
        <f aca="false">T1020-K1020</f>
        <v>4413.495</v>
      </c>
      <c r="V1020" s="4" t="n">
        <f aca="false">R1020+S1020-U1020</f>
        <v>1059.05</v>
      </c>
      <c r="W1020" s="5" t="str">
        <f aca="false">IF(ROUND(V1020-K1020,2)=0,"OK","ERRO")</f>
        <v>OK</v>
      </c>
      <c r="X1020" s="5" t="str">
        <f aca="false">VLOOKUP(F1020,DIM_SERVICO!$A$2:$D$151,3,FALSE())</f>
        <v>Freios</v>
      </c>
    </row>
    <row r="1021" customFormat="false" ht="15" hidden="false" customHeight="false" outlineLevel="0" collapsed="false">
      <c r="A1021" s="6" t="n">
        <v>1020</v>
      </c>
      <c r="B1021" s="6" t="n">
        <v>654</v>
      </c>
      <c r="C1021" s="6" t="n">
        <v>1022</v>
      </c>
      <c r="D1021" s="6" t="n">
        <v>362</v>
      </c>
      <c r="E1021" s="6" t="n">
        <v>315</v>
      </c>
      <c r="F1021" s="6" t="n">
        <v>16</v>
      </c>
      <c r="G1021" s="6" t="n">
        <v>90</v>
      </c>
      <c r="H1021" s="6" t="n">
        <v>3</v>
      </c>
      <c r="I1021" s="7" t="n">
        <v>2338.38</v>
      </c>
      <c r="J1021" s="7" t="n">
        <v>266.12</v>
      </c>
      <c r="K1021" s="7" t="n">
        <v>4056.88</v>
      </c>
      <c r="L1021" s="7" t="n">
        <v>1602.34</v>
      </c>
      <c r="M1021" s="6" t="n">
        <v>8.5</v>
      </c>
      <c r="N1021" s="6" t="s">
        <v>24</v>
      </c>
      <c r="O1021" s="8" t="n">
        <f aca="false">VLOOKUP(F1021,DIM_SERVICO!$A$2:$D$151,4,FALSE())</f>
        <v>266.12</v>
      </c>
      <c r="P1021" s="8" t="n">
        <f aca="false">VLOOKUP(E1021,DIM_PECA!$A$2:$F$501,6,FALSE())</f>
        <v>1334.76</v>
      </c>
      <c r="Q1021" s="8" t="n">
        <f aca="false">VLOOKUP(E1021,DIM_PECA!$A$2:$F$501,5,FALSE())</f>
        <v>779.46</v>
      </c>
      <c r="R1021" s="8" t="n">
        <f aca="false">H1021*P1021</f>
        <v>4004.28</v>
      </c>
      <c r="S1021" s="8" t="n">
        <f aca="false">O1021*M1021</f>
        <v>2262.02</v>
      </c>
      <c r="T1021" s="8" t="n">
        <f aca="false">R1021+S1021</f>
        <v>6266.3</v>
      </c>
      <c r="U1021" s="8" t="n">
        <f aca="false">T1021-K1021</f>
        <v>2209.42</v>
      </c>
      <c r="V1021" s="8" t="n">
        <f aca="false">R1021+S1021-U1021</f>
        <v>4056.88</v>
      </c>
      <c r="W1021" s="9" t="str">
        <f aca="false">IF(ROUND(V1021-K1021,2)=0,"OK","ERRO")</f>
        <v>OK</v>
      </c>
      <c r="X1021" s="9" t="str">
        <f aca="false">VLOOKUP(F1021,DIM_SERVICO!$A$2:$D$151,3,FALSE())</f>
        <v>Funilaria</v>
      </c>
    </row>
    <row r="1022" customFormat="false" ht="15" hidden="false" customHeight="false" outlineLevel="0" collapsed="false">
      <c r="A1022" s="2" t="n">
        <v>1021</v>
      </c>
      <c r="B1022" s="2" t="n">
        <v>275</v>
      </c>
      <c r="C1022" s="2" t="n">
        <v>792</v>
      </c>
      <c r="D1022" s="2" t="n">
        <v>767</v>
      </c>
      <c r="E1022" s="2" t="n">
        <v>201</v>
      </c>
      <c r="F1022" s="2" t="n">
        <v>115</v>
      </c>
      <c r="G1022" s="2" t="n">
        <v>1552</v>
      </c>
      <c r="H1022" s="2" t="n">
        <v>4</v>
      </c>
      <c r="I1022" s="3" t="n">
        <v>425.8</v>
      </c>
      <c r="J1022" s="3" t="n">
        <v>1374.43</v>
      </c>
      <c r="K1022" s="3" t="n">
        <v>2118.11</v>
      </c>
      <c r="L1022" s="3" t="n">
        <v>1055.22</v>
      </c>
      <c r="M1022" s="2" t="n">
        <v>7.8</v>
      </c>
      <c r="N1022" s="2" t="s">
        <v>24</v>
      </c>
      <c r="O1022" s="4" t="n">
        <f aca="false">VLOOKUP(F1022,DIM_SERVICO!$A$2:$D$151,4,FALSE())</f>
        <v>1374.43</v>
      </c>
      <c r="P1022" s="4" t="n">
        <f aca="false">VLOOKUP(E1022,DIM_PECA!$A$2:$F$501,6,FALSE())</f>
        <v>185.92</v>
      </c>
      <c r="Q1022" s="4" t="n">
        <f aca="false">VLOOKUP(E1022,DIM_PECA!$A$2:$F$501,5,FALSE())</f>
        <v>106.45</v>
      </c>
      <c r="R1022" s="4" t="n">
        <f aca="false">H1022*P1022</f>
        <v>743.68</v>
      </c>
      <c r="S1022" s="4" t="n">
        <f aca="false">O1022*M1022</f>
        <v>10720.554</v>
      </c>
      <c r="T1022" s="4" t="n">
        <f aca="false">R1022+S1022</f>
        <v>11464.234</v>
      </c>
      <c r="U1022" s="4" t="n">
        <f aca="false">T1022-K1022</f>
        <v>9346.124</v>
      </c>
      <c r="V1022" s="4" t="n">
        <f aca="false">R1022+S1022-U1022</f>
        <v>2118.11</v>
      </c>
      <c r="W1022" s="5" t="str">
        <f aca="false">IF(ROUND(V1022-K1022,2)=0,"OK","ERRO")</f>
        <v>OK</v>
      </c>
      <c r="X1022" s="5" t="str">
        <f aca="false">VLOOKUP(F1022,DIM_SERVICO!$A$2:$D$151,3,FALSE())</f>
        <v>Suspensão</v>
      </c>
    </row>
    <row r="1023" customFormat="false" ht="15" hidden="false" customHeight="false" outlineLevel="0" collapsed="false">
      <c r="A1023" s="6" t="n">
        <v>1022</v>
      </c>
      <c r="B1023" s="6" t="n">
        <v>339</v>
      </c>
      <c r="C1023" s="6" t="n">
        <v>1453</v>
      </c>
      <c r="D1023" s="6" t="n">
        <v>1092</v>
      </c>
      <c r="E1023" s="6" t="n">
        <v>435</v>
      </c>
      <c r="F1023" s="6" t="n">
        <v>112</v>
      </c>
      <c r="G1023" s="6" t="n">
        <v>1333</v>
      </c>
      <c r="H1023" s="6" t="n">
        <v>3</v>
      </c>
      <c r="I1023" s="7" t="n">
        <v>1961.04</v>
      </c>
      <c r="J1023" s="7" t="n">
        <v>899.56</v>
      </c>
      <c r="K1023" s="7" t="n">
        <v>3851.07</v>
      </c>
      <c r="L1023" s="7" t="n">
        <v>1465.45</v>
      </c>
      <c r="M1023" s="6" t="n">
        <v>10.9</v>
      </c>
      <c r="N1023" s="6" t="s">
        <v>24</v>
      </c>
      <c r="O1023" s="8" t="n">
        <f aca="false">VLOOKUP(F1023,DIM_SERVICO!$A$2:$D$151,4,FALSE())</f>
        <v>899.56</v>
      </c>
      <c r="P1023" s="8" t="n">
        <f aca="false">VLOOKUP(E1023,DIM_PECA!$A$2:$F$501,6,FALSE())</f>
        <v>1126.47</v>
      </c>
      <c r="Q1023" s="8" t="n">
        <f aca="false">VLOOKUP(E1023,DIM_PECA!$A$2:$F$501,5,FALSE())</f>
        <v>653.68</v>
      </c>
      <c r="R1023" s="8" t="n">
        <f aca="false">H1023*P1023</f>
        <v>3379.41</v>
      </c>
      <c r="S1023" s="8" t="n">
        <f aca="false">O1023*M1023</f>
        <v>9805.204</v>
      </c>
      <c r="T1023" s="8" t="n">
        <f aca="false">R1023+S1023</f>
        <v>13184.614</v>
      </c>
      <c r="U1023" s="8" t="n">
        <f aca="false">T1023-K1023</f>
        <v>9333.544</v>
      </c>
      <c r="V1023" s="8" t="n">
        <f aca="false">R1023+S1023-U1023</f>
        <v>3851.07</v>
      </c>
      <c r="W1023" s="9" t="str">
        <f aca="false">IF(ROUND(V1023-K1023,2)=0,"OK","ERRO")</f>
        <v>OK</v>
      </c>
      <c r="X1023" s="9" t="str">
        <f aca="false">VLOOKUP(F1023,DIM_SERVICO!$A$2:$D$151,3,FALSE())</f>
        <v>Elétrica</v>
      </c>
    </row>
    <row r="1024" customFormat="false" ht="15" hidden="false" customHeight="false" outlineLevel="0" collapsed="false">
      <c r="A1024" s="2" t="n">
        <v>1023</v>
      </c>
      <c r="B1024" s="2" t="n">
        <v>174</v>
      </c>
      <c r="C1024" s="2" t="n">
        <v>1306</v>
      </c>
      <c r="D1024" s="2" t="n">
        <v>76</v>
      </c>
      <c r="E1024" s="2" t="n">
        <v>132</v>
      </c>
      <c r="F1024" s="2" t="n">
        <v>127</v>
      </c>
      <c r="G1024" s="2" t="n">
        <v>252</v>
      </c>
      <c r="H1024" s="2" t="n">
        <v>4</v>
      </c>
      <c r="I1024" s="3" t="n">
        <v>3331.24</v>
      </c>
      <c r="J1024" s="3" t="n">
        <v>165.02</v>
      </c>
      <c r="K1024" s="3" t="n">
        <v>7021.54</v>
      </c>
      <c r="L1024" s="3" t="n">
        <v>3605.42</v>
      </c>
      <c r="M1024" s="2" t="n">
        <v>4.3</v>
      </c>
      <c r="N1024" s="2" t="s">
        <v>25</v>
      </c>
      <c r="O1024" s="4" t="n">
        <f aca="false">VLOOKUP(F1024,DIM_SERVICO!$A$2:$D$151,4,FALSE())</f>
        <v>165.02</v>
      </c>
      <c r="P1024" s="4" t="n">
        <f aca="false">VLOOKUP(E1024,DIM_PECA!$A$2:$F$501,6,FALSE())</f>
        <v>1714.13</v>
      </c>
      <c r="Q1024" s="4" t="n">
        <f aca="false">VLOOKUP(E1024,DIM_PECA!$A$2:$F$501,5,FALSE())</f>
        <v>832.81</v>
      </c>
      <c r="R1024" s="4" t="n">
        <f aca="false">H1024*P1024</f>
        <v>6856.52</v>
      </c>
      <c r="S1024" s="4" t="n">
        <f aca="false">O1024*M1024</f>
        <v>709.586</v>
      </c>
      <c r="T1024" s="4" t="n">
        <f aca="false">R1024+S1024</f>
        <v>7566.106</v>
      </c>
      <c r="U1024" s="4" t="n">
        <f aca="false">T1024-K1024</f>
        <v>544.566000000001</v>
      </c>
      <c r="V1024" s="4" t="n">
        <f aca="false">R1024+S1024-U1024</f>
        <v>7021.54</v>
      </c>
      <c r="W1024" s="5" t="str">
        <f aca="false">IF(ROUND(V1024-K1024,2)=0,"OK","ERRO")</f>
        <v>OK</v>
      </c>
      <c r="X1024" s="5" t="str">
        <f aca="false">VLOOKUP(F1024,DIM_SERVICO!$A$2:$D$151,3,FALSE())</f>
        <v>Suspensão</v>
      </c>
    </row>
    <row r="1025" customFormat="false" ht="15" hidden="false" customHeight="false" outlineLevel="0" collapsed="false">
      <c r="A1025" s="6" t="n">
        <v>1024</v>
      </c>
      <c r="B1025" s="6" t="n">
        <v>863</v>
      </c>
      <c r="C1025" s="6" t="n">
        <v>527</v>
      </c>
      <c r="D1025" s="6" t="n">
        <v>582</v>
      </c>
      <c r="E1025" s="6" t="n">
        <v>327</v>
      </c>
      <c r="F1025" s="6" t="n">
        <v>129</v>
      </c>
      <c r="G1025" s="6" t="n">
        <v>1739</v>
      </c>
      <c r="H1025" s="6" t="n">
        <v>3</v>
      </c>
      <c r="I1025" s="7" t="n">
        <v>2899.02</v>
      </c>
      <c r="J1025" s="7" t="n">
        <v>404</v>
      </c>
      <c r="K1025" s="7" t="n">
        <v>4750.09</v>
      </c>
      <c r="L1025" s="7" t="n">
        <v>1685.05</v>
      </c>
      <c r="M1025" s="6" t="n">
        <v>4.5</v>
      </c>
      <c r="N1025" s="6" t="s">
        <v>24</v>
      </c>
      <c r="O1025" s="8" t="n">
        <f aca="false">VLOOKUP(F1025,DIM_SERVICO!$A$2:$D$151,4,FALSE())</f>
        <v>404</v>
      </c>
      <c r="P1025" s="8" t="n">
        <f aca="false">VLOOKUP(E1025,DIM_PECA!$A$2:$F$501,6,FALSE())</f>
        <v>1586.38</v>
      </c>
      <c r="Q1025" s="8" t="n">
        <f aca="false">VLOOKUP(E1025,DIM_PECA!$A$2:$F$501,5,FALSE())</f>
        <v>966.34</v>
      </c>
      <c r="R1025" s="8" t="n">
        <f aca="false">H1025*P1025</f>
        <v>4759.14</v>
      </c>
      <c r="S1025" s="8" t="n">
        <f aca="false">O1025*M1025</f>
        <v>1818</v>
      </c>
      <c r="T1025" s="8" t="n">
        <f aca="false">R1025+S1025</f>
        <v>6577.14</v>
      </c>
      <c r="U1025" s="8" t="n">
        <f aca="false">T1025-K1025</f>
        <v>1827.05</v>
      </c>
      <c r="V1025" s="8" t="n">
        <f aca="false">R1025+S1025-U1025</f>
        <v>4750.09</v>
      </c>
      <c r="W1025" s="9" t="str">
        <f aca="false">IF(ROUND(V1025-K1025,2)=0,"OK","ERRO")</f>
        <v>OK</v>
      </c>
      <c r="X1025" s="9" t="str">
        <f aca="false">VLOOKUP(F1025,DIM_SERVICO!$A$2:$D$151,3,FALSE())</f>
        <v>Diagnóstico</v>
      </c>
    </row>
    <row r="1026" customFormat="false" ht="15" hidden="false" customHeight="false" outlineLevel="0" collapsed="false">
      <c r="A1026" s="2" t="n">
        <v>1025</v>
      </c>
      <c r="B1026" s="2" t="n">
        <v>160</v>
      </c>
      <c r="C1026" s="2" t="n">
        <v>946</v>
      </c>
      <c r="D1026" s="2" t="n">
        <v>209</v>
      </c>
      <c r="E1026" s="2" t="n">
        <v>126</v>
      </c>
      <c r="F1026" s="2" t="n">
        <v>116</v>
      </c>
      <c r="G1026" s="2" t="n">
        <v>228</v>
      </c>
      <c r="H1026" s="2" t="n">
        <v>3</v>
      </c>
      <c r="I1026" s="3" t="n">
        <v>2377.53</v>
      </c>
      <c r="J1026" s="3" t="n">
        <v>1593.06</v>
      </c>
      <c r="K1026" s="3" t="n">
        <v>5598.45</v>
      </c>
      <c r="L1026" s="3" t="n">
        <v>2582.21</v>
      </c>
      <c r="M1026" s="2" t="n">
        <v>6.3</v>
      </c>
      <c r="N1026" s="2" t="s">
        <v>24</v>
      </c>
      <c r="O1026" s="4" t="n">
        <f aca="false">VLOOKUP(F1026,DIM_SERVICO!$A$2:$D$151,4,FALSE())</f>
        <v>1593.06</v>
      </c>
      <c r="P1026" s="4" t="n">
        <f aca="false">VLOOKUP(E1026,DIM_PECA!$A$2:$F$501,6,FALSE())</f>
        <v>1335.13</v>
      </c>
      <c r="Q1026" s="4" t="n">
        <f aca="false">VLOOKUP(E1026,DIM_PECA!$A$2:$F$501,5,FALSE())</f>
        <v>792.51</v>
      </c>
      <c r="R1026" s="4" t="n">
        <f aca="false">H1026*P1026</f>
        <v>4005.39</v>
      </c>
      <c r="S1026" s="4" t="n">
        <f aca="false">O1026*M1026</f>
        <v>10036.278</v>
      </c>
      <c r="T1026" s="4" t="n">
        <f aca="false">R1026+S1026</f>
        <v>14041.668</v>
      </c>
      <c r="U1026" s="4" t="n">
        <f aca="false">T1026-K1026</f>
        <v>8443.218</v>
      </c>
      <c r="V1026" s="4" t="n">
        <f aca="false">R1026+S1026-U1026</f>
        <v>5598.45</v>
      </c>
      <c r="W1026" s="5" t="str">
        <f aca="false">IF(ROUND(V1026-K1026,2)=0,"OK","ERRO")</f>
        <v>OK</v>
      </c>
      <c r="X1026" s="5" t="str">
        <f aca="false">VLOOKUP(F1026,DIM_SERVICO!$A$2:$D$151,3,FALSE())</f>
        <v>Motor</v>
      </c>
    </row>
    <row r="1027" customFormat="false" ht="15" hidden="false" customHeight="false" outlineLevel="0" collapsed="false">
      <c r="A1027" s="6" t="n">
        <v>1026</v>
      </c>
      <c r="B1027" s="6" t="n">
        <v>322</v>
      </c>
      <c r="C1027" s="6" t="n">
        <v>1192</v>
      </c>
      <c r="D1027" s="6" t="n">
        <v>394</v>
      </c>
      <c r="E1027" s="6" t="n">
        <v>326</v>
      </c>
      <c r="F1027" s="6" t="n">
        <v>45</v>
      </c>
      <c r="G1027" s="6" t="n">
        <v>1068</v>
      </c>
      <c r="H1027" s="6" t="n">
        <v>4</v>
      </c>
      <c r="I1027" s="7" t="n">
        <v>2818.4</v>
      </c>
      <c r="J1027" s="7" t="n">
        <v>510.5</v>
      </c>
      <c r="K1027" s="7" t="n">
        <v>3930.61</v>
      </c>
      <c r="L1027" s="7" t="n">
        <v>911.59</v>
      </c>
      <c r="M1027" s="6" t="n">
        <v>9.4</v>
      </c>
      <c r="N1027" s="6" t="s">
        <v>26</v>
      </c>
      <c r="O1027" s="8" t="n">
        <f aca="false">VLOOKUP(F1027,DIM_SERVICO!$A$2:$D$151,4,FALSE())</f>
        <v>510.5</v>
      </c>
      <c r="P1027" s="8" t="n">
        <f aca="false">VLOOKUP(E1027,DIM_PECA!$A$2:$F$501,6,FALSE())</f>
        <v>964.21</v>
      </c>
      <c r="Q1027" s="8" t="n">
        <f aca="false">VLOOKUP(E1027,DIM_PECA!$A$2:$F$501,5,FALSE())</f>
        <v>704.6</v>
      </c>
      <c r="R1027" s="8" t="n">
        <f aca="false">H1027*P1027</f>
        <v>3856.84</v>
      </c>
      <c r="S1027" s="8" t="n">
        <f aca="false">O1027*M1027</f>
        <v>4798.7</v>
      </c>
      <c r="T1027" s="8" t="n">
        <f aca="false">R1027+S1027</f>
        <v>8655.54</v>
      </c>
      <c r="U1027" s="8" t="n">
        <f aca="false">T1027-K1027</f>
        <v>4724.93</v>
      </c>
      <c r="V1027" s="8" t="n">
        <f aca="false">R1027+S1027-U1027</f>
        <v>3930.61</v>
      </c>
      <c r="W1027" s="9" t="str">
        <f aca="false">IF(ROUND(V1027-K1027,2)=0,"OK","ERRO")</f>
        <v>OK</v>
      </c>
      <c r="X1027" s="9" t="str">
        <f aca="false">VLOOKUP(F1027,DIM_SERVICO!$A$2:$D$151,3,FALSE())</f>
        <v>Revisão</v>
      </c>
    </row>
    <row r="1028" customFormat="false" ht="15" hidden="false" customHeight="false" outlineLevel="0" collapsed="false">
      <c r="A1028" s="2" t="n">
        <v>1027</v>
      </c>
      <c r="B1028" s="2" t="n">
        <v>13</v>
      </c>
      <c r="C1028" s="2" t="n">
        <v>960</v>
      </c>
      <c r="D1028" s="2" t="n">
        <v>698</v>
      </c>
      <c r="E1028" s="2" t="n">
        <v>219</v>
      </c>
      <c r="F1028" s="2" t="n">
        <v>83</v>
      </c>
      <c r="G1028" s="2" t="n">
        <v>527</v>
      </c>
      <c r="H1028" s="2" t="n">
        <v>3</v>
      </c>
      <c r="I1028" s="3" t="n">
        <v>1032.15</v>
      </c>
      <c r="J1028" s="3" t="n">
        <v>2098.93</v>
      </c>
      <c r="K1028" s="3" t="n">
        <v>3874.36</v>
      </c>
      <c r="L1028" s="3" t="n">
        <v>1897.85</v>
      </c>
      <c r="M1028" s="2" t="n">
        <v>9.3</v>
      </c>
      <c r="N1028" s="2" t="s">
        <v>24</v>
      </c>
      <c r="O1028" s="4" t="n">
        <f aca="false">VLOOKUP(F1028,DIM_SERVICO!$A$2:$D$151,4,FALSE())</f>
        <v>2098.93</v>
      </c>
      <c r="P1028" s="4" t="n">
        <f aca="false">VLOOKUP(E1028,DIM_PECA!$A$2:$F$501,6,FALSE())</f>
        <v>591.81</v>
      </c>
      <c r="Q1028" s="4" t="n">
        <f aca="false">VLOOKUP(E1028,DIM_PECA!$A$2:$F$501,5,FALSE())</f>
        <v>344.05</v>
      </c>
      <c r="R1028" s="4" t="n">
        <f aca="false">H1028*P1028</f>
        <v>1775.43</v>
      </c>
      <c r="S1028" s="4" t="n">
        <f aca="false">O1028*M1028</f>
        <v>19520.049</v>
      </c>
      <c r="T1028" s="4" t="n">
        <f aca="false">R1028+S1028</f>
        <v>21295.479</v>
      </c>
      <c r="U1028" s="4" t="n">
        <f aca="false">T1028-K1028</f>
        <v>17421.119</v>
      </c>
      <c r="V1028" s="4" t="n">
        <f aca="false">R1028+S1028-U1028</f>
        <v>3874.36</v>
      </c>
      <c r="W1028" s="5" t="str">
        <f aca="false">IF(ROUND(V1028-K1028,2)=0,"OK","ERRO")</f>
        <v>OK</v>
      </c>
      <c r="X1028" s="5" t="str">
        <f aca="false">VLOOKUP(F1028,DIM_SERVICO!$A$2:$D$151,3,FALSE())</f>
        <v>Pintura</v>
      </c>
    </row>
    <row r="1029" customFormat="false" ht="15" hidden="false" customHeight="false" outlineLevel="0" collapsed="false">
      <c r="A1029" s="6" t="n">
        <v>1028</v>
      </c>
      <c r="B1029" s="6" t="n">
        <v>1298</v>
      </c>
      <c r="C1029" s="6" t="n">
        <v>594</v>
      </c>
      <c r="D1029" s="6" t="n">
        <v>785</v>
      </c>
      <c r="E1029" s="6" t="n">
        <v>353</v>
      </c>
      <c r="F1029" s="6" t="n">
        <v>79</v>
      </c>
      <c r="G1029" s="6" t="n">
        <v>702</v>
      </c>
      <c r="H1029" s="6" t="n">
        <v>3</v>
      </c>
      <c r="I1029" s="7" t="n">
        <v>1999.86</v>
      </c>
      <c r="J1029" s="7" t="n">
        <v>748.05</v>
      </c>
      <c r="K1029" s="7" t="n">
        <v>4388.7</v>
      </c>
      <c r="L1029" s="7" t="n">
        <v>2118.25</v>
      </c>
      <c r="M1029" s="6" t="n">
        <v>0.8</v>
      </c>
      <c r="N1029" s="6" t="s">
        <v>27</v>
      </c>
      <c r="O1029" s="8" t="n">
        <f aca="false">VLOOKUP(F1029,DIM_SERVICO!$A$2:$D$151,4,FALSE())</f>
        <v>748.05</v>
      </c>
      <c r="P1029" s="8" t="n">
        <f aca="false">VLOOKUP(E1029,DIM_PECA!$A$2:$F$501,6,FALSE())</f>
        <v>1340.76</v>
      </c>
      <c r="Q1029" s="8" t="n">
        <f aca="false">VLOOKUP(E1029,DIM_PECA!$A$2:$F$501,5,FALSE())</f>
        <v>666.62</v>
      </c>
      <c r="R1029" s="8" t="n">
        <f aca="false">H1029*P1029</f>
        <v>4022.28</v>
      </c>
      <c r="S1029" s="8" t="n">
        <f aca="false">O1029*M1029</f>
        <v>598.44</v>
      </c>
      <c r="T1029" s="8" t="n">
        <f aca="false">R1029+S1029</f>
        <v>4620.72</v>
      </c>
      <c r="U1029" s="8" t="n">
        <f aca="false">T1029-K1029</f>
        <v>232.02</v>
      </c>
      <c r="V1029" s="8" t="n">
        <f aca="false">R1029+S1029-U1029</f>
        <v>4388.7</v>
      </c>
      <c r="W1029" s="9" t="str">
        <f aca="false">IF(ROUND(V1029-K1029,2)=0,"OK","ERRO")</f>
        <v>OK</v>
      </c>
      <c r="X1029" s="9" t="str">
        <f aca="false">VLOOKUP(F1029,DIM_SERVICO!$A$2:$D$151,3,FALSE())</f>
        <v>Freios</v>
      </c>
    </row>
    <row r="1030" customFormat="false" ht="15" hidden="false" customHeight="false" outlineLevel="0" collapsed="false">
      <c r="A1030" s="2" t="n">
        <v>1029</v>
      </c>
      <c r="B1030" s="2" t="n">
        <v>287</v>
      </c>
      <c r="C1030" s="2" t="n">
        <v>58</v>
      </c>
      <c r="D1030" s="2" t="n">
        <v>286</v>
      </c>
      <c r="E1030" s="2" t="n">
        <v>330</v>
      </c>
      <c r="F1030" s="2" t="n">
        <v>26</v>
      </c>
      <c r="G1030" s="2" t="n">
        <v>1741</v>
      </c>
      <c r="H1030" s="2" t="n">
        <v>3</v>
      </c>
      <c r="I1030" s="3" t="n">
        <v>2266.47</v>
      </c>
      <c r="J1030" s="3" t="n">
        <v>168.44</v>
      </c>
      <c r="K1030" s="3" t="n">
        <v>3501.59</v>
      </c>
      <c r="L1030" s="3" t="n">
        <v>1163.2</v>
      </c>
      <c r="M1030" s="2" t="n">
        <v>9.2</v>
      </c>
      <c r="N1030" s="2" t="s">
        <v>24</v>
      </c>
      <c r="O1030" s="4" t="n">
        <f aca="false">VLOOKUP(F1030,DIM_SERVICO!$A$2:$D$151,4,FALSE())</f>
        <v>168.44</v>
      </c>
      <c r="P1030" s="4" t="n">
        <f aca="false">VLOOKUP(E1030,DIM_PECA!$A$2:$F$501,6,FALSE())</f>
        <v>1111.05</v>
      </c>
      <c r="Q1030" s="4" t="n">
        <f aca="false">VLOOKUP(E1030,DIM_PECA!$A$2:$F$501,5,FALSE())</f>
        <v>755.49</v>
      </c>
      <c r="R1030" s="4" t="n">
        <f aca="false">H1030*P1030</f>
        <v>3333.15</v>
      </c>
      <c r="S1030" s="4" t="n">
        <f aca="false">O1030*M1030</f>
        <v>1549.648</v>
      </c>
      <c r="T1030" s="4" t="n">
        <f aca="false">R1030+S1030</f>
        <v>4882.798</v>
      </c>
      <c r="U1030" s="4" t="n">
        <f aca="false">T1030-K1030</f>
        <v>1381.208</v>
      </c>
      <c r="V1030" s="4" t="n">
        <f aca="false">R1030+S1030-U1030</f>
        <v>3501.59</v>
      </c>
      <c r="W1030" s="5" t="str">
        <f aca="false">IF(ROUND(V1030-K1030,2)=0,"OK","ERRO")</f>
        <v>OK</v>
      </c>
      <c r="X1030" s="5" t="str">
        <f aca="false">VLOOKUP(F1030,DIM_SERVICO!$A$2:$D$151,3,FALSE())</f>
        <v>Suspensão</v>
      </c>
    </row>
    <row r="1031" customFormat="false" ht="15" hidden="false" customHeight="false" outlineLevel="0" collapsed="false">
      <c r="A1031" s="6" t="n">
        <v>1030</v>
      </c>
      <c r="B1031" s="6" t="n">
        <v>296</v>
      </c>
      <c r="C1031" s="6" t="n">
        <v>1154</v>
      </c>
      <c r="D1031" s="6" t="n">
        <v>531</v>
      </c>
      <c r="E1031" s="6" t="n">
        <v>184</v>
      </c>
      <c r="F1031" s="6" t="n">
        <v>52</v>
      </c>
      <c r="G1031" s="6" t="n">
        <v>1135</v>
      </c>
      <c r="H1031" s="6" t="n">
        <v>2</v>
      </c>
      <c r="I1031" s="7" t="n">
        <v>1611.12</v>
      </c>
      <c r="J1031" s="7" t="n">
        <v>188.62</v>
      </c>
      <c r="K1031" s="7" t="n">
        <v>3430.5</v>
      </c>
      <c r="L1031" s="7" t="n">
        <v>1748.22</v>
      </c>
      <c r="M1031" s="6" t="n">
        <v>4</v>
      </c>
      <c r="N1031" s="6" t="s">
        <v>24</v>
      </c>
      <c r="O1031" s="8" t="n">
        <f aca="false">VLOOKUP(F1031,DIM_SERVICO!$A$2:$D$151,4,FALSE())</f>
        <v>188.62</v>
      </c>
      <c r="P1031" s="8" t="n">
        <f aca="false">VLOOKUP(E1031,DIM_PECA!$A$2:$F$501,6,FALSE())</f>
        <v>1620.94</v>
      </c>
      <c r="Q1031" s="8" t="n">
        <f aca="false">VLOOKUP(E1031,DIM_PECA!$A$2:$F$501,5,FALSE())</f>
        <v>805.56</v>
      </c>
      <c r="R1031" s="8" t="n">
        <f aca="false">H1031*P1031</f>
        <v>3241.88</v>
      </c>
      <c r="S1031" s="8" t="n">
        <f aca="false">O1031*M1031</f>
        <v>754.48</v>
      </c>
      <c r="T1031" s="8" t="n">
        <f aca="false">R1031+S1031</f>
        <v>3996.36</v>
      </c>
      <c r="U1031" s="8" t="n">
        <f aca="false">T1031-K1031</f>
        <v>565.86</v>
      </c>
      <c r="V1031" s="8" t="n">
        <f aca="false">R1031+S1031-U1031</f>
        <v>3430.5</v>
      </c>
      <c r="W1031" s="9" t="str">
        <f aca="false">IF(ROUND(V1031-K1031,2)=0,"OK","ERRO")</f>
        <v>OK</v>
      </c>
      <c r="X1031" s="9" t="str">
        <f aca="false">VLOOKUP(F1031,DIM_SERVICO!$A$2:$D$151,3,FALSE())</f>
        <v>Funilaria</v>
      </c>
    </row>
    <row r="1032" customFormat="false" ht="15" hidden="false" customHeight="false" outlineLevel="0" collapsed="false">
      <c r="A1032" s="2" t="n">
        <v>1031</v>
      </c>
      <c r="B1032" s="2" t="n">
        <v>553</v>
      </c>
      <c r="C1032" s="2" t="n">
        <v>682</v>
      </c>
      <c r="D1032" s="2" t="n">
        <v>445</v>
      </c>
      <c r="E1032" s="2" t="n">
        <v>112</v>
      </c>
      <c r="F1032" s="2" t="n">
        <v>90</v>
      </c>
      <c r="G1032" s="2" t="n">
        <v>794</v>
      </c>
      <c r="H1032" s="2" t="n">
        <v>4</v>
      </c>
      <c r="I1032" s="3" t="n">
        <v>2516.92</v>
      </c>
      <c r="J1032" s="3" t="n">
        <v>702.32</v>
      </c>
      <c r="K1032" s="3" t="n">
        <v>5158.04</v>
      </c>
      <c r="L1032" s="3" t="n">
        <v>2281.66</v>
      </c>
      <c r="M1032" s="2" t="n">
        <v>9.4</v>
      </c>
      <c r="N1032" s="2" t="s">
        <v>24</v>
      </c>
      <c r="O1032" s="4" t="n">
        <f aca="false">VLOOKUP(F1032,DIM_SERVICO!$A$2:$D$151,4,FALSE())</f>
        <v>702.32</v>
      </c>
      <c r="P1032" s="4" t="n">
        <f aca="false">VLOOKUP(E1032,DIM_PECA!$A$2:$F$501,6,FALSE())</f>
        <v>1181.8</v>
      </c>
      <c r="Q1032" s="4" t="n">
        <f aca="false">VLOOKUP(E1032,DIM_PECA!$A$2:$F$501,5,FALSE())</f>
        <v>629.23</v>
      </c>
      <c r="R1032" s="4" t="n">
        <f aca="false">H1032*P1032</f>
        <v>4727.2</v>
      </c>
      <c r="S1032" s="4" t="n">
        <f aca="false">O1032*M1032</f>
        <v>6601.808</v>
      </c>
      <c r="T1032" s="4" t="n">
        <f aca="false">R1032+S1032</f>
        <v>11329.008</v>
      </c>
      <c r="U1032" s="4" t="n">
        <f aca="false">T1032-K1032</f>
        <v>6170.968</v>
      </c>
      <c r="V1032" s="4" t="n">
        <f aca="false">R1032+S1032-U1032</f>
        <v>5158.04</v>
      </c>
      <c r="W1032" s="5" t="str">
        <f aca="false">IF(ROUND(V1032-K1032,2)=0,"OK","ERRO")</f>
        <v>OK</v>
      </c>
      <c r="X1032" s="5" t="str">
        <f aca="false">VLOOKUP(F1032,DIM_SERVICO!$A$2:$D$151,3,FALSE())</f>
        <v>Diagnóstico</v>
      </c>
    </row>
    <row r="1033" customFormat="false" ht="15" hidden="false" customHeight="false" outlineLevel="0" collapsed="false">
      <c r="A1033" s="6" t="n">
        <v>1032</v>
      </c>
      <c r="B1033" s="6" t="n">
        <v>872</v>
      </c>
      <c r="C1033" s="6" t="n">
        <v>1073</v>
      </c>
      <c r="D1033" s="6" t="n">
        <v>1077</v>
      </c>
      <c r="E1033" s="6" t="n">
        <v>494</v>
      </c>
      <c r="F1033" s="6" t="n">
        <v>107</v>
      </c>
      <c r="G1033" s="6" t="n">
        <v>1672</v>
      </c>
      <c r="H1033" s="6" t="n">
        <v>3</v>
      </c>
      <c r="I1033" s="7" t="n">
        <v>2877.63</v>
      </c>
      <c r="J1033" s="7" t="n">
        <v>550.68</v>
      </c>
      <c r="K1033" s="7" t="n">
        <v>4618.51</v>
      </c>
      <c r="L1033" s="7" t="n">
        <v>1494.81</v>
      </c>
      <c r="M1033" s="6" t="n">
        <v>4</v>
      </c>
      <c r="N1033" s="6" t="s">
        <v>24</v>
      </c>
      <c r="O1033" s="8" t="n">
        <f aca="false">VLOOKUP(F1033,DIM_SERVICO!$A$2:$D$151,4,FALSE())</f>
        <v>550.68</v>
      </c>
      <c r="P1033" s="8" t="n">
        <f aca="false">VLOOKUP(E1033,DIM_PECA!$A$2:$F$501,6,FALSE())</f>
        <v>1527</v>
      </c>
      <c r="Q1033" s="8" t="n">
        <f aca="false">VLOOKUP(E1033,DIM_PECA!$A$2:$F$501,5,FALSE())</f>
        <v>959.21</v>
      </c>
      <c r="R1033" s="8" t="n">
        <f aca="false">H1033*P1033</f>
        <v>4581</v>
      </c>
      <c r="S1033" s="8" t="n">
        <f aca="false">O1033*M1033</f>
        <v>2202.72</v>
      </c>
      <c r="T1033" s="8" t="n">
        <f aca="false">R1033+S1033</f>
        <v>6783.72</v>
      </c>
      <c r="U1033" s="8" t="n">
        <f aca="false">T1033-K1033</f>
        <v>2165.21</v>
      </c>
      <c r="V1033" s="8" t="n">
        <f aca="false">R1033+S1033-U1033</f>
        <v>4618.51</v>
      </c>
      <c r="W1033" s="9" t="str">
        <f aca="false">IF(ROUND(V1033-K1033,2)=0,"OK","ERRO")</f>
        <v>OK</v>
      </c>
      <c r="X1033" s="9" t="str">
        <f aca="false">VLOOKUP(F1033,DIM_SERVICO!$A$2:$D$151,3,FALSE())</f>
        <v>Diagnóstico</v>
      </c>
    </row>
    <row r="1034" customFormat="false" ht="15" hidden="false" customHeight="false" outlineLevel="0" collapsed="false">
      <c r="A1034" s="2" t="n">
        <v>1033</v>
      </c>
      <c r="B1034" s="2" t="n">
        <v>893</v>
      </c>
      <c r="C1034" s="2" t="n">
        <v>1300</v>
      </c>
      <c r="D1034" s="2" t="n">
        <v>268</v>
      </c>
      <c r="E1034" s="2" t="n">
        <v>341</v>
      </c>
      <c r="F1034" s="2" t="n">
        <v>2</v>
      </c>
      <c r="G1034" s="2" t="n">
        <v>1613</v>
      </c>
      <c r="H1034" s="2" t="n">
        <v>2</v>
      </c>
      <c r="I1034" s="3" t="n">
        <v>398.98</v>
      </c>
      <c r="J1034" s="3" t="n">
        <v>1072.4</v>
      </c>
      <c r="K1034" s="3" t="n">
        <v>1590.98</v>
      </c>
      <c r="L1034" s="3" t="n">
        <v>666.56</v>
      </c>
      <c r="M1034" s="2" t="n">
        <v>0.5</v>
      </c>
      <c r="N1034" s="2" t="s">
        <v>25</v>
      </c>
      <c r="O1034" s="4" t="n">
        <f aca="false">VLOOKUP(F1034,DIM_SERVICO!$A$2:$D$151,4,FALSE())</f>
        <v>1072.4</v>
      </c>
      <c r="P1034" s="4" t="n">
        <f aca="false">VLOOKUP(E1034,DIM_PECA!$A$2:$F$501,6,FALSE())</f>
        <v>347.68</v>
      </c>
      <c r="Q1034" s="4" t="n">
        <f aca="false">VLOOKUP(E1034,DIM_PECA!$A$2:$F$501,5,FALSE())</f>
        <v>199.49</v>
      </c>
      <c r="R1034" s="4" t="n">
        <f aca="false">H1034*P1034</f>
        <v>695.36</v>
      </c>
      <c r="S1034" s="4" t="n">
        <f aca="false">O1034*M1034</f>
        <v>536.2</v>
      </c>
      <c r="T1034" s="4" t="n">
        <f aca="false">R1034+S1034</f>
        <v>1231.56</v>
      </c>
      <c r="U1034" s="4" t="n">
        <f aca="false">T1034-K1034</f>
        <v>-359.42</v>
      </c>
      <c r="V1034" s="4" t="n">
        <f aca="false">R1034+S1034-U1034</f>
        <v>1590.98</v>
      </c>
      <c r="W1034" s="5" t="str">
        <f aca="false">IF(ROUND(V1034-K1034,2)=0,"OK","ERRO")</f>
        <v>OK</v>
      </c>
      <c r="X1034" s="5" t="str">
        <f aca="false">VLOOKUP(F1034,DIM_SERVICO!$A$2:$D$151,3,FALSE())</f>
        <v>Suspensão</v>
      </c>
    </row>
    <row r="1035" customFormat="false" ht="15" hidden="false" customHeight="false" outlineLevel="0" collapsed="false">
      <c r="A1035" s="6" t="n">
        <v>1034</v>
      </c>
      <c r="B1035" s="6" t="n">
        <v>1074</v>
      </c>
      <c r="C1035" s="6" t="n">
        <v>414</v>
      </c>
      <c r="D1035" s="6" t="n">
        <v>423</v>
      </c>
      <c r="E1035" s="6" t="n">
        <v>415</v>
      </c>
      <c r="F1035" s="6" t="n">
        <v>120</v>
      </c>
      <c r="G1035" s="6" t="n">
        <v>1309</v>
      </c>
      <c r="H1035" s="6" t="n">
        <v>4</v>
      </c>
      <c r="I1035" s="7" t="n">
        <v>3647.56</v>
      </c>
      <c r="J1035" s="7" t="n">
        <v>1729.81</v>
      </c>
      <c r="K1035" s="7" t="n">
        <v>9073.45</v>
      </c>
      <c r="L1035" s="7" t="n">
        <v>4546.34</v>
      </c>
      <c r="M1035" s="6" t="n">
        <v>10.9</v>
      </c>
      <c r="N1035" s="6" t="s">
        <v>24</v>
      </c>
      <c r="O1035" s="8" t="n">
        <f aca="false">VLOOKUP(F1035,DIM_SERVICO!$A$2:$D$151,4,FALSE())</f>
        <v>1729.81</v>
      </c>
      <c r="P1035" s="8" t="n">
        <f aca="false">VLOOKUP(E1035,DIM_PECA!$A$2:$F$501,6,FALSE())</f>
        <v>1835.91</v>
      </c>
      <c r="Q1035" s="8" t="n">
        <f aca="false">VLOOKUP(E1035,DIM_PECA!$A$2:$F$501,5,FALSE())</f>
        <v>911.89</v>
      </c>
      <c r="R1035" s="8" t="n">
        <f aca="false">H1035*P1035</f>
        <v>7343.64</v>
      </c>
      <c r="S1035" s="8" t="n">
        <f aca="false">O1035*M1035</f>
        <v>18854.929</v>
      </c>
      <c r="T1035" s="8" t="n">
        <f aca="false">R1035+S1035</f>
        <v>26198.569</v>
      </c>
      <c r="U1035" s="8" t="n">
        <f aca="false">T1035-K1035</f>
        <v>17125.119</v>
      </c>
      <c r="V1035" s="8" t="n">
        <f aca="false">R1035+S1035-U1035</f>
        <v>9073.45</v>
      </c>
      <c r="W1035" s="9" t="str">
        <f aca="false">IF(ROUND(V1035-K1035,2)=0,"OK","ERRO")</f>
        <v>OK</v>
      </c>
      <c r="X1035" s="9" t="str">
        <f aca="false">VLOOKUP(F1035,DIM_SERVICO!$A$2:$D$151,3,FALSE())</f>
        <v>Suspensão</v>
      </c>
    </row>
    <row r="1036" customFormat="false" ht="15" hidden="false" customHeight="false" outlineLevel="0" collapsed="false">
      <c r="A1036" s="2" t="n">
        <v>1035</v>
      </c>
      <c r="B1036" s="2" t="n">
        <v>663</v>
      </c>
      <c r="C1036" s="2" t="n">
        <v>1377</v>
      </c>
      <c r="D1036" s="2" t="n">
        <v>831</v>
      </c>
      <c r="E1036" s="2" t="n">
        <v>247</v>
      </c>
      <c r="F1036" s="2" t="n">
        <v>3</v>
      </c>
      <c r="G1036" s="2" t="n">
        <v>204</v>
      </c>
      <c r="H1036" s="2" t="n">
        <v>3</v>
      </c>
      <c r="I1036" s="3" t="n">
        <v>462.72</v>
      </c>
      <c r="J1036" s="3" t="n">
        <v>274.77</v>
      </c>
      <c r="K1036" s="3" t="n">
        <v>1122.12</v>
      </c>
      <c r="L1036" s="3" t="n">
        <v>556.9</v>
      </c>
      <c r="M1036" s="2" t="n">
        <v>4.6</v>
      </c>
      <c r="N1036" s="2" t="s">
        <v>24</v>
      </c>
      <c r="O1036" s="4" t="n">
        <f aca="false">VLOOKUP(F1036,DIM_SERVICO!$A$2:$D$151,4,FALSE())</f>
        <v>274.77</v>
      </c>
      <c r="P1036" s="4" t="n">
        <f aca="false">VLOOKUP(E1036,DIM_PECA!$A$2:$F$501,6,FALSE())</f>
        <v>282.45</v>
      </c>
      <c r="Q1036" s="4" t="n">
        <f aca="false">VLOOKUP(E1036,DIM_PECA!$A$2:$F$501,5,FALSE())</f>
        <v>154.24</v>
      </c>
      <c r="R1036" s="4" t="n">
        <f aca="false">H1036*P1036</f>
        <v>847.35</v>
      </c>
      <c r="S1036" s="4" t="n">
        <f aca="false">O1036*M1036</f>
        <v>1263.942</v>
      </c>
      <c r="T1036" s="4" t="n">
        <f aca="false">R1036+S1036</f>
        <v>2111.292</v>
      </c>
      <c r="U1036" s="4" t="n">
        <f aca="false">T1036-K1036</f>
        <v>989.172</v>
      </c>
      <c r="V1036" s="4" t="n">
        <f aca="false">R1036+S1036-U1036</f>
        <v>1122.12</v>
      </c>
      <c r="W1036" s="5" t="str">
        <f aca="false">IF(ROUND(V1036-K1036,2)=0,"OK","ERRO")</f>
        <v>OK</v>
      </c>
      <c r="X1036" s="5" t="str">
        <f aca="false">VLOOKUP(F1036,DIM_SERVICO!$A$2:$D$151,3,FALSE())</f>
        <v>Pintura</v>
      </c>
    </row>
    <row r="1037" customFormat="false" ht="15" hidden="false" customHeight="false" outlineLevel="0" collapsed="false">
      <c r="A1037" s="6" t="n">
        <v>1036</v>
      </c>
      <c r="B1037" s="6" t="n">
        <v>1045</v>
      </c>
      <c r="C1037" s="6" t="n">
        <v>1083</v>
      </c>
      <c r="D1037" s="6" t="n">
        <v>194</v>
      </c>
      <c r="E1037" s="6" t="n">
        <v>326</v>
      </c>
      <c r="F1037" s="6" t="n">
        <v>98</v>
      </c>
      <c r="G1037" s="6" t="n">
        <v>1716</v>
      </c>
      <c r="H1037" s="6" t="n">
        <v>2</v>
      </c>
      <c r="I1037" s="7" t="n">
        <v>1409.2</v>
      </c>
      <c r="J1037" s="7" t="n">
        <v>951.01</v>
      </c>
      <c r="K1037" s="7" t="n">
        <v>2879.43</v>
      </c>
      <c r="L1037" s="7" t="n">
        <v>1124.23</v>
      </c>
      <c r="M1037" s="6" t="n">
        <v>7.5</v>
      </c>
      <c r="N1037" s="6" t="s">
        <v>24</v>
      </c>
      <c r="O1037" s="8" t="n">
        <f aca="false">VLOOKUP(F1037,DIM_SERVICO!$A$2:$D$151,4,FALSE())</f>
        <v>951.01</v>
      </c>
      <c r="P1037" s="8" t="n">
        <f aca="false">VLOOKUP(E1037,DIM_PECA!$A$2:$F$501,6,FALSE())</f>
        <v>964.21</v>
      </c>
      <c r="Q1037" s="8" t="n">
        <f aca="false">VLOOKUP(E1037,DIM_PECA!$A$2:$F$501,5,FALSE())</f>
        <v>704.6</v>
      </c>
      <c r="R1037" s="8" t="n">
        <f aca="false">H1037*P1037</f>
        <v>1928.42</v>
      </c>
      <c r="S1037" s="8" t="n">
        <f aca="false">O1037*M1037</f>
        <v>7132.575</v>
      </c>
      <c r="T1037" s="8" t="n">
        <f aca="false">R1037+S1037</f>
        <v>9060.995</v>
      </c>
      <c r="U1037" s="8" t="n">
        <f aca="false">T1037-K1037</f>
        <v>6181.565</v>
      </c>
      <c r="V1037" s="8" t="n">
        <f aca="false">R1037+S1037-U1037</f>
        <v>2879.43</v>
      </c>
      <c r="W1037" s="9" t="str">
        <f aca="false">IF(ROUND(V1037-K1037,2)=0,"OK","ERRO")</f>
        <v>OK</v>
      </c>
      <c r="X1037" s="9" t="str">
        <f aca="false">VLOOKUP(F1037,DIM_SERVICO!$A$2:$D$151,3,FALSE())</f>
        <v>Revisão</v>
      </c>
    </row>
    <row r="1038" customFormat="false" ht="15" hidden="false" customHeight="false" outlineLevel="0" collapsed="false">
      <c r="A1038" s="2" t="n">
        <v>1037</v>
      </c>
      <c r="B1038" s="2" t="n">
        <v>11</v>
      </c>
      <c r="C1038" s="2" t="n">
        <v>329</v>
      </c>
      <c r="D1038" s="2" t="n">
        <v>985</v>
      </c>
      <c r="E1038" s="2" t="n">
        <v>38</v>
      </c>
      <c r="F1038" s="2" t="n">
        <v>29</v>
      </c>
      <c r="G1038" s="2" t="n">
        <v>734</v>
      </c>
      <c r="H1038" s="2" t="n">
        <v>4</v>
      </c>
      <c r="I1038" s="3" t="n">
        <v>1773.56</v>
      </c>
      <c r="J1038" s="3" t="n">
        <v>223.62</v>
      </c>
      <c r="K1038" s="3" t="n">
        <v>2774.26</v>
      </c>
      <c r="L1038" s="3" t="n">
        <v>881.31</v>
      </c>
      <c r="M1038" s="2" t="n">
        <v>0.9</v>
      </c>
      <c r="N1038" s="2" t="s">
        <v>24</v>
      </c>
      <c r="O1038" s="4" t="n">
        <f aca="false">VLOOKUP(F1038,DIM_SERVICO!$A$2:$D$151,4,FALSE())</f>
        <v>223.62</v>
      </c>
      <c r="P1038" s="4" t="n">
        <f aca="false">VLOOKUP(E1038,DIM_PECA!$A$2:$F$501,6,FALSE())</f>
        <v>697.97</v>
      </c>
      <c r="Q1038" s="4" t="n">
        <f aca="false">VLOOKUP(E1038,DIM_PECA!$A$2:$F$501,5,FALSE())</f>
        <v>443.39</v>
      </c>
      <c r="R1038" s="4" t="n">
        <f aca="false">H1038*P1038</f>
        <v>2791.88</v>
      </c>
      <c r="S1038" s="4" t="n">
        <f aca="false">O1038*M1038</f>
        <v>201.258</v>
      </c>
      <c r="T1038" s="4" t="n">
        <f aca="false">R1038+S1038</f>
        <v>2993.138</v>
      </c>
      <c r="U1038" s="4" t="n">
        <f aca="false">T1038-K1038</f>
        <v>218.878</v>
      </c>
      <c r="V1038" s="4" t="n">
        <f aca="false">R1038+S1038-U1038</f>
        <v>2774.26</v>
      </c>
      <c r="W1038" s="5" t="str">
        <f aca="false">IF(ROUND(V1038-K1038,2)=0,"OK","ERRO")</f>
        <v>OK</v>
      </c>
      <c r="X1038" s="5" t="str">
        <f aca="false">VLOOKUP(F1038,DIM_SERVICO!$A$2:$D$151,3,FALSE())</f>
        <v>Diagnóstico</v>
      </c>
    </row>
    <row r="1039" customFormat="false" ht="15" hidden="false" customHeight="false" outlineLevel="0" collapsed="false">
      <c r="A1039" s="6" t="n">
        <v>1038</v>
      </c>
      <c r="B1039" s="6" t="n">
        <v>290</v>
      </c>
      <c r="C1039" s="6" t="n">
        <v>132</v>
      </c>
      <c r="D1039" s="6" t="n">
        <v>696</v>
      </c>
      <c r="E1039" s="6" t="n">
        <v>104</v>
      </c>
      <c r="F1039" s="6" t="n">
        <v>115</v>
      </c>
      <c r="G1039" s="6" t="n">
        <v>1804</v>
      </c>
      <c r="H1039" s="6" t="n">
        <v>3</v>
      </c>
      <c r="I1039" s="7" t="n">
        <v>2541.09</v>
      </c>
      <c r="J1039" s="7" t="n">
        <v>1374.43</v>
      </c>
      <c r="K1039" s="7" t="n">
        <v>5606.5</v>
      </c>
      <c r="L1039" s="7" t="n">
        <v>2482.89</v>
      </c>
      <c r="M1039" s="6" t="n">
        <v>9.9</v>
      </c>
      <c r="N1039" s="6" t="s">
        <v>24</v>
      </c>
      <c r="O1039" s="8" t="n">
        <f aca="false">VLOOKUP(F1039,DIM_SERVICO!$A$2:$D$151,4,FALSE())</f>
        <v>1374.43</v>
      </c>
      <c r="P1039" s="8" t="n">
        <f aca="false">VLOOKUP(E1039,DIM_PECA!$A$2:$F$501,6,FALSE())</f>
        <v>1410.69</v>
      </c>
      <c r="Q1039" s="8" t="n">
        <f aca="false">VLOOKUP(E1039,DIM_PECA!$A$2:$F$501,5,FALSE())</f>
        <v>847.03</v>
      </c>
      <c r="R1039" s="8" t="n">
        <f aca="false">H1039*P1039</f>
        <v>4232.07</v>
      </c>
      <c r="S1039" s="8" t="n">
        <f aca="false">O1039*M1039</f>
        <v>13606.857</v>
      </c>
      <c r="T1039" s="8" t="n">
        <f aca="false">R1039+S1039</f>
        <v>17838.927</v>
      </c>
      <c r="U1039" s="8" t="n">
        <f aca="false">T1039-K1039</f>
        <v>12232.427</v>
      </c>
      <c r="V1039" s="8" t="n">
        <f aca="false">R1039+S1039-U1039</f>
        <v>5606.5</v>
      </c>
      <c r="W1039" s="9" t="str">
        <f aca="false">IF(ROUND(V1039-K1039,2)=0,"OK","ERRO")</f>
        <v>OK</v>
      </c>
      <c r="X1039" s="9" t="str">
        <f aca="false">VLOOKUP(F1039,DIM_SERVICO!$A$2:$D$151,3,FALSE())</f>
        <v>Suspensão</v>
      </c>
    </row>
    <row r="1040" customFormat="false" ht="15" hidden="false" customHeight="false" outlineLevel="0" collapsed="false">
      <c r="A1040" s="2" t="n">
        <v>1039</v>
      </c>
      <c r="B1040" s="2" t="n">
        <v>238</v>
      </c>
      <c r="C1040" s="2" t="n">
        <v>1241</v>
      </c>
      <c r="D1040" s="2" t="n">
        <v>241</v>
      </c>
      <c r="E1040" s="2" t="n">
        <v>62</v>
      </c>
      <c r="F1040" s="2" t="n">
        <v>95</v>
      </c>
      <c r="G1040" s="2" t="n">
        <v>132</v>
      </c>
      <c r="H1040" s="2" t="n">
        <v>1</v>
      </c>
      <c r="I1040" s="3" t="n">
        <v>578.57</v>
      </c>
      <c r="J1040" s="3" t="n">
        <v>1029.22</v>
      </c>
      <c r="K1040" s="3" t="n">
        <v>2033.93</v>
      </c>
      <c r="L1040" s="3" t="n">
        <v>901.94</v>
      </c>
      <c r="M1040" s="2" t="n">
        <v>10</v>
      </c>
      <c r="N1040" s="2" t="s">
        <v>25</v>
      </c>
      <c r="O1040" s="4" t="n">
        <f aca="false">VLOOKUP(F1040,DIM_SERVICO!$A$2:$D$151,4,FALSE())</f>
        <v>1029.22</v>
      </c>
      <c r="P1040" s="4" t="n">
        <f aca="false">VLOOKUP(E1040,DIM_PECA!$A$2:$F$501,6,FALSE())</f>
        <v>1181.57</v>
      </c>
      <c r="Q1040" s="4" t="n">
        <f aca="false">VLOOKUP(E1040,DIM_PECA!$A$2:$F$501,5,FALSE())</f>
        <v>578.57</v>
      </c>
      <c r="R1040" s="4" t="n">
        <f aca="false">H1040*P1040</f>
        <v>1181.57</v>
      </c>
      <c r="S1040" s="4" t="n">
        <f aca="false">O1040*M1040</f>
        <v>10292.2</v>
      </c>
      <c r="T1040" s="4" t="n">
        <f aca="false">R1040+S1040</f>
        <v>11473.77</v>
      </c>
      <c r="U1040" s="4" t="n">
        <f aca="false">T1040-K1040</f>
        <v>9439.84</v>
      </c>
      <c r="V1040" s="4" t="n">
        <f aca="false">R1040+S1040-U1040</f>
        <v>2033.93</v>
      </c>
      <c r="W1040" s="5" t="str">
        <f aca="false">IF(ROUND(V1040-K1040,2)=0,"OK","ERRO")</f>
        <v>OK</v>
      </c>
      <c r="X1040" s="5" t="str">
        <f aca="false">VLOOKUP(F1040,DIM_SERVICO!$A$2:$D$151,3,FALSE())</f>
        <v>Elétrica</v>
      </c>
    </row>
    <row r="1041" customFormat="false" ht="15" hidden="false" customHeight="false" outlineLevel="0" collapsed="false">
      <c r="A1041" s="6" t="n">
        <v>1040</v>
      </c>
      <c r="B1041" s="6" t="n">
        <v>1164</v>
      </c>
      <c r="C1041" s="6" t="n">
        <v>128</v>
      </c>
      <c r="D1041" s="6" t="n">
        <v>59</v>
      </c>
      <c r="E1041" s="6" t="n">
        <v>330</v>
      </c>
      <c r="F1041" s="6" t="n">
        <v>149</v>
      </c>
      <c r="G1041" s="6" t="n">
        <v>1751</v>
      </c>
      <c r="H1041" s="6" t="n">
        <v>3</v>
      </c>
      <c r="I1041" s="7" t="n">
        <v>2266.47</v>
      </c>
      <c r="J1041" s="7" t="n">
        <v>142.63</v>
      </c>
      <c r="K1041" s="7" t="n">
        <v>3475.78</v>
      </c>
      <c r="L1041" s="7" t="n">
        <v>1153.09</v>
      </c>
      <c r="M1041" s="6" t="n">
        <v>2.1</v>
      </c>
      <c r="N1041" s="6" t="s">
        <v>24</v>
      </c>
      <c r="O1041" s="8" t="n">
        <f aca="false">VLOOKUP(F1041,DIM_SERVICO!$A$2:$D$151,4,FALSE())</f>
        <v>142.63</v>
      </c>
      <c r="P1041" s="8" t="n">
        <f aca="false">VLOOKUP(E1041,DIM_PECA!$A$2:$F$501,6,FALSE())</f>
        <v>1111.05</v>
      </c>
      <c r="Q1041" s="8" t="n">
        <f aca="false">VLOOKUP(E1041,DIM_PECA!$A$2:$F$501,5,FALSE())</f>
        <v>755.49</v>
      </c>
      <c r="R1041" s="8" t="n">
        <f aca="false">H1041*P1041</f>
        <v>3333.15</v>
      </c>
      <c r="S1041" s="8" t="n">
        <f aca="false">O1041*M1041</f>
        <v>299.523</v>
      </c>
      <c r="T1041" s="8" t="n">
        <f aca="false">R1041+S1041</f>
        <v>3632.673</v>
      </c>
      <c r="U1041" s="8" t="n">
        <f aca="false">T1041-K1041</f>
        <v>156.893</v>
      </c>
      <c r="V1041" s="8" t="n">
        <f aca="false">R1041+S1041-U1041</f>
        <v>3475.78</v>
      </c>
      <c r="W1041" s="9" t="str">
        <f aca="false">IF(ROUND(V1041-K1041,2)=0,"OK","ERRO")</f>
        <v>OK</v>
      </c>
      <c r="X1041" s="9" t="str">
        <f aca="false">VLOOKUP(F1041,DIM_SERVICO!$A$2:$D$151,3,FALSE())</f>
        <v>Motor</v>
      </c>
    </row>
    <row r="1042" customFormat="false" ht="15" hidden="false" customHeight="false" outlineLevel="0" collapsed="false">
      <c r="A1042" s="2" t="n">
        <v>1041</v>
      </c>
      <c r="B1042" s="2" t="n">
        <v>990</v>
      </c>
      <c r="C1042" s="2" t="n">
        <v>1000</v>
      </c>
      <c r="D1042" s="2" t="n">
        <v>413</v>
      </c>
      <c r="E1042" s="2" t="n">
        <v>71</v>
      </c>
      <c r="F1042" s="2" t="n">
        <v>4</v>
      </c>
      <c r="G1042" s="2" t="n">
        <v>1388</v>
      </c>
      <c r="H1042" s="2" t="n">
        <v>4</v>
      </c>
      <c r="I1042" s="3" t="n">
        <v>117.92</v>
      </c>
      <c r="J1042" s="3" t="n">
        <v>1007.95</v>
      </c>
      <c r="K1042" s="3" t="n">
        <v>1173.51</v>
      </c>
      <c r="L1042" s="3" t="n">
        <v>622.78</v>
      </c>
      <c r="M1042" s="2" t="n">
        <v>2.2</v>
      </c>
      <c r="N1042" s="2" t="s">
        <v>24</v>
      </c>
      <c r="O1042" s="4" t="n">
        <f aca="false">VLOOKUP(F1042,DIM_SERVICO!$A$2:$D$151,4,FALSE())</f>
        <v>1007.95</v>
      </c>
      <c r="P1042" s="4" t="n">
        <f aca="false">VLOOKUP(E1042,DIM_PECA!$A$2:$F$501,6,FALSE())</f>
        <v>41.39</v>
      </c>
      <c r="Q1042" s="4" t="n">
        <f aca="false">VLOOKUP(E1042,DIM_PECA!$A$2:$F$501,5,FALSE())</f>
        <v>29.48</v>
      </c>
      <c r="R1042" s="4" t="n">
        <f aca="false">H1042*P1042</f>
        <v>165.56</v>
      </c>
      <c r="S1042" s="4" t="n">
        <f aca="false">O1042*M1042</f>
        <v>2217.49</v>
      </c>
      <c r="T1042" s="4" t="n">
        <f aca="false">R1042+S1042</f>
        <v>2383.05</v>
      </c>
      <c r="U1042" s="4" t="n">
        <f aca="false">T1042-K1042</f>
        <v>1209.54</v>
      </c>
      <c r="V1042" s="4" t="n">
        <f aca="false">R1042+S1042-U1042</f>
        <v>1173.51</v>
      </c>
      <c r="W1042" s="5" t="str">
        <f aca="false">IF(ROUND(V1042-K1042,2)=0,"OK","ERRO")</f>
        <v>OK</v>
      </c>
      <c r="X1042" s="5" t="str">
        <f aca="false">VLOOKUP(F1042,DIM_SERVICO!$A$2:$D$151,3,FALSE())</f>
        <v>Revisão</v>
      </c>
    </row>
    <row r="1043" customFormat="false" ht="15" hidden="false" customHeight="false" outlineLevel="0" collapsed="false">
      <c r="A1043" s="6" t="n">
        <v>1042</v>
      </c>
      <c r="B1043" s="6" t="n">
        <v>249</v>
      </c>
      <c r="C1043" s="6" t="n">
        <v>1318</v>
      </c>
      <c r="D1043" s="6" t="n">
        <v>756</v>
      </c>
      <c r="E1043" s="6" t="n">
        <v>322</v>
      </c>
      <c r="F1043" s="6" t="n">
        <v>49</v>
      </c>
      <c r="G1043" s="6" t="n">
        <v>1134</v>
      </c>
      <c r="H1043" s="6" t="n">
        <v>1</v>
      </c>
      <c r="I1043" s="7" t="n">
        <v>280.36</v>
      </c>
      <c r="J1043" s="7" t="n">
        <v>1883.63</v>
      </c>
      <c r="K1043" s="7" t="n">
        <v>2142.22</v>
      </c>
      <c r="L1043" s="7" t="n">
        <v>964.16</v>
      </c>
      <c r="M1043" s="6" t="n">
        <v>4.9</v>
      </c>
      <c r="N1043" s="6" t="s">
        <v>24</v>
      </c>
      <c r="O1043" s="8" t="n">
        <f aca="false">VLOOKUP(F1043,DIM_SERVICO!$A$2:$D$151,4,FALSE())</f>
        <v>1883.63</v>
      </c>
      <c r="P1043" s="8" t="n">
        <f aca="false">VLOOKUP(E1043,DIM_PECA!$A$2:$F$501,6,FALSE())</f>
        <v>496.62</v>
      </c>
      <c r="Q1043" s="8" t="n">
        <f aca="false">VLOOKUP(E1043,DIM_PECA!$A$2:$F$501,5,FALSE())</f>
        <v>280.36</v>
      </c>
      <c r="R1043" s="8" t="n">
        <f aca="false">H1043*P1043</f>
        <v>496.62</v>
      </c>
      <c r="S1043" s="8" t="n">
        <f aca="false">O1043*M1043</f>
        <v>9229.787</v>
      </c>
      <c r="T1043" s="8" t="n">
        <f aca="false">R1043+S1043</f>
        <v>9726.407</v>
      </c>
      <c r="U1043" s="8" t="n">
        <f aca="false">T1043-K1043</f>
        <v>7584.187</v>
      </c>
      <c r="V1043" s="8" t="n">
        <f aca="false">R1043+S1043-U1043</f>
        <v>2142.22</v>
      </c>
      <c r="W1043" s="9" t="str">
        <f aca="false">IF(ROUND(V1043-K1043,2)=0,"OK","ERRO")</f>
        <v>OK</v>
      </c>
      <c r="X1043" s="9" t="str">
        <f aca="false">VLOOKUP(F1043,DIM_SERVICO!$A$2:$D$151,3,FALSE())</f>
        <v>Suspensão</v>
      </c>
    </row>
    <row r="1044" customFormat="false" ht="15" hidden="false" customHeight="false" outlineLevel="0" collapsed="false">
      <c r="A1044" s="2" t="n">
        <v>1043</v>
      </c>
      <c r="B1044" s="2" t="n">
        <v>775</v>
      </c>
      <c r="C1044" s="2" t="n">
        <v>405</v>
      </c>
      <c r="D1044" s="2" t="n">
        <v>303</v>
      </c>
      <c r="E1044" s="2" t="n">
        <v>447</v>
      </c>
      <c r="F1044" s="2" t="n">
        <v>101</v>
      </c>
      <c r="G1044" s="2" t="n">
        <v>1659</v>
      </c>
      <c r="H1044" s="2" t="n">
        <v>4</v>
      </c>
      <c r="I1044" s="3" t="n">
        <v>2569.72</v>
      </c>
      <c r="J1044" s="3" t="n">
        <v>1690.47</v>
      </c>
      <c r="K1044" s="3" t="n">
        <v>5972.35</v>
      </c>
      <c r="L1044" s="3" t="n">
        <v>2561.93</v>
      </c>
      <c r="M1044" s="2" t="n">
        <v>7.9</v>
      </c>
      <c r="N1044" s="2" t="s">
        <v>27</v>
      </c>
      <c r="O1044" s="4" t="n">
        <f aca="false">VLOOKUP(F1044,DIM_SERVICO!$A$2:$D$151,4,FALSE())</f>
        <v>1690.47</v>
      </c>
      <c r="P1044" s="4" t="n">
        <f aca="false">VLOOKUP(E1044,DIM_PECA!$A$2:$F$501,6,FALSE())</f>
        <v>1100.94</v>
      </c>
      <c r="Q1044" s="4" t="n">
        <f aca="false">VLOOKUP(E1044,DIM_PECA!$A$2:$F$501,5,FALSE())</f>
        <v>642.43</v>
      </c>
      <c r="R1044" s="4" t="n">
        <f aca="false">H1044*P1044</f>
        <v>4403.76</v>
      </c>
      <c r="S1044" s="4" t="n">
        <f aca="false">O1044*M1044</f>
        <v>13354.713</v>
      </c>
      <c r="T1044" s="4" t="n">
        <f aca="false">R1044+S1044</f>
        <v>17758.473</v>
      </c>
      <c r="U1044" s="4" t="n">
        <f aca="false">T1044-K1044</f>
        <v>11786.123</v>
      </c>
      <c r="V1044" s="4" t="n">
        <f aca="false">R1044+S1044-U1044</f>
        <v>5972.35</v>
      </c>
      <c r="W1044" s="5" t="str">
        <f aca="false">IF(ROUND(V1044-K1044,2)=0,"OK","ERRO")</f>
        <v>OK</v>
      </c>
      <c r="X1044" s="5" t="str">
        <f aca="false">VLOOKUP(F1044,DIM_SERVICO!$A$2:$D$151,3,FALSE())</f>
        <v>Revisão</v>
      </c>
    </row>
    <row r="1045" customFormat="false" ht="15" hidden="false" customHeight="false" outlineLevel="0" collapsed="false">
      <c r="A1045" s="6" t="n">
        <v>1044</v>
      </c>
      <c r="B1045" s="6" t="n">
        <v>538</v>
      </c>
      <c r="C1045" s="6" t="n">
        <v>180</v>
      </c>
      <c r="D1045" s="6" t="n">
        <v>555</v>
      </c>
      <c r="E1045" s="6" t="n">
        <v>127</v>
      </c>
      <c r="F1045" s="6" t="n">
        <v>21</v>
      </c>
      <c r="G1045" s="6" t="n">
        <v>1530</v>
      </c>
      <c r="H1045" s="6" t="n">
        <v>1</v>
      </c>
      <c r="I1045" s="7" t="n">
        <v>918.13</v>
      </c>
      <c r="J1045" s="7" t="n">
        <v>126.78</v>
      </c>
      <c r="K1045" s="7" t="n">
        <v>1453.72</v>
      </c>
      <c r="L1045" s="7" t="n">
        <v>482.6</v>
      </c>
      <c r="M1045" s="6" t="n">
        <v>7.4</v>
      </c>
      <c r="N1045" s="6" t="s">
        <v>26</v>
      </c>
      <c r="O1045" s="8" t="n">
        <f aca="false">VLOOKUP(F1045,DIM_SERVICO!$A$2:$D$151,4,FALSE())</f>
        <v>126.78</v>
      </c>
      <c r="P1045" s="8" t="n">
        <f aca="false">VLOOKUP(E1045,DIM_PECA!$A$2:$F$501,6,FALSE())</f>
        <v>1356.61</v>
      </c>
      <c r="Q1045" s="8" t="n">
        <f aca="false">VLOOKUP(E1045,DIM_PECA!$A$2:$F$501,5,FALSE())</f>
        <v>918.13</v>
      </c>
      <c r="R1045" s="8" t="n">
        <f aca="false">H1045*P1045</f>
        <v>1356.61</v>
      </c>
      <c r="S1045" s="8" t="n">
        <f aca="false">O1045*M1045</f>
        <v>938.172</v>
      </c>
      <c r="T1045" s="8" t="n">
        <f aca="false">R1045+S1045</f>
        <v>2294.782</v>
      </c>
      <c r="U1045" s="8" t="n">
        <f aca="false">T1045-K1045</f>
        <v>841.062</v>
      </c>
      <c r="V1045" s="8" t="n">
        <f aca="false">R1045+S1045-U1045</f>
        <v>1453.72</v>
      </c>
      <c r="W1045" s="9" t="str">
        <f aca="false">IF(ROUND(V1045-K1045,2)=0,"OK","ERRO")</f>
        <v>OK</v>
      </c>
      <c r="X1045" s="9" t="str">
        <f aca="false">VLOOKUP(F1045,DIM_SERVICO!$A$2:$D$151,3,FALSE())</f>
        <v>Suspensão</v>
      </c>
    </row>
    <row r="1046" customFormat="false" ht="15" hidden="false" customHeight="false" outlineLevel="0" collapsed="false">
      <c r="A1046" s="2" t="n">
        <v>1045</v>
      </c>
      <c r="B1046" s="2" t="n">
        <v>546</v>
      </c>
      <c r="C1046" s="2" t="n">
        <v>975</v>
      </c>
      <c r="D1046" s="2" t="n">
        <v>141</v>
      </c>
      <c r="E1046" s="2" t="n">
        <v>142</v>
      </c>
      <c r="F1046" s="2" t="n">
        <v>28</v>
      </c>
      <c r="G1046" s="2" t="n">
        <v>546</v>
      </c>
      <c r="H1046" s="2" t="n">
        <v>2</v>
      </c>
      <c r="I1046" s="3" t="n">
        <v>295.28</v>
      </c>
      <c r="J1046" s="3" t="n">
        <v>2152.12</v>
      </c>
      <c r="K1046" s="3" t="n">
        <v>2659.48</v>
      </c>
      <c r="L1046" s="3" t="n">
        <v>1300.53</v>
      </c>
      <c r="M1046" s="2" t="n">
        <v>2</v>
      </c>
      <c r="N1046" s="2" t="s">
        <v>24</v>
      </c>
      <c r="O1046" s="4" t="n">
        <f aca="false">VLOOKUP(F1046,DIM_SERVICO!$A$2:$D$151,4,FALSE())</f>
        <v>2152.12</v>
      </c>
      <c r="P1046" s="4" t="n">
        <f aca="false">VLOOKUP(E1046,DIM_PECA!$A$2:$F$501,6,FALSE())</f>
        <v>280.82</v>
      </c>
      <c r="Q1046" s="4" t="n">
        <f aca="false">VLOOKUP(E1046,DIM_PECA!$A$2:$F$501,5,FALSE())</f>
        <v>147.64</v>
      </c>
      <c r="R1046" s="4" t="n">
        <f aca="false">H1046*P1046</f>
        <v>561.64</v>
      </c>
      <c r="S1046" s="4" t="n">
        <f aca="false">O1046*M1046</f>
        <v>4304.24</v>
      </c>
      <c r="T1046" s="4" t="n">
        <f aca="false">R1046+S1046</f>
        <v>4865.88</v>
      </c>
      <c r="U1046" s="4" t="n">
        <f aca="false">T1046-K1046</f>
        <v>2206.4</v>
      </c>
      <c r="V1046" s="4" t="n">
        <f aca="false">R1046+S1046-U1046</f>
        <v>2659.48</v>
      </c>
      <c r="W1046" s="5" t="str">
        <f aca="false">IF(ROUND(V1046-K1046,2)=0,"OK","ERRO")</f>
        <v>OK</v>
      </c>
      <c r="X1046" s="5" t="str">
        <f aca="false">VLOOKUP(F1046,DIM_SERVICO!$A$2:$D$151,3,FALSE())</f>
        <v>Freios</v>
      </c>
    </row>
    <row r="1047" customFormat="false" ht="15" hidden="false" customHeight="false" outlineLevel="0" collapsed="false">
      <c r="A1047" s="6" t="n">
        <v>1046</v>
      </c>
      <c r="B1047" s="6" t="n">
        <v>374</v>
      </c>
      <c r="C1047" s="6" t="n">
        <v>453</v>
      </c>
      <c r="D1047" s="6" t="n">
        <v>59</v>
      </c>
      <c r="E1047" s="6" t="n">
        <v>407</v>
      </c>
      <c r="F1047" s="6" t="n">
        <v>97</v>
      </c>
      <c r="G1047" s="6" t="n">
        <v>1373</v>
      </c>
      <c r="H1047" s="6" t="n">
        <v>3</v>
      </c>
      <c r="I1047" s="7" t="n">
        <v>2179.5</v>
      </c>
      <c r="J1047" s="7" t="n">
        <v>1095.32</v>
      </c>
      <c r="K1047" s="7" t="n">
        <v>4039.39</v>
      </c>
      <c r="L1047" s="7" t="n">
        <v>1392.96</v>
      </c>
      <c r="M1047" s="6" t="n">
        <v>3.7</v>
      </c>
      <c r="N1047" s="6" t="s">
        <v>24</v>
      </c>
      <c r="O1047" s="8" t="n">
        <f aca="false">VLOOKUP(F1047,DIM_SERVICO!$A$2:$D$151,4,FALSE())</f>
        <v>1095.32</v>
      </c>
      <c r="P1047" s="8" t="n">
        <f aca="false">VLOOKUP(E1047,DIM_PECA!$A$2:$F$501,6,FALSE())</f>
        <v>1098.44</v>
      </c>
      <c r="Q1047" s="8" t="n">
        <f aca="false">VLOOKUP(E1047,DIM_PECA!$A$2:$F$501,5,FALSE())</f>
        <v>726.5</v>
      </c>
      <c r="R1047" s="8" t="n">
        <f aca="false">H1047*P1047</f>
        <v>3295.32</v>
      </c>
      <c r="S1047" s="8" t="n">
        <f aca="false">O1047*M1047</f>
        <v>4052.684</v>
      </c>
      <c r="T1047" s="8" t="n">
        <f aca="false">R1047+S1047</f>
        <v>7348.004</v>
      </c>
      <c r="U1047" s="8" t="n">
        <f aca="false">T1047-K1047</f>
        <v>3308.614</v>
      </c>
      <c r="V1047" s="8" t="n">
        <f aca="false">R1047+S1047-U1047</f>
        <v>4039.39</v>
      </c>
      <c r="W1047" s="9" t="str">
        <f aca="false">IF(ROUND(V1047-K1047,2)=0,"OK","ERRO")</f>
        <v>OK</v>
      </c>
      <c r="X1047" s="9" t="str">
        <f aca="false">VLOOKUP(F1047,DIM_SERVICO!$A$2:$D$151,3,FALSE())</f>
        <v>Pintura</v>
      </c>
    </row>
    <row r="1048" customFormat="false" ht="15" hidden="false" customHeight="false" outlineLevel="0" collapsed="false">
      <c r="A1048" s="2" t="n">
        <v>1047</v>
      </c>
      <c r="B1048" s="2" t="n">
        <v>1230</v>
      </c>
      <c r="C1048" s="2" t="n">
        <v>408</v>
      </c>
      <c r="D1048" s="2" t="n">
        <v>908</v>
      </c>
      <c r="E1048" s="2" t="n">
        <v>376</v>
      </c>
      <c r="F1048" s="2" t="n">
        <v>52</v>
      </c>
      <c r="G1048" s="2" t="n">
        <v>1708</v>
      </c>
      <c r="H1048" s="2" t="n">
        <v>1</v>
      </c>
      <c r="I1048" s="3" t="n">
        <v>968.3</v>
      </c>
      <c r="J1048" s="3" t="n">
        <v>188.62</v>
      </c>
      <c r="K1048" s="3" t="n">
        <v>1667.04</v>
      </c>
      <c r="L1048" s="3" t="n">
        <v>613.97</v>
      </c>
      <c r="M1048" s="2" t="n">
        <v>8.8</v>
      </c>
      <c r="N1048" s="2" t="s">
        <v>27</v>
      </c>
      <c r="O1048" s="4" t="n">
        <f aca="false">VLOOKUP(F1048,DIM_SERVICO!$A$2:$D$151,4,FALSE())</f>
        <v>188.62</v>
      </c>
      <c r="P1048" s="4" t="n">
        <f aca="false">VLOOKUP(E1048,DIM_PECA!$A$2:$F$501,6,FALSE())</f>
        <v>1512.44</v>
      </c>
      <c r="Q1048" s="4" t="n">
        <f aca="false">VLOOKUP(E1048,DIM_PECA!$A$2:$F$501,5,FALSE())</f>
        <v>968.3</v>
      </c>
      <c r="R1048" s="4" t="n">
        <f aca="false">H1048*P1048</f>
        <v>1512.44</v>
      </c>
      <c r="S1048" s="4" t="n">
        <f aca="false">O1048*M1048</f>
        <v>1659.856</v>
      </c>
      <c r="T1048" s="4" t="n">
        <f aca="false">R1048+S1048</f>
        <v>3172.296</v>
      </c>
      <c r="U1048" s="4" t="n">
        <f aca="false">T1048-K1048</f>
        <v>1505.256</v>
      </c>
      <c r="V1048" s="4" t="n">
        <f aca="false">R1048+S1048-U1048</f>
        <v>1667.04</v>
      </c>
      <c r="W1048" s="5" t="str">
        <f aca="false">IF(ROUND(V1048-K1048,2)=0,"OK","ERRO")</f>
        <v>OK</v>
      </c>
      <c r="X1048" s="5" t="str">
        <f aca="false">VLOOKUP(F1048,DIM_SERVICO!$A$2:$D$151,3,FALSE())</f>
        <v>Funilaria</v>
      </c>
    </row>
    <row r="1049" customFormat="false" ht="15" hidden="false" customHeight="false" outlineLevel="0" collapsed="false">
      <c r="A1049" s="6" t="n">
        <v>1048</v>
      </c>
      <c r="B1049" s="6" t="n">
        <v>36</v>
      </c>
      <c r="C1049" s="6" t="n">
        <v>1415</v>
      </c>
      <c r="D1049" s="6" t="n">
        <v>974</v>
      </c>
      <c r="E1049" s="6" t="n">
        <v>372</v>
      </c>
      <c r="F1049" s="6" t="n">
        <v>81</v>
      </c>
      <c r="G1049" s="6" t="n">
        <v>637</v>
      </c>
      <c r="H1049" s="6" t="n">
        <v>1</v>
      </c>
      <c r="I1049" s="7" t="n">
        <v>390.34</v>
      </c>
      <c r="J1049" s="7" t="n">
        <v>2146.9</v>
      </c>
      <c r="K1049" s="7" t="n">
        <v>2746.99</v>
      </c>
      <c r="L1049" s="7" t="n">
        <v>1376.68</v>
      </c>
      <c r="M1049" s="6" t="n">
        <v>6</v>
      </c>
      <c r="N1049" s="6" t="s">
        <v>27</v>
      </c>
      <c r="O1049" s="8" t="n">
        <f aca="false">VLOOKUP(F1049,DIM_SERVICO!$A$2:$D$151,4,FALSE())</f>
        <v>2146.9</v>
      </c>
      <c r="P1049" s="8" t="n">
        <f aca="false">VLOOKUP(E1049,DIM_PECA!$A$2:$F$501,6,FALSE())</f>
        <v>600.09</v>
      </c>
      <c r="Q1049" s="8" t="n">
        <f aca="false">VLOOKUP(E1049,DIM_PECA!$A$2:$F$501,5,FALSE())</f>
        <v>390.34</v>
      </c>
      <c r="R1049" s="8" t="n">
        <f aca="false">H1049*P1049</f>
        <v>600.09</v>
      </c>
      <c r="S1049" s="8" t="n">
        <f aca="false">O1049*M1049</f>
        <v>12881.4</v>
      </c>
      <c r="T1049" s="8" t="n">
        <f aca="false">R1049+S1049</f>
        <v>13481.49</v>
      </c>
      <c r="U1049" s="8" t="n">
        <f aca="false">T1049-K1049</f>
        <v>10734.5</v>
      </c>
      <c r="V1049" s="8" t="n">
        <f aca="false">R1049+S1049-U1049</f>
        <v>2746.99</v>
      </c>
      <c r="W1049" s="9" t="str">
        <f aca="false">IF(ROUND(V1049-K1049,2)=0,"OK","ERRO")</f>
        <v>OK</v>
      </c>
      <c r="X1049" s="9" t="str">
        <f aca="false">VLOOKUP(F1049,DIM_SERVICO!$A$2:$D$151,3,FALSE())</f>
        <v>Revisão</v>
      </c>
    </row>
    <row r="1050" customFormat="false" ht="15" hidden="false" customHeight="false" outlineLevel="0" collapsed="false">
      <c r="A1050" s="2" t="n">
        <v>1049</v>
      </c>
      <c r="B1050" s="2" t="n">
        <v>230</v>
      </c>
      <c r="C1050" s="2" t="n">
        <v>505</v>
      </c>
      <c r="D1050" s="2" t="n">
        <v>999</v>
      </c>
      <c r="E1050" s="2" t="n">
        <v>405</v>
      </c>
      <c r="F1050" s="2" t="n">
        <v>150</v>
      </c>
      <c r="G1050" s="2" t="n">
        <v>600</v>
      </c>
      <c r="H1050" s="2" t="n">
        <v>4</v>
      </c>
      <c r="I1050" s="3" t="n">
        <v>4533.28</v>
      </c>
      <c r="J1050" s="3" t="n">
        <v>1370.46</v>
      </c>
      <c r="K1050" s="3" t="n">
        <v>9845.7</v>
      </c>
      <c r="L1050" s="3" t="n">
        <v>4796.15</v>
      </c>
      <c r="M1050" s="2" t="n">
        <v>11.4</v>
      </c>
      <c r="N1050" s="2" t="s">
        <v>25</v>
      </c>
      <c r="O1050" s="4" t="n">
        <f aca="false">VLOOKUP(F1050,DIM_SERVICO!$A$2:$D$151,4,FALSE())</f>
        <v>1370.46</v>
      </c>
      <c r="P1050" s="4" t="n">
        <f aca="false">VLOOKUP(E1050,DIM_PECA!$A$2:$F$501,6,FALSE())</f>
        <v>2118.81</v>
      </c>
      <c r="Q1050" s="4" t="n">
        <f aca="false">VLOOKUP(E1050,DIM_PECA!$A$2:$F$501,5,FALSE())</f>
        <v>1133.32</v>
      </c>
      <c r="R1050" s="4" t="n">
        <f aca="false">H1050*P1050</f>
        <v>8475.24</v>
      </c>
      <c r="S1050" s="4" t="n">
        <f aca="false">O1050*M1050</f>
        <v>15623.244</v>
      </c>
      <c r="T1050" s="4" t="n">
        <f aca="false">R1050+S1050</f>
        <v>24098.484</v>
      </c>
      <c r="U1050" s="4" t="n">
        <f aca="false">T1050-K1050</f>
        <v>14252.784</v>
      </c>
      <c r="V1050" s="4" t="n">
        <f aca="false">R1050+S1050-U1050</f>
        <v>9845.7</v>
      </c>
      <c r="W1050" s="5" t="str">
        <f aca="false">IF(ROUND(V1050-K1050,2)=0,"OK","ERRO")</f>
        <v>OK</v>
      </c>
      <c r="X1050" s="5" t="str">
        <f aca="false">VLOOKUP(F1050,DIM_SERVICO!$A$2:$D$151,3,FALSE())</f>
        <v>Revisão</v>
      </c>
    </row>
    <row r="1051" customFormat="false" ht="15" hidden="false" customHeight="false" outlineLevel="0" collapsed="false">
      <c r="A1051" s="6" t="n">
        <v>1050</v>
      </c>
      <c r="B1051" s="6" t="n">
        <v>270</v>
      </c>
      <c r="C1051" s="6" t="n">
        <v>992</v>
      </c>
      <c r="D1051" s="6" t="n">
        <v>294</v>
      </c>
      <c r="E1051" s="6" t="n">
        <v>334</v>
      </c>
      <c r="F1051" s="6" t="n">
        <v>79</v>
      </c>
      <c r="G1051" s="6" t="n">
        <v>684</v>
      </c>
      <c r="H1051" s="6" t="n">
        <v>4</v>
      </c>
      <c r="I1051" s="7" t="n">
        <v>2336.76</v>
      </c>
      <c r="J1051" s="7" t="n">
        <v>748.05</v>
      </c>
      <c r="K1051" s="7" t="n">
        <v>4144.75</v>
      </c>
      <c r="L1051" s="7" t="n">
        <v>1463.01</v>
      </c>
      <c r="M1051" s="6" t="n">
        <v>6.7</v>
      </c>
      <c r="N1051" s="6" t="s">
        <v>25</v>
      </c>
      <c r="O1051" s="8" t="n">
        <f aca="false">VLOOKUP(F1051,DIM_SERVICO!$A$2:$D$151,4,FALSE())</f>
        <v>748.05</v>
      </c>
      <c r="P1051" s="8" t="n">
        <f aca="false">VLOOKUP(E1051,DIM_PECA!$A$2:$F$501,6,FALSE())</f>
        <v>903.71</v>
      </c>
      <c r="Q1051" s="8" t="n">
        <f aca="false">VLOOKUP(E1051,DIM_PECA!$A$2:$F$501,5,FALSE())</f>
        <v>584.19</v>
      </c>
      <c r="R1051" s="8" t="n">
        <f aca="false">H1051*P1051</f>
        <v>3614.84</v>
      </c>
      <c r="S1051" s="8" t="n">
        <f aca="false">O1051*M1051</f>
        <v>5011.935</v>
      </c>
      <c r="T1051" s="8" t="n">
        <f aca="false">R1051+S1051</f>
        <v>8626.775</v>
      </c>
      <c r="U1051" s="8" t="n">
        <f aca="false">T1051-K1051</f>
        <v>4482.025</v>
      </c>
      <c r="V1051" s="8" t="n">
        <f aca="false">R1051+S1051-U1051</f>
        <v>4144.75</v>
      </c>
      <c r="W1051" s="9" t="str">
        <f aca="false">IF(ROUND(V1051-K1051,2)=0,"OK","ERRO")</f>
        <v>OK</v>
      </c>
      <c r="X1051" s="9" t="str">
        <f aca="false">VLOOKUP(F1051,DIM_SERVICO!$A$2:$D$151,3,FALSE())</f>
        <v>Freios</v>
      </c>
    </row>
    <row r="1052" customFormat="false" ht="15" hidden="false" customHeight="false" outlineLevel="0" collapsed="false">
      <c r="A1052" s="2" t="n">
        <v>1051</v>
      </c>
      <c r="B1052" s="2" t="n">
        <v>773</v>
      </c>
      <c r="C1052" s="2" t="n">
        <v>384</v>
      </c>
      <c r="D1052" s="2" t="n">
        <v>522</v>
      </c>
      <c r="E1052" s="2" t="n">
        <v>175</v>
      </c>
      <c r="F1052" s="2" t="n">
        <v>89</v>
      </c>
      <c r="G1052" s="2" t="n">
        <v>1418</v>
      </c>
      <c r="H1052" s="2" t="n">
        <v>3</v>
      </c>
      <c r="I1052" s="3" t="n">
        <v>56.07</v>
      </c>
      <c r="J1052" s="3" t="n">
        <v>310.79</v>
      </c>
      <c r="K1052" s="3" t="n">
        <v>407.66</v>
      </c>
      <c r="L1052" s="3" t="n">
        <v>197.56</v>
      </c>
      <c r="M1052" s="2" t="n">
        <v>2.2</v>
      </c>
      <c r="N1052" s="2" t="s">
        <v>24</v>
      </c>
      <c r="O1052" s="4" t="n">
        <f aca="false">VLOOKUP(F1052,DIM_SERVICO!$A$2:$D$151,4,FALSE())</f>
        <v>310.79</v>
      </c>
      <c r="P1052" s="4" t="n">
        <f aca="false">VLOOKUP(E1052,DIM_PECA!$A$2:$F$501,6,FALSE())</f>
        <v>32.29</v>
      </c>
      <c r="Q1052" s="4" t="n">
        <f aca="false">VLOOKUP(E1052,DIM_PECA!$A$2:$F$501,5,FALSE())</f>
        <v>18.69</v>
      </c>
      <c r="R1052" s="4" t="n">
        <f aca="false">H1052*P1052</f>
        <v>96.87</v>
      </c>
      <c r="S1052" s="4" t="n">
        <f aca="false">O1052*M1052</f>
        <v>683.738</v>
      </c>
      <c r="T1052" s="4" t="n">
        <f aca="false">R1052+S1052</f>
        <v>780.608</v>
      </c>
      <c r="U1052" s="4" t="n">
        <f aca="false">T1052-K1052</f>
        <v>372.948</v>
      </c>
      <c r="V1052" s="4" t="n">
        <f aca="false">R1052+S1052-U1052</f>
        <v>407.66</v>
      </c>
      <c r="W1052" s="5" t="str">
        <f aca="false">IF(ROUND(V1052-K1052,2)=0,"OK","ERRO")</f>
        <v>OK</v>
      </c>
      <c r="X1052" s="5" t="str">
        <f aca="false">VLOOKUP(F1052,DIM_SERVICO!$A$2:$D$151,3,FALSE())</f>
        <v>Elétrica</v>
      </c>
    </row>
    <row r="1053" customFormat="false" ht="15" hidden="false" customHeight="false" outlineLevel="0" collapsed="false">
      <c r="A1053" s="6" t="n">
        <v>1052</v>
      </c>
      <c r="B1053" s="6" t="n">
        <v>1247</v>
      </c>
      <c r="C1053" s="6" t="n">
        <v>44</v>
      </c>
      <c r="D1053" s="6" t="n">
        <v>17</v>
      </c>
      <c r="E1053" s="6" t="n">
        <v>58</v>
      </c>
      <c r="F1053" s="6" t="n">
        <v>77</v>
      </c>
      <c r="G1053" s="6" t="n">
        <v>1303</v>
      </c>
      <c r="H1053" s="6" t="n">
        <v>4</v>
      </c>
      <c r="I1053" s="7" t="n">
        <v>4435.44</v>
      </c>
      <c r="J1053" s="7" t="n">
        <v>729.21</v>
      </c>
      <c r="K1053" s="7" t="n">
        <v>8488.89</v>
      </c>
      <c r="L1053" s="7" t="n">
        <v>3782.25</v>
      </c>
      <c r="M1053" s="6" t="n">
        <v>10.1</v>
      </c>
      <c r="N1053" s="6" t="s">
        <v>26</v>
      </c>
      <c r="O1053" s="8" t="n">
        <f aca="false">VLOOKUP(F1053,DIM_SERVICO!$A$2:$D$151,4,FALSE())</f>
        <v>729.21</v>
      </c>
      <c r="P1053" s="8" t="n">
        <f aca="false">VLOOKUP(E1053,DIM_PECA!$A$2:$F$501,6,FALSE())</f>
        <v>1939.92</v>
      </c>
      <c r="Q1053" s="8" t="n">
        <f aca="false">VLOOKUP(E1053,DIM_PECA!$A$2:$F$501,5,FALSE())</f>
        <v>1108.86</v>
      </c>
      <c r="R1053" s="8" t="n">
        <f aca="false">H1053*P1053</f>
        <v>7759.68</v>
      </c>
      <c r="S1053" s="8" t="n">
        <f aca="false">O1053*M1053</f>
        <v>7365.021</v>
      </c>
      <c r="T1053" s="8" t="n">
        <f aca="false">R1053+S1053</f>
        <v>15124.701</v>
      </c>
      <c r="U1053" s="8" t="n">
        <f aca="false">T1053-K1053</f>
        <v>6635.811</v>
      </c>
      <c r="V1053" s="8" t="n">
        <f aca="false">R1053+S1053-U1053</f>
        <v>8488.89</v>
      </c>
      <c r="W1053" s="9" t="str">
        <f aca="false">IF(ROUND(V1053-K1053,2)=0,"OK","ERRO")</f>
        <v>OK</v>
      </c>
      <c r="X1053" s="9" t="str">
        <f aca="false">VLOOKUP(F1053,DIM_SERVICO!$A$2:$D$151,3,FALSE())</f>
        <v>Freios</v>
      </c>
    </row>
    <row r="1054" customFormat="false" ht="15" hidden="false" customHeight="false" outlineLevel="0" collapsed="false">
      <c r="A1054" s="2" t="n">
        <v>1053</v>
      </c>
      <c r="B1054" s="2" t="n">
        <v>116</v>
      </c>
      <c r="C1054" s="2" t="n">
        <v>913</v>
      </c>
      <c r="D1054" s="2" t="n">
        <v>948</v>
      </c>
      <c r="E1054" s="2" t="n">
        <v>165</v>
      </c>
      <c r="F1054" s="2" t="n">
        <v>72</v>
      </c>
      <c r="G1054" s="2" t="n">
        <v>762</v>
      </c>
      <c r="H1054" s="2" t="n">
        <v>2</v>
      </c>
      <c r="I1054" s="3" t="n">
        <v>751.44</v>
      </c>
      <c r="J1054" s="3" t="n">
        <v>710.66</v>
      </c>
      <c r="K1054" s="3" t="n">
        <v>1993.67</v>
      </c>
      <c r="L1054" s="3" t="n">
        <v>888.48</v>
      </c>
      <c r="M1054" s="2" t="n">
        <v>0.9</v>
      </c>
      <c r="N1054" s="2" t="s">
        <v>27</v>
      </c>
      <c r="O1054" s="4" t="n">
        <f aca="false">VLOOKUP(F1054,DIM_SERVICO!$A$2:$D$151,4,FALSE())</f>
        <v>710.66</v>
      </c>
      <c r="P1054" s="4" t="n">
        <f aca="false">VLOOKUP(E1054,DIM_PECA!$A$2:$F$501,6,FALSE())</f>
        <v>693.97</v>
      </c>
      <c r="Q1054" s="4" t="n">
        <f aca="false">VLOOKUP(E1054,DIM_PECA!$A$2:$F$501,5,FALSE())</f>
        <v>375.72</v>
      </c>
      <c r="R1054" s="4" t="n">
        <f aca="false">H1054*P1054</f>
        <v>1387.94</v>
      </c>
      <c r="S1054" s="4" t="n">
        <f aca="false">O1054*M1054</f>
        <v>639.594</v>
      </c>
      <c r="T1054" s="4" t="n">
        <f aca="false">R1054+S1054</f>
        <v>2027.534</v>
      </c>
      <c r="U1054" s="4" t="n">
        <f aca="false">T1054-K1054</f>
        <v>33.864</v>
      </c>
      <c r="V1054" s="4" t="n">
        <f aca="false">R1054+S1054-U1054</f>
        <v>1993.67</v>
      </c>
      <c r="W1054" s="5" t="str">
        <f aca="false">IF(ROUND(V1054-K1054,2)=0,"OK","ERRO")</f>
        <v>OK</v>
      </c>
      <c r="X1054" s="5" t="str">
        <f aca="false">VLOOKUP(F1054,DIM_SERVICO!$A$2:$D$151,3,FALSE())</f>
        <v>Motor</v>
      </c>
    </row>
    <row r="1055" customFormat="false" ht="15" hidden="false" customHeight="false" outlineLevel="0" collapsed="false">
      <c r="A1055" s="6" t="n">
        <v>1054</v>
      </c>
      <c r="B1055" s="6" t="n">
        <v>795</v>
      </c>
      <c r="C1055" s="6" t="n">
        <v>710</v>
      </c>
      <c r="D1055" s="6" t="n">
        <v>804</v>
      </c>
      <c r="E1055" s="6" t="n">
        <v>361</v>
      </c>
      <c r="F1055" s="6" t="n">
        <v>140</v>
      </c>
      <c r="G1055" s="6" t="n">
        <v>779</v>
      </c>
      <c r="H1055" s="6" t="n">
        <v>4</v>
      </c>
      <c r="I1055" s="7" t="n">
        <v>3728.88</v>
      </c>
      <c r="J1055" s="7" t="n">
        <v>1109.33</v>
      </c>
      <c r="K1055" s="7" t="n">
        <v>7763.05</v>
      </c>
      <c r="L1055" s="7" t="n">
        <v>3429.26</v>
      </c>
      <c r="M1055" s="6" t="n">
        <v>7.3</v>
      </c>
      <c r="N1055" s="6" t="s">
        <v>24</v>
      </c>
      <c r="O1055" s="8" t="n">
        <f aca="false">VLOOKUP(F1055,DIM_SERVICO!$A$2:$D$151,4,FALSE())</f>
        <v>1109.33</v>
      </c>
      <c r="P1055" s="8" t="n">
        <f aca="false">VLOOKUP(E1055,DIM_PECA!$A$2:$F$501,6,FALSE())</f>
        <v>1663.43</v>
      </c>
      <c r="Q1055" s="8" t="n">
        <f aca="false">VLOOKUP(E1055,DIM_PECA!$A$2:$F$501,5,FALSE())</f>
        <v>932.22</v>
      </c>
      <c r="R1055" s="8" t="n">
        <f aca="false">H1055*P1055</f>
        <v>6653.72</v>
      </c>
      <c r="S1055" s="8" t="n">
        <f aca="false">O1055*M1055</f>
        <v>8098.109</v>
      </c>
      <c r="T1055" s="8" t="n">
        <f aca="false">R1055+S1055</f>
        <v>14751.829</v>
      </c>
      <c r="U1055" s="8" t="n">
        <f aca="false">T1055-K1055</f>
        <v>6988.779</v>
      </c>
      <c r="V1055" s="8" t="n">
        <f aca="false">R1055+S1055-U1055</f>
        <v>7763.05</v>
      </c>
      <c r="W1055" s="9" t="str">
        <f aca="false">IF(ROUND(V1055-K1055,2)=0,"OK","ERRO")</f>
        <v>OK</v>
      </c>
      <c r="X1055" s="9" t="str">
        <f aca="false">VLOOKUP(F1055,DIM_SERVICO!$A$2:$D$151,3,FALSE())</f>
        <v>Revisão</v>
      </c>
    </row>
    <row r="1056" customFormat="false" ht="15" hidden="false" customHeight="false" outlineLevel="0" collapsed="false">
      <c r="A1056" s="2" t="n">
        <v>1055</v>
      </c>
      <c r="B1056" s="2" t="n">
        <v>792</v>
      </c>
      <c r="C1056" s="2" t="n">
        <v>441</v>
      </c>
      <c r="D1056" s="2" t="n">
        <v>431</v>
      </c>
      <c r="E1056" s="2" t="n">
        <v>291</v>
      </c>
      <c r="F1056" s="2" t="n">
        <v>87</v>
      </c>
      <c r="G1056" s="2" t="n">
        <v>1641</v>
      </c>
      <c r="H1056" s="2" t="n">
        <v>2</v>
      </c>
      <c r="I1056" s="3" t="n">
        <v>1576.66</v>
      </c>
      <c r="J1056" s="3" t="n">
        <v>1231.26</v>
      </c>
      <c r="K1056" s="3" t="n">
        <v>3995.54</v>
      </c>
      <c r="L1056" s="3" t="n">
        <v>1782.31</v>
      </c>
      <c r="M1056" s="2" t="n">
        <v>9.1</v>
      </c>
      <c r="N1056" s="2" t="s">
        <v>24</v>
      </c>
      <c r="O1056" s="4" t="n">
        <f aca="false">VLOOKUP(F1056,DIM_SERVICO!$A$2:$D$151,4,FALSE())</f>
        <v>1231.26</v>
      </c>
      <c r="P1056" s="4" t="n">
        <f aca="false">VLOOKUP(E1056,DIM_PECA!$A$2:$F$501,6,FALSE())</f>
        <v>1555.86</v>
      </c>
      <c r="Q1056" s="4" t="n">
        <f aca="false">VLOOKUP(E1056,DIM_PECA!$A$2:$F$501,5,FALSE())</f>
        <v>788.33</v>
      </c>
      <c r="R1056" s="4" t="n">
        <f aca="false">H1056*P1056</f>
        <v>3111.72</v>
      </c>
      <c r="S1056" s="4" t="n">
        <f aca="false">O1056*M1056</f>
        <v>11204.466</v>
      </c>
      <c r="T1056" s="4" t="n">
        <f aca="false">R1056+S1056</f>
        <v>14316.186</v>
      </c>
      <c r="U1056" s="4" t="n">
        <f aca="false">T1056-K1056</f>
        <v>10320.646</v>
      </c>
      <c r="V1056" s="4" t="n">
        <f aca="false">R1056+S1056-U1056</f>
        <v>3995.54</v>
      </c>
      <c r="W1056" s="5" t="str">
        <f aca="false">IF(ROUND(V1056-K1056,2)=0,"OK","ERRO")</f>
        <v>OK</v>
      </c>
      <c r="X1056" s="5" t="str">
        <f aca="false">VLOOKUP(F1056,DIM_SERVICO!$A$2:$D$151,3,FALSE())</f>
        <v>Elétrica</v>
      </c>
    </row>
    <row r="1057" customFormat="false" ht="15" hidden="false" customHeight="false" outlineLevel="0" collapsed="false">
      <c r="A1057" s="6" t="n">
        <v>1056</v>
      </c>
      <c r="B1057" s="6" t="n">
        <v>1428</v>
      </c>
      <c r="C1057" s="6" t="n">
        <v>1288</v>
      </c>
      <c r="D1057" s="6" t="n">
        <v>222</v>
      </c>
      <c r="E1057" s="6" t="n">
        <v>336</v>
      </c>
      <c r="F1057" s="6" t="n">
        <v>89</v>
      </c>
      <c r="G1057" s="6" t="n">
        <v>1512</v>
      </c>
      <c r="H1057" s="6" t="n">
        <v>3</v>
      </c>
      <c r="I1057" s="7" t="n">
        <v>1045.41</v>
      </c>
      <c r="J1057" s="7" t="n">
        <v>310.79</v>
      </c>
      <c r="K1057" s="7" t="n">
        <v>2212.79</v>
      </c>
      <c r="L1057" s="7" t="n">
        <v>1021.63</v>
      </c>
      <c r="M1057" s="6" t="n">
        <v>8.1</v>
      </c>
      <c r="N1057" s="6" t="s">
        <v>26</v>
      </c>
      <c r="O1057" s="8" t="n">
        <f aca="false">VLOOKUP(F1057,DIM_SERVICO!$A$2:$D$151,4,FALSE())</f>
        <v>310.79</v>
      </c>
      <c r="P1057" s="8" t="n">
        <f aca="false">VLOOKUP(E1057,DIM_PECA!$A$2:$F$501,6,FALSE())</f>
        <v>634</v>
      </c>
      <c r="Q1057" s="8" t="n">
        <f aca="false">VLOOKUP(E1057,DIM_PECA!$A$2:$F$501,5,FALSE())</f>
        <v>348.47</v>
      </c>
      <c r="R1057" s="8" t="n">
        <f aca="false">H1057*P1057</f>
        <v>1902</v>
      </c>
      <c r="S1057" s="8" t="n">
        <f aca="false">O1057*M1057</f>
        <v>2517.399</v>
      </c>
      <c r="T1057" s="8" t="n">
        <f aca="false">R1057+S1057</f>
        <v>4419.399</v>
      </c>
      <c r="U1057" s="8" t="n">
        <f aca="false">T1057-K1057</f>
        <v>2206.609</v>
      </c>
      <c r="V1057" s="8" t="n">
        <f aca="false">R1057+S1057-U1057</f>
        <v>2212.79</v>
      </c>
      <c r="W1057" s="9" t="str">
        <f aca="false">IF(ROUND(V1057-K1057,2)=0,"OK","ERRO")</f>
        <v>OK</v>
      </c>
      <c r="X1057" s="9" t="str">
        <f aca="false">VLOOKUP(F1057,DIM_SERVICO!$A$2:$D$151,3,FALSE())</f>
        <v>Elétrica</v>
      </c>
    </row>
    <row r="1058" customFormat="false" ht="15" hidden="false" customHeight="false" outlineLevel="0" collapsed="false">
      <c r="A1058" s="2" t="n">
        <v>1057</v>
      </c>
      <c r="B1058" s="2" t="n">
        <v>56</v>
      </c>
      <c r="C1058" s="2" t="n">
        <v>1310</v>
      </c>
      <c r="D1058" s="2" t="n">
        <v>682</v>
      </c>
      <c r="E1058" s="2" t="n">
        <v>205</v>
      </c>
      <c r="F1058" s="2" t="n">
        <v>53</v>
      </c>
      <c r="G1058" s="2" t="n">
        <v>931</v>
      </c>
      <c r="H1058" s="2" t="n">
        <v>4</v>
      </c>
      <c r="I1058" s="3" t="n">
        <v>674.24</v>
      </c>
      <c r="J1058" s="3" t="n">
        <v>955.09</v>
      </c>
      <c r="K1058" s="3" t="n">
        <v>1967.48</v>
      </c>
      <c r="L1058" s="3" t="n">
        <v>816.39</v>
      </c>
      <c r="M1058" s="2" t="n">
        <v>2.5</v>
      </c>
      <c r="N1058" s="2" t="s">
        <v>24</v>
      </c>
      <c r="O1058" s="4" t="n">
        <f aca="false">VLOOKUP(F1058,DIM_SERVICO!$A$2:$D$151,4,FALSE())</f>
        <v>955.09</v>
      </c>
      <c r="P1058" s="4" t="n">
        <f aca="false">VLOOKUP(E1058,DIM_PECA!$A$2:$F$501,6,FALSE())</f>
        <v>295.87</v>
      </c>
      <c r="Q1058" s="4" t="n">
        <f aca="false">VLOOKUP(E1058,DIM_PECA!$A$2:$F$501,5,FALSE())</f>
        <v>168.56</v>
      </c>
      <c r="R1058" s="4" t="n">
        <f aca="false">H1058*P1058</f>
        <v>1183.48</v>
      </c>
      <c r="S1058" s="4" t="n">
        <f aca="false">O1058*M1058</f>
        <v>2387.725</v>
      </c>
      <c r="T1058" s="4" t="n">
        <f aca="false">R1058+S1058</f>
        <v>3571.205</v>
      </c>
      <c r="U1058" s="4" t="n">
        <f aca="false">T1058-K1058</f>
        <v>1603.725</v>
      </c>
      <c r="V1058" s="4" t="n">
        <f aca="false">R1058+S1058-U1058</f>
        <v>1967.48</v>
      </c>
      <c r="W1058" s="5" t="str">
        <f aca="false">IF(ROUND(V1058-K1058,2)=0,"OK","ERRO")</f>
        <v>OK</v>
      </c>
      <c r="X1058" s="5" t="str">
        <f aca="false">VLOOKUP(F1058,DIM_SERVICO!$A$2:$D$151,3,FALSE())</f>
        <v>Motor</v>
      </c>
    </row>
    <row r="1059" customFormat="false" ht="15" hidden="false" customHeight="false" outlineLevel="0" collapsed="false">
      <c r="A1059" s="6" t="n">
        <v>1058</v>
      </c>
      <c r="B1059" s="6" t="n">
        <v>508</v>
      </c>
      <c r="C1059" s="6" t="n">
        <v>735</v>
      </c>
      <c r="D1059" s="6" t="n">
        <v>290</v>
      </c>
      <c r="E1059" s="6" t="n">
        <v>160</v>
      </c>
      <c r="F1059" s="6" t="n">
        <v>93</v>
      </c>
      <c r="G1059" s="6" t="n">
        <v>1088</v>
      </c>
      <c r="H1059" s="6" t="n">
        <v>4</v>
      </c>
      <c r="I1059" s="7" t="n">
        <v>3528.24</v>
      </c>
      <c r="J1059" s="7" t="n">
        <v>2049.66</v>
      </c>
      <c r="K1059" s="7" t="n">
        <v>6411.11</v>
      </c>
      <c r="L1059" s="7" t="n">
        <v>2152.39</v>
      </c>
      <c r="M1059" s="6" t="n">
        <v>12</v>
      </c>
      <c r="N1059" s="6" t="s">
        <v>24</v>
      </c>
      <c r="O1059" s="8" t="n">
        <f aca="false">VLOOKUP(F1059,DIM_SERVICO!$A$2:$D$151,4,FALSE())</f>
        <v>2049.66</v>
      </c>
      <c r="P1059" s="8" t="n">
        <f aca="false">VLOOKUP(E1059,DIM_PECA!$A$2:$F$501,6,FALSE())</f>
        <v>1268.45</v>
      </c>
      <c r="Q1059" s="8" t="n">
        <f aca="false">VLOOKUP(E1059,DIM_PECA!$A$2:$F$501,5,FALSE())</f>
        <v>882.06</v>
      </c>
      <c r="R1059" s="8" t="n">
        <f aca="false">H1059*P1059</f>
        <v>5073.8</v>
      </c>
      <c r="S1059" s="8" t="n">
        <f aca="false">O1059*M1059</f>
        <v>24595.92</v>
      </c>
      <c r="T1059" s="8" t="n">
        <f aca="false">R1059+S1059</f>
        <v>29669.72</v>
      </c>
      <c r="U1059" s="8" t="n">
        <f aca="false">T1059-K1059</f>
        <v>23258.61</v>
      </c>
      <c r="V1059" s="8" t="n">
        <f aca="false">R1059+S1059-U1059</f>
        <v>6411.11</v>
      </c>
      <c r="W1059" s="9" t="str">
        <f aca="false">IF(ROUND(V1059-K1059,2)=0,"OK","ERRO")</f>
        <v>OK</v>
      </c>
      <c r="X1059" s="9" t="str">
        <f aca="false">VLOOKUP(F1059,DIM_SERVICO!$A$2:$D$151,3,FALSE())</f>
        <v>Revisão</v>
      </c>
    </row>
    <row r="1060" customFormat="false" ht="15" hidden="false" customHeight="false" outlineLevel="0" collapsed="false">
      <c r="A1060" s="2" t="n">
        <v>1059</v>
      </c>
      <c r="B1060" s="2" t="n">
        <v>281</v>
      </c>
      <c r="C1060" s="2" t="n">
        <v>240</v>
      </c>
      <c r="D1060" s="2" t="n">
        <v>116</v>
      </c>
      <c r="E1060" s="2" t="n">
        <v>228</v>
      </c>
      <c r="F1060" s="2" t="n">
        <v>90</v>
      </c>
      <c r="G1060" s="2" t="n">
        <v>250</v>
      </c>
      <c r="H1060" s="2" t="n">
        <v>4</v>
      </c>
      <c r="I1060" s="3" t="n">
        <v>1557.64</v>
      </c>
      <c r="J1060" s="3" t="n">
        <v>702.32</v>
      </c>
      <c r="K1060" s="3" t="n">
        <v>3780.04</v>
      </c>
      <c r="L1060" s="3" t="n">
        <v>1882.89</v>
      </c>
      <c r="M1060" s="2" t="n">
        <v>6.9</v>
      </c>
      <c r="N1060" s="2" t="s">
        <v>24</v>
      </c>
      <c r="O1060" s="4" t="n">
        <f aca="false">VLOOKUP(F1060,DIM_SERVICO!$A$2:$D$151,4,FALSE())</f>
        <v>702.32</v>
      </c>
      <c r="P1060" s="4" t="n">
        <f aca="false">VLOOKUP(E1060,DIM_PECA!$A$2:$F$501,6,FALSE())</f>
        <v>769.43</v>
      </c>
      <c r="Q1060" s="4" t="n">
        <f aca="false">VLOOKUP(E1060,DIM_PECA!$A$2:$F$501,5,FALSE())</f>
        <v>389.41</v>
      </c>
      <c r="R1060" s="4" t="n">
        <f aca="false">H1060*P1060</f>
        <v>3077.72</v>
      </c>
      <c r="S1060" s="4" t="n">
        <f aca="false">O1060*M1060</f>
        <v>4846.008</v>
      </c>
      <c r="T1060" s="4" t="n">
        <f aca="false">R1060+S1060</f>
        <v>7923.728</v>
      </c>
      <c r="U1060" s="4" t="n">
        <f aca="false">T1060-K1060</f>
        <v>4143.688</v>
      </c>
      <c r="V1060" s="4" t="n">
        <f aca="false">R1060+S1060-U1060</f>
        <v>3780.04</v>
      </c>
      <c r="W1060" s="5" t="str">
        <f aca="false">IF(ROUND(V1060-K1060,2)=0,"OK","ERRO")</f>
        <v>OK</v>
      </c>
      <c r="X1060" s="5" t="str">
        <f aca="false">VLOOKUP(F1060,DIM_SERVICO!$A$2:$D$151,3,FALSE())</f>
        <v>Diagnóstico</v>
      </c>
    </row>
    <row r="1061" customFormat="false" ht="15" hidden="false" customHeight="false" outlineLevel="0" collapsed="false">
      <c r="A1061" s="6" t="n">
        <v>1060</v>
      </c>
      <c r="B1061" s="6" t="n">
        <v>262</v>
      </c>
      <c r="C1061" s="6" t="n">
        <v>843</v>
      </c>
      <c r="D1061" s="6" t="n">
        <v>252</v>
      </c>
      <c r="E1061" s="6" t="n">
        <v>457</v>
      </c>
      <c r="F1061" s="6" t="n">
        <v>76</v>
      </c>
      <c r="G1061" s="6" t="n">
        <v>1705</v>
      </c>
      <c r="H1061" s="6" t="n">
        <v>2</v>
      </c>
      <c r="I1061" s="7" t="n">
        <v>272.36</v>
      </c>
      <c r="J1061" s="7" t="n">
        <v>258.16</v>
      </c>
      <c r="K1061" s="7" t="n">
        <v>784.88</v>
      </c>
      <c r="L1061" s="7" t="n">
        <v>404.77</v>
      </c>
      <c r="M1061" s="6" t="n">
        <v>5.4</v>
      </c>
      <c r="N1061" s="6" t="s">
        <v>24</v>
      </c>
      <c r="O1061" s="8" t="n">
        <f aca="false">VLOOKUP(F1061,DIM_SERVICO!$A$2:$D$151,4,FALSE())</f>
        <v>258.16</v>
      </c>
      <c r="P1061" s="8" t="n">
        <f aca="false">VLOOKUP(E1061,DIM_PECA!$A$2:$F$501,6,FALSE())</f>
        <v>263.36</v>
      </c>
      <c r="Q1061" s="8" t="n">
        <f aca="false">VLOOKUP(E1061,DIM_PECA!$A$2:$F$501,5,FALSE())</f>
        <v>136.18</v>
      </c>
      <c r="R1061" s="8" t="n">
        <f aca="false">H1061*P1061</f>
        <v>526.72</v>
      </c>
      <c r="S1061" s="8" t="n">
        <f aca="false">O1061*M1061</f>
        <v>1394.064</v>
      </c>
      <c r="T1061" s="8" t="n">
        <f aca="false">R1061+S1061</f>
        <v>1920.784</v>
      </c>
      <c r="U1061" s="8" t="n">
        <f aca="false">T1061-K1061</f>
        <v>1135.904</v>
      </c>
      <c r="V1061" s="8" t="n">
        <f aca="false">R1061+S1061-U1061</f>
        <v>784.88</v>
      </c>
      <c r="W1061" s="9" t="str">
        <f aca="false">IF(ROUND(V1061-K1061,2)=0,"OK","ERRO")</f>
        <v>OK</v>
      </c>
      <c r="X1061" s="9" t="str">
        <f aca="false">VLOOKUP(F1061,DIM_SERVICO!$A$2:$D$151,3,FALSE())</f>
        <v>Diagnóstico</v>
      </c>
    </row>
    <row r="1062" customFormat="false" ht="15" hidden="false" customHeight="false" outlineLevel="0" collapsed="false">
      <c r="A1062" s="2" t="n">
        <v>1061</v>
      </c>
      <c r="B1062" s="2" t="n">
        <v>118</v>
      </c>
      <c r="C1062" s="2" t="n">
        <v>633</v>
      </c>
      <c r="D1062" s="2" t="n">
        <v>557</v>
      </c>
      <c r="E1062" s="2" t="n">
        <v>113</v>
      </c>
      <c r="F1062" s="2" t="n">
        <v>142</v>
      </c>
      <c r="G1062" s="2" t="n">
        <v>1015</v>
      </c>
      <c r="H1062" s="2" t="n">
        <v>4</v>
      </c>
      <c r="I1062" s="3" t="n">
        <v>3361.56</v>
      </c>
      <c r="J1062" s="3" t="n">
        <v>1867.45</v>
      </c>
      <c r="K1062" s="3" t="n">
        <v>7173.21</v>
      </c>
      <c r="L1062" s="3" t="n">
        <v>2987.13</v>
      </c>
      <c r="M1062" s="2" t="n">
        <v>3.2</v>
      </c>
      <c r="N1062" s="2" t="s">
        <v>24</v>
      </c>
      <c r="O1062" s="4" t="n">
        <f aca="false">VLOOKUP(F1062,DIM_SERVICO!$A$2:$D$151,4,FALSE())</f>
        <v>1867.45</v>
      </c>
      <c r="P1062" s="4" t="n">
        <f aca="false">VLOOKUP(E1062,DIM_PECA!$A$2:$F$501,6,FALSE())</f>
        <v>1326.44</v>
      </c>
      <c r="Q1062" s="4" t="n">
        <f aca="false">VLOOKUP(E1062,DIM_PECA!$A$2:$F$501,5,FALSE())</f>
        <v>840.39</v>
      </c>
      <c r="R1062" s="4" t="n">
        <f aca="false">H1062*P1062</f>
        <v>5305.76</v>
      </c>
      <c r="S1062" s="4" t="n">
        <f aca="false">O1062*M1062</f>
        <v>5975.84</v>
      </c>
      <c r="T1062" s="4" t="n">
        <f aca="false">R1062+S1062</f>
        <v>11281.6</v>
      </c>
      <c r="U1062" s="4" t="n">
        <f aca="false">T1062-K1062</f>
        <v>4108.39</v>
      </c>
      <c r="V1062" s="4" t="n">
        <f aca="false">R1062+S1062-U1062</f>
        <v>7173.21</v>
      </c>
      <c r="W1062" s="5" t="str">
        <f aca="false">IF(ROUND(V1062-K1062,2)=0,"OK","ERRO")</f>
        <v>OK</v>
      </c>
      <c r="X1062" s="5" t="str">
        <f aca="false">VLOOKUP(F1062,DIM_SERVICO!$A$2:$D$151,3,FALSE())</f>
        <v>Elétrica</v>
      </c>
    </row>
    <row r="1063" customFormat="false" ht="15" hidden="false" customHeight="false" outlineLevel="0" collapsed="false">
      <c r="A1063" s="6" t="n">
        <v>1062</v>
      </c>
      <c r="B1063" s="6" t="n">
        <v>1397</v>
      </c>
      <c r="C1063" s="6" t="n">
        <v>1402</v>
      </c>
      <c r="D1063" s="6" t="n">
        <v>1092</v>
      </c>
      <c r="E1063" s="6" t="n">
        <v>111</v>
      </c>
      <c r="F1063" s="6" t="n">
        <v>90</v>
      </c>
      <c r="G1063" s="6" t="n">
        <v>1427</v>
      </c>
      <c r="H1063" s="6" t="n">
        <v>1</v>
      </c>
      <c r="I1063" s="7" t="n">
        <v>576.42</v>
      </c>
      <c r="J1063" s="7" t="n">
        <v>702.32</v>
      </c>
      <c r="K1063" s="7" t="n">
        <v>1520.96</v>
      </c>
      <c r="L1063" s="7" t="n">
        <v>570.35</v>
      </c>
      <c r="M1063" s="6" t="n">
        <v>9.9</v>
      </c>
      <c r="N1063" s="6" t="s">
        <v>26</v>
      </c>
      <c r="O1063" s="8" t="n">
        <f aca="false">VLOOKUP(F1063,DIM_SERVICO!$A$2:$D$151,4,FALSE())</f>
        <v>702.32</v>
      </c>
      <c r="P1063" s="8" t="n">
        <f aca="false">VLOOKUP(E1063,DIM_PECA!$A$2:$F$501,6,FALSE())</f>
        <v>818.64</v>
      </c>
      <c r="Q1063" s="8" t="n">
        <f aca="false">VLOOKUP(E1063,DIM_PECA!$A$2:$F$501,5,FALSE())</f>
        <v>576.42</v>
      </c>
      <c r="R1063" s="8" t="n">
        <f aca="false">H1063*P1063</f>
        <v>818.64</v>
      </c>
      <c r="S1063" s="8" t="n">
        <f aca="false">O1063*M1063</f>
        <v>6952.968</v>
      </c>
      <c r="T1063" s="8" t="n">
        <f aca="false">R1063+S1063</f>
        <v>7771.608</v>
      </c>
      <c r="U1063" s="8" t="n">
        <f aca="false">T1063-K1063</f>
        <v>6250.648</v>
      </c>
      <c r="V1063" s="8" t="n">
        <f aca="false">R1063+S1063-U1063</f>
        <v>1520.96</v>
      </c>
      <c r="W1063" s="9" t="str">
        <f aca="false">IF(ROUND(V1063-K1063,2)=0,"OK","ERRO")</f>
        <v>OK</v>
      </c>
      <c r="X1063" s="9" t="str">
        <f aca="false">VLOOKUP(F1063,DIM_SERVICO!$A$2:$D$151,3,FALSE())</f>
        <v>Diagnóstico</v>
      </c>
    </row>
    <row r="1064" customFormat="false" ht="15" hidden="false" customHeight="false" outlineLevel="0" collapsed="false">
      <c r="A1064" s="2" t="n">
        <v>1063</v>
      </c>
      <c r="B1064" s="2" t="n">
        <v>1323</v>
      </c>
      <c r="C1064" s="2" t="n">
        <v>1103</v>
      </c>
      <c r="D1064" s="2" t="n">
        <v>317</v>
      </c>
      <c r="E1064" s="2" t="n">
        <v>170</v>
      </c>
      <c r="F1064" s="2" t="n">
        <v>111</v>
      </c>
      <c r="G1064" s="2" t="n">
        <v>326</v>
      </c>
      <c r="H1064" s="2" t="n">
        <v>4</v>
      </c>
      <c r="I1064" s="3" t="n">
        <v>1841.2</v>
      </c>
      <c r="J1064" s="3" t="n">
        <v>1482.2</v>
      </c>
      <c r="K1064" s="3" t="n">
        <v>4052.48</v>
      </c>
      <c r="L1064" s="3" t="n">
        <v>1511.41</v>
      </c>
      <c r="M1064" s="2" t="n">
        <v>3.7</v>
      </c>
      <c r="N1064" s="2" t="s">
        <v>26</v>
      </c>
      <c r="O1064" s="4" t="n">
        <f aca="false">VLOOKUP(F1064,DIM_SERVICO!$A$2:$D$151,4,FALSE())</f>
        <v>1482.2</v>
      </c>
      <c r="P1064" s="4" t="n">
        <f aca="false">VLOOKUP(E1064,DIM_PECA!$A$2:$F$501,6,FALSE())</f>
        <v>642.57</v>
      </c>
      <c r="Q1064" s="4" t="n">
        <f aca="false">VLOOKUP(E1064,DIM_PECA!$A$2:$F$501,5,FALSE())</f>
        <v>460.3</v>
      </c>
      <c r="R1064" s="4" t="n">
        <f aca="false">H1064*P1064</f>
        <v>2570.28</v>
      </c>
      <c r="S1064" s="4" t="n">
        <f aca="false">O1064*M1064</f>
        <v>5484.14</v>
      </c>
      <c r="T1064" s="4" t="n">
        <f aca="false">R1064+S1064</f>
        <v>8054.42</v>
      </c>
      <c r="U1064" s="4" t="n">
        <f aca="false">T1064-K1064</f>
        <v>4001.94</v>
      </c>
      <c r="V1064" s="4" t="n">
        <f aca="false">R1064+S1064-U1064</f>
        <v>4052.48</v>
      </c>
      <c r="W1064" s="5" t="str">
        <f aca="false">IF(ROUND(V1064-K1064,2)=0,"OK","ERRO")</f>
        <v>OK</v>
      </c>
      <c r="X1064" s="5" t="str">
        <f aca="false">VLOOKUP(F1064,DIM_SERVICO!$A$2:$D$151,3,FALSE())</f>
        <v>Pintura</v>
      </c>
    </row>
    <row r="1065" customFormat="false" ht="15" hidden="false" customHeight="false" outlineLevel="0" collapsed="false">
      <c r="A1065" s="6" t="n">
        <v>1064</v>
      </c>
      <c r="B1065" s="6" t="n">
        <v>39</v>
      </c>
      <c r="C1065" s="6" t="n">
        <v>1379</v>
      </c>
      <c r="D1065" s="6" t="n">
        <v>375</v>
      </c>
      <c r="E1065" s="6" t="n">
        <v>439</v>
      </c>
      <c r="F1065" s="6" t="n">
        <v>32</v>
      </c>
      <c r="G1065" s="6" t="n">
        <v>882</v>
      </c>
      <c r="H1065" s="6" t="n">
        <v>1</v>
      </c>
      <c r="I1065" s="7" t="n">
        <v>569.02</v>
      </c>
      <c r="J1065" s="7" t="n">
        <v>1856.26</v>
      </c>
      <c r="K1065" s="7" t="n">
        <v>2540.95</v>
      </c>
      <c r="L1065" s="7" t="n">
        <v>1264.99</v>
      </c>
      <c r="M1065" s="6" t="n">
        <v>7.4</v>
      </c>
      <c r="N1065" s="6" t="s">
        <v>27</v>
      </c>
      <c r="O1065" s="8" t="n">
        <f aca="false">VLOOKUP(F1065,DIM_SERVICO!$A$2:$D$151,4,FALSE())</f>
        <v>1856.26</v>
      </c>
      <c r="P1065" s="8" t="n">
        <f aca="false">VLOOKUP(E1065,DIM_PECA!$A$2:$F$501,6,FALSE())</f>
        <v>967.02</v>
      </c>
      <c r="Q1065" s="8" t="n">
        <f aca="false">VLOOKUP(E1065,DIM_PECA!$A$2:$F$501,5,FALSE())</f>
        <v>569.02</v>
      </c>
      <c r="R1065" s="8" t="n">
        <f aca="false">H1065*P1065</f>
        <v>967.02</v>
      </c>
      <c r="S1065" s="8" t="n">
        <f aca="false">O1065*M1065</f>
        <v>13736.324</v>
      </c>
      <c r="T1065" s="8" t="n">
        <f aca="false">R1065+S1065</f>
        <v>14703.344</v>
      </c>
      <c r="U1065" s="8" t="n">
        <f aca="false">T1065-K1065</f>
        <v>12162.394</v>
      </c>
      <c r="V1065" s="8" t="n">
        <f aca="false">R1065+S1065-U1065</f>
        <v>2540.95</v>
      </c>
      <c r="W1065" s="9" t="str">
        <f aca="false">IF(ROUND(V1065-K1065,2)=0,"OK","ERRO")</f>
        <v>OK</v>
      </c>
      <c r="X1065" s="9" t="str">
        <f aca="false">VLOOKUP(F1065,DIM_SERVICO!$A$2:$D$151,3,FALSE())</f>
        <v>Freios</v>
      </c>
    </row>
    <row r="1066" customFormat="false" ht="15" hidden="false" customHeight="false" outlineLevel="0" collapsed="false">
      <c r="A1066" s="2" t="n">
        <v>1065</v>
      </c>
      <c r="B1066" s="2" t="n">
        <v>893</v>
      </c>
      <c r="C1066" s="2" t="n">
        <v>290</v>
      </c>
      <c r="D1066" s="2" t="n">
        <v>986</v>
      </c>
      <c r="E1066" s="2" t="n">
        <v>216</v>
      </c>
      <c r="F1066" s="2" t="n">
        <v>137</v>
      </c>
      <c r="G1066" s="2" t="n">
        <v>1355</v>
      </c>
      <c r="H1066" s="2" t="n">
        <v>4</v>
      </c>
      <c r="I1066" s="3" t="n">
        <v>1580.68</v>
      </c>
      <c r="J1066" s="3" t="n">
        <v>1147.35</v>
      </c>
      <c r="K1066" s="3" t="n">
        <v>4291.98</v>
      </c>
      <c r="L1066" s="3" t="n">
        <v>2242.43</v>
      </c>
      <c r="M1066" s="2" t="n">
        <v>8.5</v>
      </c>
      <c r="N1066" s="2" t="s">
        <v>27</v>
      </c>
      <c r="O1066" s="4" t="n">
        <f aca="false">VLOOKUP(F1066,DIM_SERVICO!$A$2:$D$151,4,FALSE())</f>
        <v>1147.35</v>
      </c>
      <c r="P1066" s="4" t="n">
        <f aca="false">VLOOKUP(E1066,DIM_PECA!$A$2:$F$501,6,FALSE())</f>
        <v>842.63</v>
      </c>
      <c r="Q1066" s="4" t="n">
        <f aca="false">VLOOKUP(E1066,DIM_PECA!$A$2:$F$501,5,FALSE())</f>
        <v>395.17</v>
      </c>
      <c r="R1066" s="4" t="n">
        <f aca="false">H1066*P1066</f>
        <v>3370.52</v>
      </c>
      <c r="S1066" s="4" t="n">
        <f aca="false">O1066*M1066</f>
        <v>9752.475</v>
      </c>
      <c r="T1066" s="4" t="n">
        <f aca="false">R1066+S1066</f>
        <v>13122.995</v>
      </c>
      <c r="U1066" s="4" t="n">
        <f aca="false">T1066-K1066</f>
        <v>8831.015</v>
      </c>
      <c r="V1066" s="4" t="n">
        <f aca="false">R1066+S1066-U1066</f>
        <v>4291.98</v>
      </c>
      <c r="W1066" s="5" t="str">
        <f aca="false">IF(ROUND(V1066-K1066,2)=0,"OK","ERRO")</f>
        <v>OK</v>
      </c>
      <c r="X1066" s="5" t="str">
        <f aca="false">VLOOKUP(F1066,DIM_SERVICO!$A$2:$D$151,3,FALSE())</f>
        <v>Diagnóstico</v>
      </c>
    </row>
    <row r="1067" customFormat="false" ht="15" hidden="false" customHeight="false" outlineLevel="0" collapsed="false">
      <c r="A1067" s="6" t="n">
        <v>1066</v>
      </c>
      <c r="B1067" s="6" t="n">
        <v>21</v>
      </c>
      <c r="C1067" s="6" t="n">
        <v>986</v>
      </c>
      <c r="D1067" s="6" t="n">
        <v>596</v>
      </c>
      <c r="E1067" s="6" t="n">
        <v>53</v>
      </c>
      <c r="F1067" s="6" t="n">
        <v>81</v>
      </c>
      <c r="G1067" s="6" t="n">
        <v>456</v>
      </c>
      <c r="H1067" s="6" t="n">
        <v>4</v>
      </c>
      <c r="I1067" s="7" t="n">
        <v>4163.76</v>
      </c>
      <c r="J1067" s="7" t="n">
        <v>2146.9</v>
      </c>
      <c r="K1067" s="7" t="n">
        <v>7515.54</v>
      </c>
      <c r="L1067" s="7" t="n">
        <v>2411.55</v>
      </c>
      <c r="M1067" s="6" t="n">
        <v>1</v>
      </c>
      <c r="N1067" s="6" t="s">
        <v>24</v>
      </c>
      <c r="O1067" s="8" t="n">
        <f aca="false">VLOOKUP(F1067,DIM_SERVICO!$A$2:$D$151,4,FALSE())</f>
        <v>2146.9</v>
      </c>
      <c r="P1067" s="8" t="n">
        <f aca="false">VLOOKUP(E1067,DIM_PECA!$A$2:$F$501,6,FALSE())</f>
        <v>1505.54</v>
      </c>
      <c r="Q1067" s="8" t="n">
        <f aca="false">VLOOKUP(E1067,DIM_PECA!$A$2:$F$501,5,FALSE())</f>
        <v>1040.94</v>
      </c>
      <c r="R1067" s="8" t="n">
        <f aca="false">H1067*P1067</f>
        <v>6022.16</v>
      </c>
      <c r="S1067" s="8" t="n">
        <f aca="false">O1067*M1067</f>
        <v>2146.9</v>
      </c>
      <c r="T1067" s="8" t="n">
        <f aca="false">R1067+S1067</f>
        <v>8169.06</v>
      </c>
      <c r="U1067" s="8" t="n">
        <f aca="false">T1067-K1067</f>
        <v>653.52</v>
      </c>
      <c r="V1067" s="8" t="n">
        <f aca="false">R1067+S1067-U1067</f>
        <v>7515.54</v>
      </c>
      <c r="W1067" s="9" t="str">
        <f aca="false">IF(ROUND(V1067-K1067,2)=0,"OK","ERRO")</f>
        <v>OK</v>
      </c>
      <c r="X1067" s="9" t="str">
        <f aca="false">VLOOKUP(F1067,DIM_SERVICO!$A$2:$D$151,3,FALSE())</f>
        <v>Revisão</v>
      </c>
    </row>
    <row r="1068" customFormat="false" ht="15" hidden="false" customHeight="false" outlineLevel="0" collapsed="false">
      <c r="A1068" s="2" t="n">
        <v>1067</v>
      </c>
      <c r="B1068" s="2" t="n">
        <v>1168</v>
      </c>
      <c r="C1068" s="2" t="n">
        <v>1209</v>
      </c>
      <c r="D1068" s="2" t="n">
        <v>804</v>
      </c>
      <c r="E1068" s="2" t="n">
        <v>441</v>
      </c>
      <c r="F1068" s="2" t="n">
        <v>91</v>
      </c>
      <c r="G1068" s="2" t="n">
        <v>74</v>
      </c>
      <c r="H1068" s="2" t="n">
        <v>4</v>
      </c>
      <c r="I1068" s="3" t="n">
        <v>456</v>
      </c>
      <c r="J1068" s="3" t="n">
        <v>1566.63</v>
      </c>
      <c r="K1068" s="3" t="n">
        <v>2152.93</v>
      </c>
      <c r="L1068" s="3" t="n">
        <v>955.61</v>
      </c>
      <c r="M1068" s="2" t="n">
        <v>8.4</v>
      </c>
      <c r="N1068" s="2" t="s">
        <v>24</v>
      </c>
      <c r="O1068" s="4" t="n">
        <f aca="false">VLOOKUP(F1068,DIM_SERVICO!$A$2:$D$151,4,FALSE())</f>
        <v>1566.63</v>
      </c>
      <c r="P1068" s="4" t="n">
        <f aca="false">VLOOKUP(E1068,DIM_PECA!$A$2:$F$501,6,FALSE())</f>
        <v>157.56</v>
      </c>
      <c r="Q1068" s="4" t="n">
        <f aca="false">VLOOKUP(E1068,DIM_PECA!$A$2:$F$501,5,FALSE())</f>
        <v>114</v>
      </c>
      <c r="R1068" s="4" t="n">
        <f aca="false">H1068*P1068</f>
        <v>630.24</v>
      </c>
      <c r="S1068" s="4" t="n">
        <f aca="false">O1068*M1068</f>
        <v>13159.692</v>
      </c>
      <c r="T1068" s="4" t="n">
        <f aca="false">R1068+S1068</f>
        <v>13789.932</v>
      </c>
      <c r="U1068" s="4" t="n">
        <f aca="false">T1068-K1068</f>
        <v>11637.002</v>
      </c>
      <c r="V1068" s="4" t="n">
        <f aca="false">R1068+S1068-U1068</f>
        <v>2152.93</v>
      </c>
      <c r="W1068" s="5" t="str">
        <f aca="false">IF(ROUND(V1068-K1068,2)=0,"OK","ERRO")</f>
        <v>OK</v>
      </c>
      <c r="X1068" s="5" t="str">
        <f aca="false">VLOOKUP(F1068,DIM_SERVICO!$A$2:$D$151,3,FALSE())</f>
        <v>Funilaria</v>
      </c>
    </row>
    <row r="1069" customFormat="false" ht="15" hidden="false" customHeight="false" outlineLevel="0" collapsed="false">
      <c r="A1069" s="6" t="n">
        <v>1068</v>
      </c>
      <c r="B1069" s="6" t="n">
        <v>869</v>
      </c>
      <c r="C1069" s="6" t="n">
        <v>1315</v>
      </c>
      <c r="D1069" s="6" t="n">
        <v>223</v>
      </c>
      <c r="E1069" s="6" t="n">
        <v>376</v>
      </c>
      <c r="F1069" s="6" t="n">
        <v>140</v>
      </c>
      <c r="G1069" s="6" t="n">
        <v>643</v>
      </c>
      <c r="H1069" s="6" t="n">
        <v>4</v>
      </c>
      <c r="I1069" s="7" t="n">
        <v>3873.2</v>
      </c>
      <c r="J1069" s="7" t="n">
        <v>1109.33</v>
      </c>
      <c r="K1069" s="7" t="n">
        <v>6801.14</v>
      </c>
      <c r="L1069" s="7" t="n">
        <v>2466.54</v>
      </c>
      <c r="M1069" s="6" t="n">
        <v>3.7</v>
      </c>
      <c r="N1069" s="6" t="s">
        <v>26</v>
      </c>
      <c r="O1069" s="8" t="n">
        <f aca="false">VLOOKUP(F1069,DIM_SERVICO!$A$2:$D$151,4,FALSE())</f>
        <v>1109.33</v>
      </c>
      <c r="P1069" s="8" t="n">
        <f aca="false">VLOOKUP(E1069,DIM_PECA!$A$2:$F$501,6,FALSE())</f>
        <v>1512.44</v>
      </c>
      <c r="Q1069" s="8" t="n">
        <f aca="false">VLOOKUP(E1069,DIM_PECA!$A$2:$F$501,5,FALSE())</f>
        <v>968.3</v>
      </c>
      <c r="R1069" s="8" t="n">
        <f aca="false">H1069*P1069</f>
        <v>6049.76</v>
      </c>
      <c r="S1069" s="8" t="n">
        <f aca="false">O1069*M1069</f>
        <v>4104.521</v>
      </c>
      <c r="T1069" s="8" t="n">
        <f aca="false">R1069+S1069</f>
        <v>10154.281</v>
      </c>
      <c r="U1069" s="8" t="n">
        <f aca="false">T1069-K1069</f>
        <v>3353.141</v>
      </c>
      <c r="V1069" s="8" t="n">
        <f aca="false">R1069+S1069-U1069</f>
        <v>6801.14</v>
      </c>
      <c r="W1069" s="9" t="str">
        <f aca="false">IF(ROUND(V1069-K1069,2)=0,"OK","ERRO")</f>
        <v>OK</v>
      </c>
      <c r="X1069" s="9" t="str">
        <f aca="false">VLOOKUP(F1069,DIM_SERVICO!$A$2:$D$151,3,FALSE())</f>
        <v>Revisão</v>
      </c>
    </row>
    <row r="1070" customFormat="false" ht="15" hidden="false" customHeight="false" outlineLevel="0" collapsed="false">
      <c r="A1070" s="2" t="n">
        <v>1069</v>
      </c>
      <c r="B1070" s="2" t="n">
        <v>243</v>
      </c>
      <c r="C1070" s="2" t="n">
        <v>162</v>
      </c>
      <c r="D1070" s="2" t="n">
        <v>771</v>
      </c>
      <c r="E1070" s="2" t="n">
        <v>147</v>
      </c>
      <c r="F1070" s="2" t="n">
        <v>147</v>
      </c>
      <c r="G1070" s="2" t="n">
        <v>485</v>
      </c>
      <c r="H1070" s="2" t="n">
        <v>2</v>
      </c>
      <c r="I1070" s="3" t="n">
        <v>1845.62</v>
      </c>
      <c r="J1070" s="3" t="n">
        <v>1891.42</v>
      </c>
      <c r="K1070" s="3" t="n">
        <v>4954.26</v>
      </c>
      <c r="L1070" s="3" t="n">
        <v>2156.93</v>
      </c>
      <c r="M1070" s="2" t="n">
        <v>1.5</v>
      </c>
      <c r="N1070" s="2" t="s">
        <v>24</v>
      </c>
      <c r="O1070" s="4" t="n">
        <f aca="false">VLOOKUP(F1070,DIM_SERVICO!$A$2:$D$151,4,FALSE())</f>
        <v>1891.42</v>
      </c>
      <c r="P1070" s="4" t="n">
        <f aca="false">VLOOKUP(E1070,DIM_PECA!$A$2:$F$501,6,FALSE())</f>
        <v>1531.42</v>
      </c>
      <c r="Q1070" s="4" t="n">
        <f aca="false">VLOOKUP(E1070,DIM_PECA!$A$2:$F$501,5,FALSE())</f>
        <v>922.81</v>
      </c>
      <c r="R1070" s="4" t="n">
        <f aca="false">H1070*P1070</f>
        <v>3062.84</v>
      </c>
      <c r="S1070" s="4" t="n">
        <f aca="false">O1070*M1070</f>
        <v>2837.13</v>
      </c>
      <c r="T1070" s="4" t="n">
        <f aca="false">R1070+S1070</f>
        <v>5899.97</v>
      </c>
      <c r="U1070" s="4" t="n">
        <f aca="false">T1070-K1070</f>
        <v>945.71</v>
      </c>
      <c r="V1070" s="4" t="n">
        <f aca="false">R1070+S1070-U1070</f>
        <v>4954.26</v>
      </c>
      <c r="W1070" s="5" t="str">
        <f aca="false">IF(ROUND(V1070-K1070,2)=0,"OK","ERRO")</f>
        <v>OK</v>
      </c>
      <c r="X1070" s="5" t="str">
        <f aca="false">VLOOKUP(F1070,DIM_SERVICO!$A$2:$D$151,3,FALSE())</f>
        <v>Motor</v>
      </c>
    </row>
    <row r="1071" customFormat="false" ht="15" hidden="false" customHeight="false" outlineLevel="0" collapsed="false">
      <c r="A1071" s="6" t="n">
        <v>1070</v>
      </c>
      <c r="B1071" s="6" t="n">
        <v>1104</v>
      </c>
      <c r="C1071" s="6" t="n">
        <v>782</v>
      </c>
      <c r="D1071" s="6" t="n">
        <v>1142</v>
      </c>
      <c r="E1071" s="6" t="n">
        <v>363</v>
      </c>
      <c r="F1071" s="6" t="n">
        <v>139</v>
      </c>
      <c r="G1071" s="6" t="n">
        <v>651</v>
      </c>
      <c r="H1071" s="6" t="n">
        <v>3</v>
      </c>
      <c r="I1071" s="7" t="n">
        <v>2754.96</v>
      </c>
      <c r="J1071" s="7" t="n">
        <v>2138.46</v>
      </c>
      <c r="K1071" s="7" t="n">
        <v>6999.06</v>
      </c>
      <c r="L1071" s="7" t="n">
        <v>3422.87</v>
      </c>
      <c r="M1071" s="6" t="n">
        <v>10.2</v>
      </c>
      <c r="N1071" s="6" t="s">
        <v>27</v>
      </c>
      <c r="O1071" s="8" t="n">
        <f aca="false">VLOOKUP(F1071,DIM_SERVICO!$A$2:$D$151,4,FALSE())</f>
        <v>2138.46</v>
      </c>
      <c r="P1071" s="8" t="n">
        <f aca="false">VLOOKUP(E1071,DIM_PECA!$A$2:$F$501,6,FALSE())</f>
        <v>1620.2</v>
      </c>
      <c r="Q1071" s="8" t="n">
        <f aca="false">VLOOKUP(E1071,DIM_PECA!$A$2:$F$501,5,FALSE())</f>
        <v>918.32</v>
      </c>
      <c r="R1071" s="8" t="n">
        <f aca="false">H1071*P1071</f>
        <v>4860.6</v>
      </c>
      <c r="S1071" s="8" t="n">
        <f aca="false">O1071*M1071</f>
        <v>21812.292</v>
      </c>
      <c r="T1071" s="8" t="n">
        <f aca="false">R1071+S1071</f>
        <v>26672.892</v>
      </c>
      <c r="U1071" s="8" t="n">
        <f aca="false">T1071-K1071</f>
        <v>19673.832</v>
      </c>
      <c r="V1071" s="8" t="n">
        <f aca="false">R1071+S1071-U1071</f>
        <v>6999.06</v>
      </c>
      <c r="W1071" s="9" t="str">
        <f aca="false">IF(ROUND(V1071-K1071,2)=0,"OK","ERRO")</f>
        <v>OK</v>
      </c>
      <c r="X1071" s="9" t="str">
        <f aca="false">VLOOKUP(F1071,DIM_SERVICO!$A$2:$D$151,3,FALSE())</f>
        <v>Revisão</v>
      </c>
    </row>
    <row r="1072" customFormat="false" ht="15" hidden="false" customHeight="false" outlineLevel="0" collapsed="false">
      <c r="A1072" s="2" t="n">
        <v>1071</v>
      </c>
      <c r="B1072" s="2" t="n">
        <v>312</v>
      </c>
      <c r="C1072" s="2" t="n">
        <v>204</v>
      </c>
      <c r="D1072" s="2" t="n">
        <v>931</v>
      </c>
      <c r="E1072" s="2" t="n">
        <v>22</v>
      </c>
      <c r="F1072" s="2" t="n">
        <v>101</v>
      </c>
      <c r="G1072" s="2" t="n">
        <v>1468</v>
      </c>
      <c r="H1072" s="2" t="n">
        <v>1</v>
      </c>
      <c r="I1072" s="3" t="n">
        <v>1065.69</v>
      </c>
      <c r="J1072" s="3" t="n">
        <v>1690.47</v>
      </c>
      <c r="K1072" s="3" t="n">
        <v>3443.16</v>
      </c>
      <c r="L1072" s="3" t="n">
        <v>1702.79</v>
      </c>
      <c r="M1072" s="2" t="n">
        <v>3.4</v>
      </c>
      <c r="N1072" s="2" t="s">
        <v>24</v>
      </c>
      <c r="O1072" s="4" t="n">
        <f aca="false">VLOOKUP(F1072,DIM_SERVICO!$A$2:$D$151,4,FALSE())</f>
        <v>1690.47</v>
      </c>
      <c r="P1072" s="4" t="n">
        <f aca="false">VLOOKUP(E1072,DIM_PECA!$A$2:$F$501,6,FALSE())</f>
        <v>2052.09</v>
      </c>
      <c r="Q1072" s="4" t="n">
        <f aca="false">VLOOKUP(E1072,DIM_PECA!$A$2:$F$501,5,FALSE())</f>
        <v>1065.69</v>
      </c>
      <c r="R1072" s="4" t="n">
        <f aca="false">H1072*P1072</f>
        <v>2052.09</v>
      </c>
      <c r="S1072" s="4" t="n">
        <f aca="false">O1072*M1072</f>
        <v>5747.598</v>
      </c>
      <c r="T1072" s="4" t="n">
        <f aca="false">R1072+S1072</f>
        <v>7799.688</v>
      </c>
      <c r="U1072" s="4" t="n">
        <f aca="false">T1072-K1072</f>
        <v>4356.528</v>
      </c>
      <c r="V1072" s="4" t="n">
        <f aca="false">R1072+S1072-U1072</f>
        <v>3443.16</v>
      </c>
      <c r="W1072" s="5" t="str">
        <f aca="false">IF(ROUND(V1072-K1072,2)=0,"OK","ERRO")</f>
        <v>OK</v>
      </c>
      <c r="X1072" s="5" t="str">
        <f aca="false">VLOOKUP(F1072,DIM_SERVICO!$A$2:$D$151,3,FALSE())</f>
        <v>Revisão</v>
      </c>
    </row>
    <row r="1073" customFormat="false" ht="15" hidden="false" customHeight="false" outlineLevel="0" collapsed="false">
      <c r="A1073" s="6" t="n">
        <v>1072</v>
      </c>
      <c r="B1073" s="6" t="n">
        <v>117</v>
      </c>
      <c r="C1073" s="6" t="n">
        <v>473</v>
      </c>
      <c r="D1073" s="6" t="n">
        <v>682</v>
      </c>
      <c r="E1073" s="6" t="n">
        <v>379</v>
      </c>
      <c r="F1073" s="6" t="n">
        <v>32</v>
      </c>
      <c r="G1073" s="6" t="n">
        <v>1127</v>
      </c>
      <c r="H1073" s="6" t="n">
        <v>3</v>
      </c>
      <c r="I1073" s="7" t="n">
        <v>2250.24</v>
      </c>
      <c r="J1073" s="7" t="n">
        <v>1856.26</v>
      </c>
      <c r="K1073" s="7" t="n">
        <v>4786.87</v>
      </c>
      <c r="L1073" s="7" t="n">
        <v>1823.19</v>
      </c>
      <c r="M1073" s="6" t="n">
        <v>8.1</v>
      </c>
      <c r="N1073" s="6" t="s">
        <v>25</v>
      </c>
      <c r="O1073" s="8" t="n">
        <f aca="false">VLOOKUP(F1073,DIM_SERVICO!$A$2:$D$151,4,FALSE())</f>
        <v>1856.26</v>
      </c>
      <c r="P1073" s="8" t="n">
        <f aca="false">VLOOKUP(E1073,DIM_PECA!$A$2:$F$501,6,FALSE())</f>
        <v>1154.16</v>
      </c>
      <c r="Q1073" s="8" t="n">
        <f aca="false">VLOOKUP(E1073,DIM_PECA!$A$2:$F$501,5,FALSE())</f>
        <v>750.08</v>
      </c>
      <c r="R1073" s="8" t="n">
        <f aca="false">H1073*P1073</f>
        <v>3462.48</v>
      </c>
      <c r="S1073" s="8" t="n">
        <f aca="false">O1073*M1073</f>
        <v>15035.706</v>
      </c>
      <c r="T1073" s="8" t="n">
        <f aca="false">R1073+S1073</f>
        <v>18498.186</v>
      </c>
      <c r="U1073" s="8" t="n">
        <f aca="false">T1073-K1073</f>
        <v>13711.316</v>
      </c>
      <c r="V1073" s="8" t="n">
        <f aca="false">R1073+S1073-U1073</f>
        <v>4786.87</v>
      </c>
      <c r="W1073" s="9" t="str">
        <f aca="false">IF(ROUND(V1073-K1073,2)=0,"OK","ERRO")</f>
        <v>OK</v>
      </c>
      <c r="X1073" s="9" t="str">
        <f aca="false">VLOOKUP(F1073,DIM_SERVICO!$A$2:$D$151,3,FALSE())</f>
        <v>Freios</v>
      </c>
    </row>
    <row r="1074" customFormat="false" ht="15" hidden="false" customHeight="false" outlineLevel="0" collapsed="false">
      <c r="A1074" s="2" t="n">
        <v>1073</v>
      </c>
      <c r="B1074" s="2" t="n">
        <v>502</v>
      </c>
      <c r="C1074" s="2" t="n">
        <v>876</v>
      </c>
      <c r="D1074" s="2" t="n">
        <v>653</v>
      </c>
      <c r="E1074" s="2" t="n">
        <v>205</v>
      </c>
      <c r="F1074" s="2" t="n">
        <v>24</v>
      </c>
      <c r="G1074" s="2" t="n">
        <v>409</v>
      </c>
      <c r="H1074" s="2" t="n">
        <v>1</v>
      </c>
      <c r="I1074" s="3" t="n">
        <v>168.56</v>
      </c>
      <c r="J1074" s="3" t="n">
        <v>1124.34</v>
      </c>
      <c r="K1074" s="3" t="n">
        <v>1278.19</v>
      </c>
      <c r="L1074" s="3" t="n">
        <v>617.12</v>
      </c>
      <c r="M1074" s="2" t="n">
        <v>3.3</v>
      </c>
      <c r="N1074" s="2" t="s">
        <v>26</v>
      </c>
      <c r="O1074" s="4" t="n">
        <f aca="false">VLOOKUP(F1074,DIM_SERVICO!$A$2:$D$151,4,FALSE())</f>
        <v>1124.34</v>
      </c>
      <c r="P1074" s="4" t="n">
        <f aca="false">VLOOKUP(E1074,DIM_PECA!$A$2:$F$501,6,FALSE())</f>
        <v>295.87</v>
      </c>
      <c r="Q1074" s="4" t="n">
        <f aca="false">VLOOKUP(E1074,DIM_PECA!$A$2:$F$501,5,FALSE())</f>
        <v>168.56</v>
      </c>
      <c r="R1074" s="4" t="n">
        <f aca="false">H1074*P1074</f>
        <v>295.87</v>
      </c>
      <c r="S1074" s="4" t="n">
        <f aca="false">O1074*M1074</f>
        <v>3710.322</v>
      </c>
      <c r="T1074" s="4" t="n">
        <f aca="false">R1074+S1074</f>
        <v>4006.192</v>
      </c>
      <c r="U1074" s="4" t="n">
        <f aca="false">T1074-K1074</f>
        <v>2728.002</v>
      </c>
      <c r="V1074" s="4" t="n">
        <f aca="false">R1074+S1074-U1074</f>
        <v>1278.19</v>
      </c>
      <c r="W1074" s="5" t="str">
        <f aca="false">IF(ROUND(V1074-K1074,2)=0,"OK","ERRO")</f>
        <v>OK</v>
      </c>
      <c r="X1074" s="5" t="str">
        <f aca="false">VLOOKUP(F1074,DIM_SERVICO!$A$2:$D$151,3,FALSE())</f>
        <v>Elétrica</v>
      </c>
    </row>
    <row r="1075" customFormat="false" ht="15" hidden="false" customHeight="false" outlineLevel="0" collapsed="false">
      <c r="A1075" s="6" t="n">
        <v>1074</v>
      </c>
      <c r="B1075" s="6" t="n">
        <v>61</v>
      </c>
      <c r="C1075" s="6" t="n">
        <v>1271</v>
      </c>
      <c r="D1075" s="6" t="n">
        <v>925</v>
      </c>
      <c r="E1075" s="6" t="n">
        <v>489</v>
      </c>
      <c r="F1075" s="6" t="n">
        <v>113</v>
      </c>
      <c r="G1075" s="6" t="n">
        <v>161</v>
      </c>
      <c r="H1075" s="6" t="n">
        <v>3</v>
      </c>
      <c r="I1075" s="7" t="n">
        <v>265.32</v>
      </c>
      <c r="J1075" s="7" t="n">
        <v>1709.25</v>
      </c>
      <c r="K1075" s="7" t="n">
        <v>2114.36</v>
      </c>
      <c r="L1075" s="7" t="n">
        <v>1151.96</v>
      </c>
      <c r="M1075" s="6" t="n">
        <v>11.5</v>
      </c>
      <c r="N1075" s="6" t="s">
        <v>24</v>
      </c>
      <c r="O1075" s="8" t="n">
        <f aca="false">VLOOKUP(F1075,DIM_SERVICO!$A$2:$D$151,4,FALSE())</f>
        <v>1709.25</v>
      </c>
      <c r="P1075" s="8" t="n">
        <f aca="false">VLOOKUP(E1075,DIM_PECA!$A$2:$F$501,6,FALSE())</f>
        <v>172.13</v>
      </c>
      <c r="Q1075" s="8" t="n">
        <f aca="false">VLOOKUP(E1075,DIM_PECA!$A$2:$F$501,5,FALSE())</f>
        <v>88.44</v>
      </c>
      <c r="R1075" s="8" t="n">
        <f aca="false">H1075*P1075</f>
        <v>516.39</v>
      </c>
      <c r="S1075" s="8" t="n">
        <f aca="false">O1075*M1075</f>
        <v>19656.375</v>
      </c>
      <c r="T1075" s="8" t="n">
        <f aca="false">R1075+S1075</f>
        <v>20172.765</v>
      </c>
      <c r="U1075" s="8" t="n">
        <f aca="false">T1075-K1075</f>
        <v>18058.405</v>
      </c>
      <c r="V1075" s="8" t="n">
        <f aca="false">R1075+S1075-U1075</f>
        <v>2114.36</v>
      </c>
      <c r="W1075" s="9" t="str">
        <f aca="false">IF(ROUND(V1075-K1075,2)=0,"OK","ERRO")</f>
        <v>OK</v>
      </c>
      <c r="X1075" s="9" t="str">
        <f aca="false">VLOOKUP(F1075,DIM_SERVICO!$A$2:$D$151,3,FALSE())</f>
        <v>Pintura</v>
      </c>
    </row>
    <row r="1076" customFormat="false" ht="15" hidden="false" customHeight="false" outlineLevel="0" collapsed="false">
      <c r="A1076" s="2" t="n">
        <v>1075</v>
      </c>
      <c r="B1076" s="2" t="n">
        <v>1266</v>
      </c>
      <c r="C1076" s="2" t="n">
        <v>631</v>
      </c>
      <c r="D1076" s="2" t="n">
        <v>369</v>
      </c>
      <c r="E1076" s="2" t="n">
        <v>16</v>
      </c>
      <c r="F1076" s="2" t="n">
        <v>2</v>
      </c>
      <c r="G1076" s="2" t="n">
        <v>951</v>
      </c>
      <c r="H1076" s="2" t="n">
        <v>3</v>
      </c>
      <c r="I1076" s="3" t="n">
        <v>1622.7</v>
      </c>
      <c r="J1076" s="3" t="n">
        <v>1072.4</v>
      </c>
      <c r="K1076" s="3" t="n">
        <v>3116.49</v>
      </c>
      <c r="L1076" s="3" t="n">
        <v>1046.19</v>
      </c>
      <c r="M1076" s="2" t="n">
        <v>9.3</v>
      </c>
      <c r="N1076" s="2" t="s">
        <v>27</v>
      </c>
      <c r="O1076" s="4" t="n">
        <f aca="false">VLOOKUP(F1076,DIM_SERVICO!$A$2:$D$151,4,FALSE())</f>
        <v>1072.4</v>
      </c>
      <c r="P1076" s="4" t="n">
        <f aca="false">VLOOKUP(E1076,DIM_PECA!$A$2:$F$501,6,FALSE())</f>
        <v>796.79</v>
      </c>
      <c r="Q1076" s="4" t="n">
        <f aca="false">VLOOKUP(E1076,DIM_PECA!$A$2:$F$501,5,FALSE())</f>
        <v>540.9</v>
      </c>
      <c r="R1076" s="4" t="n">
        <f aca="false">H1076*P1076</f>
        <v>2390.37</v>
      </c>
      <c r="S1076" s="4" t="n">
        <f aca="false">O1076*M1076</f>
        <v>9973.32</v>
      </c>
      <c r="T1076" s="4" t="n">
        <f aca="false">R1076+S1076</f>
        <v>12363.69</v>
      </c>
      <c r="U1076" s="4" t="n">
        <f aca="false">T1076-K1076</f>
        <v>9247.2</v>
      </c>
      <c r="V1076" s="4" t="n">
        <f aca="false">R1076+S1076-U1076</f>
        <v>3116.49</v>
      </c>
      <c r="W1076" s="5" t="str">
        <f aca="false">IF(ROUND(V1076-K1076,2)=0,"OK","ERRO")</f>
        <v>OK</v>
      </c>
      <c r="X1076" s="5" t="str">
        <f aca="false">VLOOKUP(F1076,DIM_SERVICO!$A$2:$D$151,3,FALSE())</f>
        <v>Suspensão</v>
      </c>
    </row>
    <row r="1077" customFormat="false" ht="15" hidden="false" customHeight="false" outlineLevel="0" collapsed="false">
      <c r="A1077" s="6" t="n">
        <v>1076</v>
      </c>
      <c r="B1077" s="6" t="n">
        <v>564</v>
      </c>
      <c r="C1077" s="6" t="n">
        <v>924</v>
      </c>
      <c r="D1077" s="6" t="n">
        <v>877</v>
      </c>
      <c r="E1077" s="6" t="n">
        <v>241</v>
      </c>
      <c r="F1077" s="6" t="n">
        <v>75</v>
      </c>
      <c r="G1077" s="6" t="n">
        <v>249</v>
      </c>
      <c r="H1077" s="6" t="n">
        <v>3</v>
      </c>
      <c r="I1077" s="7" t="n">
        <v>1555.86</v>
      </c>
      <c r="J1077" s="7" t="n">
        <v>1549.88</v>
      </c>
      <c r="K1077" s="7" t="n">
        <v>3987.16</v>
      </c>
      <c r="L1077" s="7" t="n">
        <v>1634.09</v>
      </c>
      <c r="M1077" s="6" t="n">
        <v>10</v>
      </c>
      <c r="N1077" s="6" t="s">
        <v>27</v>
      </c>
      <c r="O1077" s="8" t="n">
        <f aca="false">VLOOKUP(F1077,DIM_SERVICO!$A$2:$D$151,4,FALSE())</f>
        <v>1549.88</v>
      </c>
      <c r="P1077" s="8" t="n">
        <f aca="false">VLOOKUP(E1077,DIM_PECA!$A$2:$F$501,6,FALSE())</f>
        <v>839.55</v>
      </c>
      <c r="Q1077" s="8" t="n">
        <f aca="false">VLOOKUP(E1077,DIM_PECA!$A$2:$F$501,5,FALSE())</f>
        <v>518.62</v>
      </c>
      <c r="R1077" s="8" t="n">
        <f aca="false">H1077*P1077</f>
        <v>2518.65</v>
      </c>
      <c r="S1077" s="8" t="n">
        <f aca="false">O1077*M1077</f>
        <v>15498.8</v>
      </c>
      <c r="T1077" s="8" t="n">
        <f aca="false">R1077+S1077</f>
        <v>18017.45</v>
      </c>
      <c r="U1077" s="8" t="n">
        <f aca="false">T1077-K1077</f>
        <v>14030.29</v>
      </c>
      <c r="V1077" s="8" t="n">
        <f aca="false">R1077+S1077-U1077</f>
        <v>3987.16</v>
      </c>
      <c r="W1077" s="9" t="str">
        <f aca="false">IF(ROUND(V1077-K1077,2)=0,"OK","ERRO")</f>
        <v>OK</v>
      </c>
      <c r="X1077" s="9" t="str">
        <f aca="false">VLOOKUP(F1077,DIM_SERVICO!$A$2:$D$151,3,FALSE())</f>
        <v>Freios</v>
      </c>
    </row>
    <row r="1078" customFormat="false" ht="15" hidden="false" customHeight="false" outlineLevel="0" collapsed="false">
      <c r="A1078" s="2" t="n">
        <v>1077</v>
      </c>
      <c r="B1078" s="2" t="n">
        <v>795</v>
      </c>
      <c r="C1078" s="2" t="n">
        <v>710</v>
      </c>
      <c r="D1078" s="2" t="n">
        <v>177</v>
      </c>
      <c r="E1078" s="2" t="n">
        <v>257</v>
      </c>
      <c r="F1078" s="2" t="n">
        <v>54</v>
      </c>
      <c r="G1078" s="2" t="n">
        <v>199</v>
      </c>
      <c r="H1078" s="2" t="n">
        <v>4</v>
      </c>
      <c r="I1078" s="3" t="n">
        <v>1516.56</v>
      </c>
      <c r="J1078" s="3" t="n">
        <v>952.31</v>
      </c>
      <c r="K1078" s="3" t="n">
        <v>3484.03</v>
      </c>
      <c r="L1078" s="3" t="n">
        <v>1595.95</v>
      </c>
      <c r="M1078" s="2" t="n">
        <v>10.7</v>
      </c>
      <c r="N1078" s="2" t="s">
        <v>24</v>
      </c>
      <c r="O1078" s="4" t="n">
        <f aca="false">VLOOKUP(F1078,DIM_SERVICO!$A$2:$D$151,4,FALSE())</f>
        <v>952.31</v>
      </c>
      <c r="P1078" s="4" t="n">
        <f aca="false">VLOOKUP(E1078,DIM_PECA!$A$2:$F$501,6,FALSE())</f>
        <v>632.93</v>
      </c>
      <c r="Q1078" s="4" t="n">
        <f aca="false">VLOOKUP(E1078,DIM_PECA!$A$2:$F$501,5,FALSE())</f>
        <v>379.14</v>
      </c>
      <c r="R1078" s="4" t="n">
        <f aca="false">H1078*P1078</f>
        <v>2531.72</v>
      </c>
      <c r="S1078" s="4" t="n">
        <f aca="false">O1078*M1078</f>
        <v>10189.717</v>
      </c>
      <c r="T1078" s="4" t="n">
        <f aca="false">R1078+S1078</f>
        <v>12721.437</v>
      </c>
      <c r="U1078" s="4" t="n">
        <f aca="false">T1078-K1078</f>
        <v>9237.407</v>
      </c>
      <c r="V1078" s="4" t="n">
        <f aca="false">R1078+S1078-U1078</f>
        <v>3484.03</v>
      </c>
      <c r="W1078" s="5" t="str">
        <f aca="false">IF(ROUND(V1078-K1078,2)=0,"OK","ERRO")</f>
        <v>OK</v>
      </c>
      <c r="X1078" s="5" t="str">
        <f aca="false">VLOOKUP(F1078,DIM_SERVICO!$A$2:$D$151,3,FALSE())</f>
        <v>Revisão</v>
      </c>
    </row>
    <row r="1079" customFormat="false" ht="15" hidden="false" customHeight="false" outlineLevel="0" collapsed="false">
      <c r="A1079" s="6" t="n">
        <v>1078</v>
      </c>
      <c r="B1079" s="6" t="n">
        <v>1056</v>
      </c>
      <c r="C1079" s="6" t="n">
        <v>455</v>
      </c>
      <c r="D1079" s="6" t="n">
        <v>439</v>
      </c>
      <c r="E1079" s="6" t="n">
        <v>362</v>
      </c>
      <c r="F1079" s="6" t="n">
        <v>111</v>
      </c>
      <c r="G1079" s="6" t="n">
        <v>404</v>
      </c>
      <c r="H1079" s="6" t="n">
        <v>1</v>
      </c>
      <c r="I1079" s="7" t="n">
        <v>185.15</v>
      </c>
      <c r="J1079" s="7" t="n">
        <v>1482.2</v>
      </c>
      <c r="K1079" s="7" t="n">
        <v>1882.32</v>
      </c>
      <c r="L1079" s="7" t="n">
        <v>1043</v>
      </c>
      <c r="M1079" s="6" t="n">
        <v>5.8</v>
      </c>
      <c r="N1079" s="6" t="s">
        <v>24</v>
      </c>
      <c r="O1079" s="8" t="n">
        <f aca="false">VLOOKUP(F1079,DIM_SERVICO!$A$2:$D$151,4,FALSE())</f>
        <v>1482.2</v>
      </c>
      <c r="P1079" s="8" t="n">
        <f aca="false">VLOOKUP(E1079,DIM_PECA!$A$2:$F$501,6,FALSE())</f>
        <v>400.12</v>
      </c>
      <c r="Q1079" s="8" t="n">
        <f aca="false">VLOOKUP(E1079,DIM_PECA!$A$2:$F$501,5,FALSE())</f>
        <v>185.15</v>
      </c>
      <c r="R1079" s="8" t="n">
        <f aca="false">H1079*P1079</f>
        <v>400.12</v>
      </c>
      <c r="S1079" s="8" t="n">
        <f aca="false">O1079*M1079</f>
        <v>8596.76</v>
      </c>
      <c r="T1079" s="8" t="n">
        <f aca="false">R1079+S1079</f>
        <v>8996.88</v>
      </c>
      <c r="U1079" s="8" t="n">
        <f aca="false">T1079-K1079</f>
        <v>7114.56</v>
      </c>
      <c r="V1079" s="8" t="n">
        <f aca="false">R1079+S1079-U1079</f>
        <v>1882.32</v>
      </c>
      <c r="W1079" s="9" t="str">
        <f aca="false">IF(ROUND(V1079-K1079,2)=0,"OK","ERRO")</f>
        <v>OK</v>
      </c>
      <c r="X1079" s="9" t="str">
        <f aca="false">VLOOKUP(F1079,DIM_SERVICO!$A$2:$D$151,3,FALSE())</f>
        <v>Pintura</v>
      </c>
    </row>
    <row r="1080" customFormat="false" ht="15" hidden="false" customHeight="false" outlineLevel="0" collapsed="false">
      <c r="A1080" s="2" t="n">
        <v>1079</v>
      </c>
      <c r="B1080" s="2" t="n">
        <v>383</v>
      </c>
      <c r="C1080" s="2" t="n">
        <v>1036</v>
      </c>
      <c r="D1080" s="2" t="n">
        <v>701</v>
      </c>
      <c r="E1080" s="2" t="n">
        <v>207</v>
      </c>
      <c r="F1080" s="2" t="n">
        <v>15</v>
      </c>
      <c r="G1080" s="2" t="n">
        <v>929</v>
      </c>
      <c r="H1080" s="2" t="n">
        <v>1</v>
      </c>
      <c r="I1080" s="3" t="n">
        <v>165.47</v>
      </c>
      <c r="J1080" s="3" t="n">
        <v>1426.42</v>
      </c>
      <c r="K1080" s="3" t="n">
        <v>1710.51</v>
      </c>
      <c r="L1080" s="3" t="n">
        <v>809.78</v>
      </c>
      <c r="M1080" s="2" t="n">
        <v>4.4</v>
      </c>
      <c r="N1080" s="2" t="s">
        <v>26</v>
      </c>
      <c r="O1080" s="4" t="n">
        <f aca="false">VLOOKUP(F1080,DIM_SERVICO!$A$2:$D$151,4,FALSE())</f>
        <v>1426.42</v>
      </c>
      <c r="P1080" s="4" t="n">
        <f aca="false">VLOOKUP(E1080,DIM_PECA!$A$2:$F$501,6,FALSE())</f>
        <v>284.09</v>
      </c>
      <c r="Q1080" s="4" t="n">
        <f aca="false">VLOOKUP(E1080,DIM_PECA!$A$2:$F$501,5,FALSE())</f>
        <v>165.47</v>
      </c>
      <c r="R1080" s="4" t="n">
        <f aca="false">H1080*P1080</f>
        <v>284.09</v>
      </c>
      <c r="S1080" s="4" t="n">
        <f aca="false">O1080*M1080</f>
        <v>6276.248</v>
      </c>
      <c r="T1080" s="4" t="n">
        <f aca="false">R1080+S1080</f>
        <v>6560.338</v>
      </c>
      <c r="U1080" s="4" t="n">
        <f aca="false">T1080-K1080</f>
        <v>4849.828</v>
      </c>
      <c r="V1080" s="4" t="n">
        <f aca="false">R1080+S1080-U1080</f>
        <v>1710.51</v>
      </c>
      <c r="W1080" s="5" t="str">
        <f aca="false">IF(ROUND(V1080-K1080,2)=0,"OK","ERRO")</f>
        <v>OK</v>
      </c>
      <c r="X1080" s="5" t="str">
        <f aca="false">VLOOKUP(F1080,DIM_SERVICO!$A$2:$D$151,3,FALSE())</f>
        <v>Pintura</v>
      </c>
    </row>
    <row r="1081" customFormat="false" ht="15" hidden="false" customHeight="false" outlineLevel="0" collapsed="false">
      <c r="A1081" s="6" t="n">
        <v>1080</v>
      </c>
      <c r="B1081" s="6" t="n">
        <v>468</v>
      </c>
      <c r="C1081" s="6" t="n">
        <v>935</v>
      </c>
      <c r="D1081" s="6" t="n">
        <v>703</v>
      </c>
      <c r="E1081" s="6" t="n">
        <v>219</v>
      </c>
      <c r="F1081" s="6" t="n">
        <v>110</v>
      </c>
      <c r="G1081" s="6" t="n">
        <v>92</v>
      </c>
      <c r="H1081" s="6" t="n">
        <v>4</v>
      </c>
      <c r="I1081" s="7" t="n">
        <v>1376.2</v>
      </c>
      <c r="J1081" s="7" t="n">
        <v>587.35</v>
      </c>
      <c r="K1081" s="7" t="n">
        <v>2806.86</v>
      </c>
      <c r="L1081" s="7" t="n">
        <v>1149.82</v>
      </c>
      <c r="M1081" s="6" t="n">
        <v>0.7</v>
      </c>
      <c r="N1081" s="6" t="s">
        <v>24</v>
      </c>
      <c r="O1081" s="8" t="n">
        <f aca="false">VLOOKUP(F1081,DIM_SERVICO!$A$2:$D$151,4,FALSE())</f>
        <v>587.35</v>
      </c>
      <c r="P1081" s="8" t="n">
        <f aca="false">VLOOKUP(E1081,DIM_PECA!$A$2:$F$501,6,FALSE())</f>
        <v>591.81</v>
      </c>
      <c r="Q1081" s="8" t="n">
        <f aca="false">VLOOKUP(E1081,DIM_PECA!$A$2:$F$501,5,FALSE())</f>
        <v>344.05</v>
      </c>
      <c r="R1081" s="8" t="n">
        <f aca="false">H1081*P1081</f>
        <v>2367.24</v>
      </c>
      <c r="S1081" s="8" t="n">
        <f aca="false">O1081*M1081</f>
        <v>411.145</v>
      </c>
      <c r="T1081" s="8" t="n">
        <f aca="false">R1081+S1081</f>
        <v>2778.385</v>
      </c>
      <c r="U1081" s="8" t="n">
        <f aca="false">T1081-K1081</f>
        <v>-28.4750000000004</v>
      </c>
      <c r="V1081" s="8" t="n">
        <f aca="false">R1081+S1081-U1081</f>
        <v>2806.86</v>
      </c>
      <c r="W1081" s="9" t="str">
        <f aca="false">IF(ROUND(V1081-K1081,2)=0,"OK","ERRO")</f>
        <v>OK</v>
      </c>
      <c r="X1081" s="9" t="str">
        <f aca="false">VLOOKUP(F1081,DIM_SERVICO!$A$2:$D$151,3,FALSE())</f>
        <v>Funilaria</v>
      </c>
    </row>
    <row r="1082" customFormat="false" ht="15" hidden="false" customHeight="false" outlineLevel="0" collapsed="false">
      <c r="A1082" s="2" t="n">
        <v>1081</v>
      </c>
      <c r="B1082" s="2" t="n">
        <v>859</v>
      </c>
      <c r="C1082" s="2" t="n">
        <v>740</v>
      </c>
      <c r="D1082" s="2" t="n">
        <v>267</v>
      </c>
      <c r="E1082" s="2" t="n">
        <v>219</v>
      </c>
      <c r="F1082" s="2" t="n">
        <v>21</v>
      </c>
      <c r="G1082" s="2" t="n">
        <v>97</v>
      </c>
      <c r="H1082" s="2" t="n">
        <v>4</v>
      </c>
      <c r="I1082" s="3" t="n">
        <v>1376.2</v>
      </c>
      <c r="J1082" s="3" t="n">
        <v>126.78</v>
      </c>
      <c r="K1082" s="3" t="n">
        <v>2369.32</v>
      </c>
      <c r="L1082" s="3" t="n">
        <v>933.12</v>
      </c>
      <c r="M1082" s="2" t="n">
        <v>4.5</v>
      </c>
      <c r="N1082" s="2" t="s">
        <v>24</v>
      </c>
      <c r="O1082" s="4" t="n">
        <f aca="false">VLOOKUP(F1082,DIM_SERVICO!$A$2:$D$151,4,FALSE())</f>
        <v>126.78</v>
      </c>
      <c r="P1082" s="4" t="n">
        <f aca="false">VLOOKUP(E1082,DIM_PECA!$A$2:$F$501,6,FALSE())</f>
        <v>591.81</v>
      </c>
      <c r="Q1082" s="4" t="n">
        <f aca="false">VLOOKUP(E1082,DIM_PECA!$A$2:$F$501,5,FALSE())</f>
        <v>344.05</v>
      </c>
      <c r="R1082" s="4" t="n">
        <f aca="false">H1082*P1082</f>
        <v>2367.24</v>
      </c>
      <c r="S1082" s="4" t="n">
        <f aca="false">O1082*M1082</f>
        <v>570.51</v>
      </c>
      <c r="T1082" s="4" t="n">
        <f aca="false">R1082+S1082</f>
        <v>2937.75</v>
      </c>
      <c r="U1082" s="4" t="n">
        <f aca="false">T1082-K1082</f>
        <v>568.43</v>
      </c>
      <c r="V1082" s="4" t="n">
        <f aca="false">R1082+S1082-U1082</f>
        <v>2369.32</v>
      </c>
      <c r="W1082" s="5" t="str">
        <f aca="false">IF(ROUND(V1082-K1082,2)=0,"OK","ERRO")</f>
        <v>OK</v>
      </c>
      <c r="X1082" s="5" t="str">
        <f aca="false">VLOOKUP(F1082,DIM_SERVICO!$A$2:$D$151,3,FALSE())</f>
        <v>Suspensão</v>
      </c>
    </row>
    <row r="1083" customFormat="false" ht="15" hidden="false" customHeight="false" outlineLevel="0" collapsed="false">
      <c r="A1083" s="6" t="n">
        <v>1082</v>
      </c>
      <c r="B1083" s="6" t="n">
        <v>1495</v>
      </c>
      <c r="C1083" s="6" t="n">
        <v>429</v>
      </c>
      <c r="D1083" s="6" t="n">
        <v>240</v>
      </c>
      <c r="E1083" s="6" t="n">
        <v>198</v>
      </c>
      <c r="F1083" s="6" t="n">
        <v>66</v>
      </c>
      <c r="G1083" s="6" t="n">
        <v>1017</v>
      </c>
      <c r="H1083" s="6" t="n">
        <v>3</v>
      </c>
      <c r="I1083" s="7" t="n">
        <v>1242.9</v>
      </c>
      <c r="J1083" s="7" t="n">
        <v>1805.9</v>
      </c>
      <c r="K1083" s="7" t="n">
        <v>3344.83</v>
      </c>
      <c r="L1083" s="7" t="n">
        <v>1431.11</v>
      </c>
      <c r="M1083" s="6" t="n">
        <v>3.5</v>
      </c>
      <c r="N1083" s="6" t="s">
        <v>27</v>
      </c>
      <c r="O1083" s="8" t="n">
        <f aca="false">VLOOKUP(F1083,DIM_SERVICO!$A$2:$D$151,4,FALSE())</f>
        <v>1805.9</v>
      </c>
      <c r="P1083" s="8" t="n">
        <f aca="false">VLOOKUP(E1083,DIM_PECA!$A$2:$F$501,6,FALSE())</f>
        <v>636.86</v>
      </c>
      <c r="Q1083" s="8" t="n">
        <f aca="false">VLOOKUP(E1083,DIM_PECA!$A$2:$F$501,5,FALSE())</f>
        <v>414.3</v>
      </c>
      <c r="R1083" s="8" t="n">
        <f aca="false">H1083*P1083</f>
        <v>1910.58</v>
      </c>
      <c r="S1083" s="8" t="n">
        <f aca="false">O1083*M1083</f>
        <v>6320.65</v>
      </c>
      <c r="T1083" s="8" t="n">
        <f aca="false">R1083+S1083</f>
        <v>8231.23</v>
      </c>
      <c r="U1083" s="8" t="n">
        <f aca="false">T1083-K1083</f>
        <v>4886.4</v>
      </c>
      <c r="V1083" s="8" t="n">
        <f aca="false">R1083+S1083-U1083</f>
        <v>3344.83</v>
      </c>
      <c r="W1083" s="9" t="str">
        <f aca="false">IF(ROUND(V1083-K1083,2)=0,"OK","ERRO")</f>
        <v>OK</v>
      </c>
      <c r="X1083" s="9" t="str">
        <f aca="false">VLOOKUP(F1083,DIM_SERVICO!$A$2:$D$151,3,FALSE())</f>
        <v>Pintura</v>
      </c>
    </row>
    <row r="1084" customFormat="false" ht="15" hidden="false" customHeight="false" outlineLevel="0" collapsed="false">
      <c r="A1084" s="2" t="n">
        <v>1083</v>
      </c>
      <c r="B1084" s="2" t="n">
        <v>1084</v>
      </c>
      <c r="C1084" s="2" t="n">
        <v>370</v>
      </c>
      <c r="D1084" s="2" t="n">
        <v>488</v>
      </c>
      <c r="E1084" s="2" t="n">
        <v>8</v>
      </c>
      <c r="F1084" s="2" t="n">
        <v>67</v>
      </c>
      <c r="G1084" s="2" t="n">
        <v>401</v>
      </c>
      <c r="H1084" s="2" t="n">
        <v>4</v>
      </c>
      <c r="I1084" s="3" t="n">
        <v>2314.12</v>
      </c>
      <c r="J1084" s="3" t="n">
        <v>1283.08</v>
      </c>
      <c r="K1084" s="3" t="n">
        <v>5362.48</v>
      </c>
      <c r="L1084" s="3" t="n">
        <v>2526.52</v>
      </c>
      <c r="M1084" s="2" t="n">
        <v>2.9</v>
      </c>
      <c r="N1084" s="2" t="s">
        <v>26</v>
      </c>
      <c r="O1084" s="4" t="n">
        <f aca="false">VLOOKUP(F1084,DIM_SERVICO!$A$2:$D$151,4,FALSE())</f>
        <v>1283.08</v>
      </c>
      <c r="P1084" s="4" t="n">
        <f aca="false">VLOOKUP(E1084,DIM_PECA!$A$2:$F$501,6,FALSE())</f>
        <v>1090.41</v>
      </c>
      <c r="Q1084" s="4" t="n">
        <f aca="false">VLOOKUP(E1084,DIM_PECA!$A$2:$F$501,5,FALSE())</f>
        <v>578.53</v>
      </c>
      <c r="R1084" s="4" t="n">
        <f aca="false">H1084*P1084</f>
        <v>4361.64</v>
      </c>
      <c r="S1084" s="4" t="n">
        <f aca="false">O1084*M1084</f>
        <v>3720.932</v>
      </c>
      <c r="T1084" s="4" t="n">
        <f aca="false">R1084+S1084</f>
        <v>8082.572</v>
      </c>
      <c r="U1084" s="4" t="n">
        <f aca="false">T1084-K1084</f>
        <v>2720.092</v>
      </c>
      <c r="V1084" s="4" t="n">
        <f aca="false">R1084+S1084-U1084</f>
        <v>5362.48</v>
      </c>
      <c r="W1084" s="5" t="str">
        <f aca="false">IF(ROUND(V1084-K1084,2)=0,"OK","ERRO")</f>
        <v>OK</v>
      </c>
      <c r="X1084" s="5" t="str">
        <f aca="false">VLOOKUP(F1084,DIM_SERVICO!$A$2:$D$151,3,FALSE())</f>
        <v>Elétrica</v>
      </c>
    </row>
    <row r="1085" customFormat="false" ht="15" hidden="false" customHeight="false" outlineLevel="0" collapsed="false">
      <c r="A1085" s="6" t="n">
        <v>1084</v>
      </c>
      <c r="B1085" s="6" t="n">
        <v>857</v>
      </c>
      <c r="C1085" s="6" t="n">
        <v>1195</v>
      </c>
      <c r="D1085" s="6" t="n">
        <v>715</v>
      </c>
      <c r="E1085" s="6" t="n">
        <v>26</v>
      </c>
      <c r="F1085" s="6" t="n">
        <v>2</v>
      </c>
      <c r="G1085" s="6" t="n">
        <v>11</v>
      </c>
      <c r="H1085" s="6" t="n">
        <v>1</v>
      </c>
      <c r="I1085" s="7" t="n">
        <v>342.45</v>
      </c>
      <c r="J1085" s="7" t="n">
        <v>1072.4</v>
      </c>
      <c r="K1085" s="7" t="n">
        <v>1668.29</v>
      </c>
      <c r="L1085" s="7" t="n">
        <v>808.92</v>
      </c>
      <c r="M1085" s="6" t="n">
        <v>0.6</v>
      </c>
      <c r="N1085" s="6" t="s">
        <v>24</v>
      </c>
      <c r="O1085" s="8" t="n">
        <f aca="false">VLOOKUP(F1085,DIM_SERVICO!$A$2:$D$151,4,FALSE())</f>
        <v>1072.4</v>
      </c>
      <c r="P1085" s="8" t="n">
        <f aca="false">VLOOKUP(E1085,DIM_PECA!$A$2:$F$501,6,FALSE())</f>
        <v>683.69</v>
      </c>
      <c r="Q1085" s="8" t="n">
        <f aca="false">VLOOKUP(E1085,DIM_PECA!$A$2:$F$501,5,FALSE())</f>
        <v>342.45</v>
      </c>
      <c r="R1085" s="8" t="n">
        <f aca="false">H1085*P1085</f>
        <v>683.69</v>
      </c>
      <c r="S1085" s="8" t="n">
        <f aca="false">O1085*M1085</f>
        <v>643.44</v>
      </c>
      <c r="T1085" s="8" t="n">
        <f aca="false">R1085+S1085</f>
        <v>1327.13</v>
      </c>
      <c r="U1085" s="8" t="n">
        <f aca="false">T1085-K1085</f>
        <v>-341.16</v>
      </c>
      <c r="V1085" s="8" t="n">
        <f aca="false">R1085+S1085-U1085</f>
        <v>1668.29</v>
      </c>
      <c r="W1085" s="9" t="str">
        <f aca="false">IF(ROUND(V1085-K1085,2)=0,"OK","ERRO")</f>
        <v>OK</v>
      </c>
      <c r="X1085" s="9" t="str">
        <f aca="false">VLOOKUP(F1085,DIM_SERVICO!$A$2:$D$151,3,FALSE())</f>
        <v>Suspensão</v>
      </c>
    </row>
    <row r="1086" customFormat="false" ht="15" hidden="false" customHeight="false" outlineLevel="0" collapsed="false">
      <c r="A1086" s="2" t="n">
        <v>1085</v>
      </c>
      <c r="B1086" s="2" t="n">
        <v>696</v>
      </c>
      <c r="C1086" s="2" t="n">
        <v>1052</v>
      </c>
      <c r="D1086" s="2" t="n">
        <v>876</v>
      </c>
      <c r="E1086" s="2" t="n">
        <v>55</v>
      </c>
      <c r="F1086" s="2" t="n">
        <v>100</v>
      </c>
      <c r="G1086" s="2" t="n">
        <v>1295</v>
      </c>
      <c r="H1086" s="2" t="n">
        <v>2</v>
      </c>
      <c r="I1086" s="3" t="n">
        <v>1693.08</v>
      </c>
      <c r="J1086" s="3" t="n">
        <v>2148.55</v>
      </c>
      <c r="K1086" s="3" t="n">
        <v>4897.11</v>
      </c>
      <c r="L1086" s="3" t="n">
        <v>2070.72</v>
      </c>
      <c r="M1086" s="2" t="n">
        <v>7.3</v>
      </c>
      <c r="N1086" s="2" t="s">
        <v>24</v>
      </c>
      <c r="O1086" s="4" t="n">
        <f aca="false">VLOOKUP(F1086,DIM_SERVICO!$A$2:$D$151,4,FALSE())</f>
        <v>2148.55</v>
      </c>
      <c r="P1086" s="4" t="n">
        <f aca="false">VLOOKUP(E1086,DIM_PECA!$A$2:$F$501,6,FALSE())</f>
        <v>1503.15</v>
      </c>
      <c r="Q1086" s="4" t="n">
        <f aca="false">VLOOKUP(E1086,DIM_PECA!$A$2:$F$501,5,FALSE())</f>
        <v>846.54</v>
      </c>
      <c r="R1086" s="4" t="n">
        <f aca="false">H1086*P1086</f>
        <v>3006.3</v>
      </c>
      <c r="S1086" s="4" t="n">
        <f aca="false">O1086*M1086</f>
        <v>15684.415</v>
      </c>
      <c r="T1086" s="4" t="n">
        <f aca="false">R1086+S1086</f>
        <v>18690.715</v>
      </c>
      <c r="U1086" s="4" t="n">
        <f aca="false">T1086-K1086</f>
        <v>13793.605</v>
      </c>
      <c r="V1086" s="4" t="n">
        <f aca="false">R1086+S1086-U1086</f>
        <v>4897.11</v>
      </c>
      <c r="W1086" s="5" t="str">
        <f aca="false">IF(ROUND(V1086-K1086,2)=0,"OK","ERRO")</f>
        <v>OK</v>
      </c>
      <c r="X1086" s="5" t="str">
        <f aca="false">VLOOKUP(F1086,DIM_SERVICO!$A$2:$D$151,3,FALSE())</f>
        <v>Motor</v>
      </c>
    </row>
    <row r="1087" customFormat="false" ht="15" hidden="false" customHeight="false" outlineLevel="0" collapsed="false">
      <c r="A1087" s="6" t="n">
        <v>1086</v>
      </c>
      <c r="B1087" s="6" t="n">
        <v>1347</v>
      </c>
      <c r="C1087" s="6" t="n">
        <v>1456</v>
      </c>
      <c r="D1087" s="6" t="n">
        <v>1047</v>
      </c>
      <c r="E1087" s="6" t="n">
        <v>324</v>
      </c>
      <c r="F1087" s="6" t="n">
        <v>38</v>
      </c>
      <c r="G1087" s="6" t="n">
        <v>977</v>
      </c>
      <c r="H1087" s="6" t="n">
        <v>1</v>
      </c>
      <c r="I1087" s="7" t="n">
        <v>512.79</v>
      </c>
      <c r="J1087" s="7" t="n">
        <v>1721.52</v>
      </c>
      <c r="K1087" s="7" t="n">
        <v>2412.33</v>
      </c>
      <c r="L1087" s="7" t="n">
        <v>1264.27</v>
      </c>
      <c r="M1087" s="6" t="n">
        <v>7.1</v>
      </c>
      <c r="N1087" s="6" t="s">
        <v>25</v>
      </c>
      <c r="O1087" s="8" t="n">
        <f aca="false">VLOOKUP(F1087,DIM_SERVICO!$A$2:$D$151,4,FALSE())</f>
        <v>1721.52</v>
      </c>
      <c r="P1087" s="8" t="n">
        <f aca="false">VLOOKUP(E1087,DIM_PECA!$A$2:$F$501,6,FALSE())</f>
        <v>817.77</v>
      </c>
      <c r="Q1087" s="8" t="n">
        <f aca="false">VLOOKUP(E1087,DIM_PECA!$A$2:$F$501,5,FALSE())</f>
        <v>512.79</v>
      </c>
      <c r="R1087" s="8" t="n">
        <f aca="false">H1087*P1087</f>
        <v>817.77</v>
      </c>
      <c r="S1087" s="8" t="n">
        <f aca="false">O1087*M1087</f>
        <v>12222.792</v>
      </c>
      <c r="T1087" s="8" t="n">
        <f aca="false">R1087+S1087</f>
        <v>13040.562</v>
      </c>
      <c r="U1087" s="8" t="n">
        <f aca="false">T1087-K1087</f>
        <v>10628.232</v>
      </c>
      <c r="V1087" s="8" t="n">
        <f aca="false">R1087+S1087-U1087</f>
        <v>2412.33</v>
      </c>
      <c r="W1087" s="9" t="str">
        <f aca="false">IF(ROUND(V1087-K1087,2)=0,"OK","ERRO")</f>
        <v>OK</v>
      </c>
      <c r="X1087" s="9" t="str">
        <f aca="false">VLOOKUP(F1087,DIM_SERVICO!$A$2:$D$151,3,FALSE())</f>
        <v>Motor</v>
      </c>
    </row>
    <row r="1088" customFormat="false" ht="15" hidden="false" customHeight="false" outlineLevel="0" collapsed="false">
      <c r="A1088" s="2" t="n">
        <v>1087</v>
      </c>
      <c r="B1088" s="2" t="n">
        <v>238</v>
      </c>
      <c r="C1088" s="2" t="n">
        <v>452</v>
      </c>
      <c r="D1088" s="2" t="n">
        <v>1000</v>
      </c>
      <c r="E1088" s="2" t="n">
        <v>431</v>
      </c>
      <c r="F1088" s="2" t="n">
        <v>28</v>
      </c>
      <c r="G1088" s="2" t="n">
        <v>1251</v>
      </c>
      <c r="H1088" s="2" t="n">
        <v>4</v>
      </c>
      <c r="I1088" s="3" t="n">
        <v>2986.6</v>
      </c>
      <c r="J1088" s="3" t="n">
        <v>2152.12</v>
      </c>
      <c r="K1088" s="3" t="n">
        <v>8271.92</v>
      </c>
      <c r="L1088" s="3" t="n">
        <v>4476.74</v>
      </c>
      <c r="M1088" s="2" t="n">
        <v>4.3</v>
      </c>
      <c r="N1088" s="2" t="s">
        <v>24</v>
      </c>
      <c r="O1088" s="4" t="n">
        <f aca="false">VLOOKUP(F1088,DIM_SERVICO!$A$2:$D$151,4,FALSE())</f>
        <v>2152.12</v>
      </c>
      <c r="P1088" s="4" t="n">
        <f aca="false">VLOOKUP(E1088,DIM_PECA!$A$2:$F$501,6,FALSE())</f>
        <v>1638.79</v>
      </c>
      <c r="Q1088" s="4" t="n">
        <f aca="false">VLOOKUP(E1088,DIM_PECA!$A$2:$F$501,5,FALSE())</f>
        <v>746.65</v>
      </c>
      <c r="R1088" s="4" t="n">
        <f aca="false">H1088*P1088</f>
        <v>6555.16</v>
      </c>
      <c r="S1088" s="4" t="n">
        <f aca="false">O1088*M1088</f>
        <v>9254.116</v>
      </c>
      <c r="T1088" s="4" t="n">
        <f aca="false">R1088+S1088</f>
        <v>15809.276</v>
      </c>
      <c r="U1088" s="4" t="n">
        <f aca="false">T1088-K1088</f>
        <v>7537.356</v>
      </c>
      <c r="V1088" s="4" t="n">
        <f aca="false">R1088+S1088-U1088</f>
        <v>8271.92</v>
      </c>
      <c r="W1088" s="5" t="str">
        <f aca="false">IF(ROUND(V1088-K1088,2)=0,"OK","ERRO")</f>
        <v>OK</v>
      </c>
      <c r="X1088" s="5" t="str">
        <f aca="false">VLOOKUP(F1088,DIM_SERVICO!$A$2:$D$151,3,FALSE())</f>
        <v>Freios</v>
      </c>
    </row>
    <row r="1089" customFormat="false" ht="15" hidden="false" customHeight="false" outlineLevel="0" collapsed="false">
      <c r="A1089" s="6" t="n">
        <v>1088</v>
      </c>
      <c r="B1089" s="6" t="n">
        <v>184</v>
      </c>
      <c r="C1089" s="6" t="n">
        <v>200</v>
      </c>
      <c r="D1089" s="6" t="n">
        <v>943</v>
      </c>
      <c r="E1089" s="6" t="n">
        <v>490</v>
      </c>
      <c r="F1089" s="6" t="n">
        <v>19</v>
      </c>
      <c r="G1089" s="6" t="n">
        <v>954</v>
      </c>
      <c r="H1089" s="6" t="n">
        <v>3</v>
      </c>
      <c r="I1089" s="7" t="n">
        <v>2356.14</v>
      </c>
      <c r="J1089" s="7" t="n">
        <v>1822.04</v>
      </c>
      <c r="K1089" s="7" t="n">
        <v>5715.5</v>
      </c>
      <c r="L1089" s="7" t="n">
        <v>2568.24</v>
      </c>
      <c r="M1089" s="6" t="n">
        <v>1.7</v>
      </c>
      <c r="N1089" s="6" t="s">
        <v>24</v>
      </c>
      <c r="O1089" s="8" t="n">
        <f aca="false">VLOOKUP(F1089,DIM_SERVICO!$A$2:$D$151,4,FALSE())</f>
        <v>1822.04</v>
      </c>
      <c r="P1089" s="8" t="n">
        <f aca="false">VLOOKUP(E1089,DIM_PECA!$A$2:$F$501,6,FALSE())</f>
        <v>1336.7</v>
      </c>
      <c r="Q1089" s="8" t="n">
        <f aca="false">VLOOKUP(E1089,DIM_PECA!$A$2:$F$501,5,FALSE())</f>
        <v>785.38</v>
      </c>
      <c r="R1089" s="8" t="n">
        <f aca="false">H1089*P1089</f>
        <v>4010.1</v>
      </c>
      <c r="S1089" s="8" t="n">
        <f aca="false">O1089*M1089</f>
        <v>3097.468</v>
      </c>
      <c r="T1089" s="8" t="n">
        <f aca="false">R1089+S1089</f>
        <v>7107.568</v>
      </c>
      <c r="U1089" s="8" t="n">
        <f aca="false">T1089-K1089</f>
        <v>1392.068</v>
      </c>
      <c r="V1089" s="8" t="n">
        <f aca="false">R1089+S1089-U1089</f>
        <v>5715.5</v>
      </c>
      <c r="W1089" s="9" t="str">
        <f aca="false">IF(ROUND(V1089-K1089,2)=0,"OK","ERRO")</f>
        <v>OK</v>
      </c>
      <c r="X1089" s="9" t="str">
        <f aca="false">VLOOKUP(F1089,DIM_SERVICO!$A$2:$D$151,3,FALSE())</f>
        <v>Pintura</v>
      </c>
    </row>
    <row r="1090" customFormat="false" ht="15" hidden="false" customHeight="false" outlineLevel="0" collapsed="false">
      <c r="A1090" s="2" t="n">
        <v>1089</v>
      </c>
      <c r="B1090" s="2" t="n">
        <v>66</v>
      </c>
      <c r="C1090" s="2" t="n">
        <v>66</v>
      </c>
      <c r="D1090" s="2" t="n">
        <v>933</v>
      </c>
      <c r="E1090" s="2" t="n">
        <v>221</v>
      </c>
      <c r="F1090" s="2" t="n">
        <v>113</v>
      </c>
      <c r="G1090" s="2" t="n">
        <v>1401</v>
      </c>
      <c r="H1090" s="2" t="n">
        <v>3</v>
      </c>
      <c r="I1090" s="3" t="n">
        <v>2817.15</v>
      </c>
      <c r="J1090" s="3" t="n">
        <v>1709.25</v>
      </c>
      <c r="K1090" s="3" t="n">
        <v>6887.5</v>
      </c>
      <c r="L1090" s="3" t="n">
        <v>3429.34</v>
      </c>
      <c r="M1090" s="2" t="n">
        <v>2</v>
      </c>
      <c r="N1090" s="2" t="s">
        <v>24</v>
      </c>
      <c r="O1090" s="4" t="n">
        <f aca="false">VLOOKUP(F1090,DIM_SERVICO!$A$2:$D$151,4,FALSE())</f>
        <v>1709.25</v>
      </c>
      <c r="P1090" s="4" t="n">
        <f aca="false">VLOOKUP(E1090,DIM_PECA!$A$2:$F$501,6,FALSE())</f>
        <v>1925.72</v>
      </c>
      <c r="Q1090" s="4" t="n">
        <f aca="false">VLOOKUP(E1090,DIM_PECA!$A$2:$F$501,5,FALSE())</f>
        <v>939.05</v>
      </c>
      <c r="R1090" s="4" t="n">
        <f aca="false">H1090*P1090</f>
        <v>5777.16</v>
      </c>
      <c r="S1090" s="4" t="n">
        <f aca="false">O1090*M1090</f>
        <v>3418.5</v>
      </c>
      <c r="T1090" s="4" t="n">
        <f aca="false">R1090+S1090</f>
        <v>9195.66</v>
      </c>
      <c r="U1090" s="4" t="n">
        <f aca="false">T1090-K1090</f>
        <v>2308.16</v>
      </c>
      <c r="V1090" s="4" t="n">
        <f aca="false">R1090+S1090-U1090</f>
        <v>6887.5</v>
      </c>
      <c r="W1090" s="5" t="str">
        <f aca="false">IF(ROUND(V1090-K1090,2)=0,"OK","ERRO")</f>
        <v>OK</v>
      </c>
      <c r="X1090" s="5" t="str">
        <f aca="false">VLOOKUP(F1090,DIM_SERVICO!$A$2:$D$151,3,FALSE())</f>
        <v>Pintura</v>
      </c>
    </row>
    <row r="1091" customFormat="false" ht="15" hidden="false" customHeight="false" outlineLevel="0" collapsed="false">
      <c r="A1091" s="6" t="n">
        <v>1090</v>
      </c>
      <c r="B1091" s="6" t="n">
        <v>1107</v>
      </c>
      <c r="C1091" s="6" t="n">
        <v>1223</v>
      </c>
      <c r="D1091" s="6" t="n">
        <v>152</v>
      </c>
      <c r="E1091" s="6" t="n">
        <v>171</v>
      </c>
      <c r="F1091" s="6" t="n">
        <v>33</v>
      </c>
      <c r="G1091" s="6" t="n">
        <v>1406</v>
      </c>
      <c r="H1091" s="6" t="n">
        <v>2</v>
      </c>
      <c r="I1091" s="7" t="n">
        <v>2389.36</v>
      </c>
      <c r="J1091" s="7" t="n">
        <v>538.49</v>
      </c>
      <c r="K1091" s="7" t="n">
        <v>4974.69</v>
      </c>
      <c r="L1091" s="7" t="n">
        <v>2341.89</v>
      </c>
      <c r="M1091" s="6" t="n">
        <v>11.9</v>
      </c>
      <c r="N1091" s="6" t="s">
        <v>26</v>
      </c>
      <c r="O1091" s="8" t="n">
        <f aca="false">VLOOKUP(F1091,DIM_SERVICO!$A$2:$D$151,4,FALSE())</f>
        <v>538.49</v>
      </c>
      <c r="P1091" s="8" t="n">
        <f aca="false">VLOOKUP(E1091,DIM_PECA!$A$2:$F$501,6,FALSE())</f>
        <v>2218.1</v>
      </c>
      <c r="Q1091" s="8" t="n">
        <f aca="false">VLOOKUP(E1091,DIM_PECA!$A$2:$F$501,5,FALSE())</f>
        <v>1194.68</v>
      </c>
      <c r="R1091" s="8" t="n">
        <f aca="false">H1091*P1091</f>
        <v>4436.2</v>
      </c>
      <c r="S1091" s="8" t="n">
        <f aca="false">O1091*M1091</f>
        <v>6408.031</v>
      </c>
      <c r="T1091" s="8" t="n">
        <f aca="false">R1091+S1091</f>
        <v>10844.231</v>
      </c>
      <c r="U1091" s="8" t="n">
        <f aca="false">T1091-K1091</f>
        <v>5869.541</v>
      </c>
      <c r="V1091" s="8" t="n">
        <f aca="false">R1091+S1091-U1091</f>
        <v>4974.69</v>
      </c>
      <c r="W1091" s="9" t="str">
        <f aca="false">IF(ROUND(V1091-K1091,2)=0,"OK","ERRO")</f>
        <v>OK</v>
      </c>
      <c r="X1091" s="9" t="str">
        <f aca="false">VLOOKUP(F1091,DIM_SERVICO!$A$2:$D$151,3,FALSE())</f>
        <v>Suspensão</v>
      </c>
    </row>
    <row r="1092" customFormat="false" ht="15" hidden="false" customHeight="false" outlineLevel="0" collapsed="false">
      <c r="A1092" s="2" t="n">
        <v>1091</v>
      </c>
      <c r="B1092" s="2" t="n">
        <v>1176</v>
      </c>
      <c r="C1092" s="2" t="n">
        <v>827</v>
      </c>
      <c r="D1092" s="2" t="n">
        <v>796</v>
      </c>
      <c r="E1092" s="2" t="n">
        <v>173</v>
      </c>
      <c r="F1092" s="2" t="n">
        <v>21</v>
      </c>
      <c r="G1092" s="2" t="n">
        <v>999</v>
      </c>
      <c r="H1092" s="2" t="n">
        <v>4</v>
      </c>
      <c r="I1092" s="3" t="n">
        <v>2188.92</v>
      </c>
      <c r="J1092" s="3" t="n">
        <v>126.78</v>
      </c>
      <c r="K1092" s="3" t="n">
        <v>4092.98</v>
      </c>
      <c r="L1092" s="3" t="n">
        <v>1857.72</v>
      </c>
      <c r="M1092" s="2" t="n">
        <v>10.2</v>
      </c>
      <c r="N1092" s="2" t="s">
        <v>24</v>
      </c>
      <c r="O1092" s="4" t="n">
        <f aca="false">VLOOKUP(F1092,DIM_SERVICO!$A$2:$D$151,4,FALSE())</f>
        <v>126.78</v>
      </c>
      <c r="P1092" s="4" t="n">
        <f aca="false">VLOOKUP(E1092,DIM_PECA!$A$2:$F$501,6,FALSE())</f>
        <v>991.55</v>
      </c>
      <c r="Q1092" s="4" t="n">
        <f aca="false">VLOOKUP(E1092,DIM_PECA!$A$2:$F$501,5,FALSE())</f>
        <v>547.23</v>
      </c>
      <c r="R1092" s="4" t="n">
        <f aca="false">H1092*P1092</f>
        <v>3966.2</v>
      </c>
      <c r="S1092" s="4" t="n">
        <f aca="false">O1092*M1092</f>
        <v>1293.156</v>
      </c>
      <c r="T1092" s="4" t="n">
        <f aca="false">R1092+S1092</f>
        <v>5259.356</v>
      </c>
      <c r="U1092" s="4" t="n">
        <f aca="false">T1092-K1092</f>
        <v>1166.376</v>
      </c>
      <c r="V1092" s="4" t="n">
        <f aca="false">R1092+S1092-U1092</f>
        <v>4092.98</v>
      </c>
      <c r="W1092" s="5" t="str">
        <f aca="false">IF(ROUND(V1092-K1092,2)=0,"OK","ERRO")</f>
        <v>OK</v>
      </c>
      <c r="X1092" s="5" t="str">
        <f aca="false">VLOOKUP(F1092,DIM_SERVICO!$A$2:$D$151,3,FALSE())</f>
        <v>Suspensão</v>
      </c>
    </row>
    <row r="1093" customFormat="false" ht="15" hidden="false" customHeight="false" outlineLevel="0" collapsed="false">
      <c r="A1093" s="6" t="n">
        <v>1092</v>
      </c>
      <c r="B1093" s="6" t="n">
        <v>1338</v>
      </c>
      <c r="C1093" s="6" t="n">
        <v>944</v>
      </c>
      <c r="D1093" s="6" t="n">
        <v>524</v>
      </c>
      <c r="E1093" s="6" t="n">
        <v>292</v>
      </c>
      <c r="F1093" s="6" t="n">
        <v>63</v>
      </c>
      <c r="G1093" s="6" t="n">
        <v>237</v>
      </c>
      <c r="H1093" s="6" t="n">
        <v>2</v>
      </c>
      <c r="I1093" s="7" t="n">
        <v>2141.78</v>
      </c>
      <c r="J1093" s="7" t="n">
        <v>263.48</v>
      </c>
      <c r="K1093" s="7" t="n">
        <v>4231.2</v>
      </c>
      <c r="L1093" s="7" t="n">
        <v>1989.95</v>
      </c>
      <c r="M1093" s="6" t="n">
        <v>9.1</v>
      </c>
      <c r="N1093" s="6" t="s">
        <v>26</v>
      </c>
      <c r="O1093" s="8" t="n">
        <f aca="false">VLOOKUP(F1093,DIM_SERVICO!$A$2:$D$151,4,FALSE())</f>
        <v>263.48</v>
      </c>
      <c r="P1093" s="8" t="n">
        <f aca="false">VLOOKUP(E1093,DIM_PECA!$A$2:$F$501,6,FALSE())</f>
        <v>1983.86</v>
      </c>
      <c r="Q1093" s="8" t="n">
        <f aca="false">VLOOKUP(E1093,DIM_PECA!$A$2:$F$501,5,FALSE())</f>
        <v>1070.89</v>
      </c>
      <c r="R1093" s="8" t="n">
        <f aca="false">H1093*P1093</f>
        <v>3967.72</v>
      </c>
      <c r="S1093" s="8" t="n">
        <f aca="false">O1093*M1093</f>
        <v>2397.668</v>
      </c>
      <c r="T1093" s="8" t="n">
        <f aca="false">R1093+S1093</f>
        <v>6365.388</v>
      </c>
      <c r="U1093" s="8" t="n">
        <f aca="false">T1093-K1093</f>
        <v>2134.188</v>
      </c>
      <c r="V1093" s="8" t="n">
        <f aca="false">R1093+S1093-U1093</f>
        <v>4231.2</v>
      </c>
      <c r="W1093" s="9" t="str">
        <f aca="false">IF(ROUND(V1093-K1093,2)=0,"OK","ERRO")</f>
        <v>OK</v>
      </c>
      <c r="X1093" s="9" t="str">
        <f aca="false">VLOOKUP(F1093,DIM_SERVICO!$A$2:$D$151,3,FALSE())</f>
        <v>Funilaria</v>
      </c>
    </row>
    <row r="1094" customFormat="false" ht="15" hidden="false" customHeight="false" outlineLevel="0" collapsed="false">
      <c r="A1094" s="2" t="n">
        <v>1093</v>
      </c>
      <c r="B1094" s="2" t="n">
        <v>491</v>
      </c>
      <c r="C1094" s="2" t="n">
        <v>1386</v>
      </c>
      <c r="D1094" s="2" t="n">
        <v>782</v>
      </c>
      <c r="E1094" s="2" t="n">
        <v>410</v>
      </c>
      <c r="F1094" s="2" t="n">
        <v>47</v>
      </c>
      <c r="G1094" s="2" t="n">
        <v>1605</v>
      </c>
      <c r="H1094" s="2" t="n">
        <v>3</v>
      </c>
      <c r="I1094" s="3" t="n">
        <v>3289.89</v>
      </c>
      <c r="J1094" s="3" t="n">
        <v>399.81</v>
      </c>
      <c r="K1094" s="3" t="n">
        <v>7197.63</v>
      </c>
      <c r="L1094" s="3" t="n">
        <v>3718.48</v>
      </c>
      <c r="M1094" s="2" t="n">
        <v>5.4</v>
      </c>
      <c r="N1094" s="2" t="s">
        <v>24</v>
      </c>
      <c r="O1094" s="4" t="n">
        <f aca="false">VLOOKUP(F1094,DIM_SERVICO!$A$2:$D$151,4,FALSE())</f>
        <v>399.81</v>
      </c>
      <c r="P1094" s="4" t="n">
        <f aca="false">VLOOKUP(E1094,DIM_PECA!$A$2:$F$501,6,FALSE())</f>
        <v>2265.94</v>
      </c>
      <c r="Q1094" s="4" t="n">
        <f aca="false">VLOOKUP(E1094,DIM_PECA!$A$2:$F$501,5,FALSE())</f>
        <v>1096.63</v>
      </c>
      <c r="R1094" s="4" t="n">
        <f aca="false">H1094*P1094</f>
        <v>6797.82</v>
      </c>
      <c r="S1094" s="4" t="n">
        <f aca="false">O1094*M1094</f>
        <v>2158.974</v>
      </c>
      <c r="T1094" s="4" t="n">
        <f aca="false">R1094+S1094</f>
        <v>8956.794</v>
      </c>
      <c r="U1094" s="4" t="n">
        <f aca="false">T1094-K1094</f>
        <v>1759.164</v>
      </c>
      <c r="V1094" s="4" t="n">
        <f aca="false">R1094+S1094-U1094</f>
        <v>7197.63</v>
      </c>
      <c r="W1094" s="5" t="str">
        <f aca="false">IF(ROUND(V1094-K1094,2)=0,"OK","ERRO")</f>
        <v>OK</v>
      </c>
      <c r="X1094" s="5" t="str">
        <f aca="false">VLOOKUP(F1094,DIM_SERVICO!$A$2:$D$151,3,FALSE())</f>
        <v>Funilaria</v>
      </c>
    </row>
    <row r="1095" customFormat="false" ht="15" hidden="false" customHeight="false" outlineLevel="0" collapsed="false">
      <c r="A1095" s="6" t="n">
        <v>1094</v>
      </c>
      <c r="B1095" s="6" t="n">
        <v>366</v>
      </c>
      <c r="C1095" s="6" t="n">
        <v>758</v>
      </c>
      <c r="D1095" s="6" t="n">
        <v>116</v>
      </c>
      <c r="E1095" s="6" t="n">
        <v>48</v>
      </c>
      <c r="F1095" s="6" t="n">
        <v>133</v>
      </c>
      <c r="G1095" s="6" t="n">
        <v>1799</v>
      </c>
      <c r="H1095" s="6" t="n">
        <v>2</v>
      </c>
      <c r="I1095" s="7" t="n">
        <v>1907.94</v>
      </c>
      <c r="J1095" s="7" t="n">
        <v>1635.43</v>
      </c>
      <c r="K1095" s="7" t="n">
        <v>5457.35</v>
      </c>
      <c r="L1095" s="7" t="n">
        <v>2833.98</v>
      </c>
      <c r="M1095" s="6" t="n">
        <v>7.7</v>
      </c>
      <c r="N1095" s="6" t="s">
        <v>24</v>
      </c>
      <c r="O1095" s="8" t="n">
        <f aca="false">VLOOKUP(F1095,DIM_SERVICO!$A$2:$D$151,4,FALSE())</f>
        <v>1635.43</v>
      </c>
      <c r="P1095" s="8" t="n">
        <f aca="false">VLOOKUP(E1095,DIM_PECA!$A$2:$F$501,6,FALSE())</f>
        <v>1910.96</v>
      </c>
      <c r="Q1095" s="8" t="n">
        <f aca="false">VLOOKUP(E1095,DIM_PECA!$A$2:$F$501,5,FALSE())</f>
        <v>953.97</v>
      </c>
      <c r="R1095" s="8" t="n">
        <f aca="false">H1095*P1095</f>
        <v>3821.92</v>
      </c>
      <c r="S1095" s="8" t="n">
        <f aca="false">O1095*M1095</f>
        <v>12592.811</v>
      </c>
      <c r="T1095" s="8" t="n">
        <f aca="false">R1095+S1095</f>
        <v>16414.731</v>
      </c>
      <c r="U1095" s="8" t="n">
        <f aca="false">T1095-K1095</f>
        <v>10957.381</v>
      </c>
      <c r="V1095" s="8" t="n">
        <f aca="false">R1095+S1095-U1095</f>
        <v>5457.35</v>
      </c>
      <c r="W1095" s="9" t="str">
        <f aca="false">IF(ROUND(V1095-K1095,2)=0,"OK","ERRO")</f>
        <v>OK</v>
      </c>
      <c r="X1095" s="9" t="str">
        <f aca="false">VLOOKUP(F1095,DIM_SERVICO!$A$2:$D$151,3,FALSE())</f>
        <v>Suspensão</v>
      </c>
    </row>
    <row r="1096" customFormat="false" ht="15" hidden="false" customHeight="false" outlineLevel="0" collapsed="false">
      <c r="A1096" s="2" t="n">
        <v>1095</v>
      </c>
      <c r="B1096" s="2" t="n">
        <v>1187</v>
      </c>
      <c r="C1096" s="2" t="n">
        <v>692</v>
      </c>
      <c r="D1096" s="2" t="n">
        <v>196</v>
      </c>
      <c r="E1096" s="2" t="n">
        <v>197</v>
      </c>
      <c r="F1096" s="2" t="n">
        <v>55</v>
      </c>
      <c r="G1096" s="2" t="n">
        <v>1221</v>
      </c>
      <c r="H1096" s="2" t="n">
        <v>1</v>
      </c>
      <c r="I1096" s="3" t="n">
        <v>125.56</v>
      </c>
      <c r="J1096" s="3" t="n">
        <v>176.18</v>
      </c>
      <c r="K1096" s="3" t="n">
        <v>349.68</v>
      </c>
      <c r="L1096" s="3" t="n">
        <v>156.48</v>
      </c>
      <c r="M1096" s="2" t="n">
        <v>9.3</v>
      </c>
      <c r="N1096" s="2" t="s">
        <v>24</v>
      </c>
      <c r="O1096" s="4" t="n">
        <f aca="false">VLOOKUP(F1096,DIM_SERVICO!$A$2:$D$151,4,FALSE())</f>
        <v>176.18</v>
      </c>
      <c r="P1096" s="4" t="n">
        <f aca="false">VLOOKUP(E1096,DIM_PECA!$A$2:$F$501,6,FALSE())</f>
        <v>180.64</v>
      </c>
      <c r="Q1096" s="4" t="n">
        <f aca="false">VLOOKUP(E1096,DIM_PECA!$A$2:$F$501,5,FALSE())</f>
        <v>125.56</v>
      </c>
      <c r="R1096" s="4" t="n">
        <f aca="false">H1096*P1096</f>
        <v>180.64</v>
      </c>
      <c r="S1096" s="4" t="n">
        <f aca="false">O1096*M1096</f>
        <v>1638.474</v>
      </c>
      <c r="T1096" s="4" t="n">
        <f aca="false">R1096+S1096</f>
        <v>1819.114</v>
      </c>
      <c r="U1096" s="4" t="n">
        <f aca="false">T1096-K1096</f>
        <v>1469.434</v>
      </c>
      <c r="V1096" s="4" t="n">
        <f aca="false">R1096+S1096-U1096</f>
        <v>349.68</v>
      </c>
      <c r="W1096" s="5" t="str">
        <f aca="false">IF(ROUND(V1096-K1096,2)=0,"OK","ERRO")</f>
        <v>OK</v>
      </c>
      <c r="X1096" s="5" t="str">
        <f aca="false">VLOOKUP(F1096,DIM_SERVICO!$A$2:$D$151,3,FALSE())</f>
        <v>Motor</v>
      </c>
    </row>
    <row r="1097" customFormat="false" ht="15" hidden="false" customHeight="false" outlineLevel="0" collapsed="false">
      <c r="A1097" s="6" t="n">
        <v>1096</v>
      </c>
      <c r="B1097" s="6" t="n">
        <v>310</v>
      </c>
      <c r="C1097" s="6" t="n">
        <v>516</v>
      </c>
      <c r="D1097" s="6" t="n">
        <v>964</v>
      </c>
      <c r="E1097" s="6" t="n">
        <v>355</v>
      </c>
      <c r="F1097" s="6" t="n">
        <v>50</v>
      </c>
      <c r="G1097" s="6" t="n">
        <v>847</v>
      </c>
      <c r="H1097" s="6" t="n">
        <v>2</v>
      </c>
      <c r="I1097" s="7" t="n">
        <v>2101.86</v>
      </c>
      <c r="J1097" s="7" t="n">
        <v>1357.79</v>
      </c>
      <c r="K1097" s="7" t="n">
        <v>4791.56</v>
      </c>
      <c r="L1097" s="7" t="n">
        <v>2189.22</v>
      </c>
      <c r="M1097" s="6" t="n">
        <v>11.8</v>
      </c>
      <c r="N1097" s="6" t="s">
        <v>27</v>
      </c>
      <c r="O1097" s="8" t="n">
        <f aca="false">VLOOKUP(F1097,DIM_SERVICO!$A$2:$D$151,4,FALSE())</f>
        <v>1357.79</v>
      </c>
      <c r="P1097" s="8" t="n">
        <f aca="false">VLOOKUP(E1097,DIM_PECA!$A$2:$F$501,6,FALSE())</f>
        <v>1842.98</v>
      </c>
      <c r="Q1097" s="8" t="n">
        <f aca="false">VLOOKUP(E1097,DIM_PECA!$A$2:$F$501,5,FALSE())</f>
        <v>1050.93</v>
      </c>
      <c r="R1097" s="8" t="n">
        <f aca="false">H1097*P1097</f>
        <v>3685.96</v>
      </c>
      <c r="S1097" s="8" t="n">
        <f aca="false">O1097*M1097</f>
        <v>16021.922</v>
      </c>
      <c r="T1097" s="8" t="n">
        <f aca="false">R1097+S1097</f>
        <v>19707.882</v>
      </c>
      <c r="U1097" s="8" t="n">
        <f aca="false">T1097-K1097</f>
        <v>14916.322</v>
      </c>
      <c r="V1097" s="8" t="n">
        <f aca="false">R1097+S1097-U1097</f>
        <v>4791.56</v>
      </c>
      <c r="W1097" s="9" t="str">
        <f aca="false">IF(ROUND(V1097-K1097,2)=0,"OK","ERRO")</f>
        <v>OK</v>
      </c>
      <c r="X1097" s="9" t="str">
        <f aca="false">VLOOKUP(F1097,DIM_SERVICO!$A$2:$D$151,3,FALSE())</f>
        <v>Pintura</v>
      </c>
    </row>
    <row r="1098" customFormat="false" ht="15" hidden="false" customHeight="false" outlineLevel="0" collapsed="false">
      <c r="A1098" s="2" t="n">
        <v>1097</v>
      </c>
      <c r="B1098" s="2" t="n">
        <v>457</v>
      </c>
      <c r="C1098" s="2" t="n">
        <v>400</v>
      </c>
      <c r="D1098" s="2" t="n">
        <v>522</v>
      </c>
      <c r="E1098" s="2" t="n">
        <v>63</v>
      </c>
      <c r="F1098" s="2" t="n">
        <v>60</v>
      </c>
      <c r="G1098" s="2" t="n">
        <v>1607</v>
      </c>
      <c r="H1098" s="2" t="n">
        <v>3</v>
      </c>
      <c r="I1098" s="3" t="n">
        <v>71.46</v>
      </c>
      <c r="J1098" s="3" t="n">
        <v>1091.63</v>
      </c>
      <c r="K1098" s="3" t="n">
        <v>1195.52</v>
      </c>
      <c r="L1098" s="3" t="n">
        <v>700.98</v>
      </c>
      <c r="M1098" s="2" t="n">
        <v>5.1</v>
      </c>
      <c r="N1098" s="2" t="s">
        <v>24</v>
      </c>
      <c r="O1098" s="4" t="n">
        <f aca="false">VLOOKUP(F1098,DIM_SERVICO!$A$2:$D$151,4,FALSE())</f>
        <v>1091.63</v>
      </c>
      <c r="P1098" s="4" t="n">
        <f aca="false">VLOOKUP(E1098,DIM_PECA!$A$2:$F$501,6,FALSE())</f>
        <v>34.63</v>
      </c>
      <c r="Q1098" s="4" t="n">
        <f aca="false">VLOOKUP(E1098,DIM_PECA!$A$2:$F$501,5,FALSE())</f>
        <v>23.82</v>
      </c>
      <c r="R1098" s="4" t="n">
        <f aca="false">H1098*P1098</f>
        <v>103.89</v>
      </c>
      <c r="S1098" s="4" t="n">
        <f aca="false">O1098*M1098</f>
        <v>5567.313</v>
      </c>
      <c r="T1098" s="4" t="n">
        <f aca="false">R1098+S1098</f>
        <v>5671.203</v>
      </c>
      <c r="U1098" s="4" t="n">
        <f aca="false">T1098-K1098</f>
        <v>4475.683</v>
      </c>
      <c r="V1098" s="4" t="n">
        <f aca="false">R1098+S1098-U1098</f>
        <v>1195.52</v>
      </c>
      <c r="W1098" s="5" t="str">
        <f aca="false">IF(ROUND(V1098-K1098,2)=0,"OK","ERRO")</f>
        <v>OK</v>
      </c>
      <c r="X1098" s="5" t="str">
        <f aca="false">VLOOKUP(F1098,DIM_SERVICO!$A$2:$D$151,3,FALSE())</f>
        <v>Diagnóstico</v>
      </c>
    </row>
    <row r="1099" customFormat="false" ht="15" hidden="false" customHeight="false" outlineLevel="0" collapsed="false">
      <c r="A1099" s="6" t="n">
        <v>1098</v>
      </c>
      <c r="B1099" s="6" t="n">
        <v>1225</v>
      </c>
      <c r="C1099" s="6" t="n">
        <v>1462</v>
      </c>
      <c r="D1099" s="6" t="n">
        <v>858</v>
      </c>
      <c r="E1099" s="6" t="n">
        <v>160</v>
      </c>
      <c r="F1099" s="6" t="n">
        <v>107</v>
      </c>
      <c r="G1099" s="6" t="n">
        <v>1732</v>
      </c>
      <c r="H1099" s="6" t="n">
        <v>4</v>
      </c>
      <c r="I1099" s="7" t="n">
        <v>3528.24</v>
      </c>
      <c r="J1099" s="7" t="n">
        <v>550.68</v>
      </c>
      <c r="K1099" s="7" t="n">
        <v>5624.48</v>
      </c>
      <c r="L1099" s="7" t="n">
        <v>1854.4</v>
      </c>
      <c r="M1099" s="6" t="n">
        <v>9.1</v>
      </c>
      <c r="N1099" s="6" t="s">
        <v>27</v>
      </c>
      <c r="O1099" s="8" t="n">
        <f aca="false">VLOOKUP(F1099,DIM_SERVICO!$A$2:$D$151,4,FALSE())</f>
        <v>550.68</v>
      </c>
      <c r="P1099" s="8" t="n">
        <f aca="false">VLOOKUP(E1099,DIM_PECA!$A$2:$F$501,6,FALSE())</f>
        <v>1268.45</v>
      </c>
      <c r="Q1099" s="8" t="n">
        <f aca="false">VLOOKUP(E1099,DIM_PECA!$A$2:$F$501,5,FALSE())</f>
        <v>882.06</v>
      </c>
      <c r="R1099" s="8" t="n">
        <f aca="false">H1099*P1099</f>
        <v>5073.8</v>
      </c>
      <c r="S1099" s="8" t="n">
        <f aca="false">O1099*M1099</f>
        <v>5011.188</v>
      </c>
      <c r="T1099" s="8" t="n">
        <f aca="false">R1099+S1099</f>
        <v>10084.988</v>
      </c>
      <c r="U1099" s="8" t="n">
        <f aca="false">T1099-K1099</f>
        <v>4460.508</v>
      </c>
      <c r="V1099" s="8" t="n">
        <f aca="false">R1099+S1099-U1099</f>
        <v>5624.48</v>
      </c>
      <c r="W1099" s="9" t="str">
        <f aca="false">IF(ROUND(V1099-K1099,2)=0,"OK","ERRO")</f>
        <v>OK</v>
      </c>
      <c r="X1099" s="9" t="str">
        <f aca="false">VLOOKUP(F1099,DIM_SERVICO!$A$2:$D$151,3,FALSE())</f>
        <v>Diagnóstico</v>
      </c>
    </row>
    <row r="1100" customFormat="false" ht="15" hidden="false" customHeight="false" outlineLevel="0" collapsed="false">
      <c r="A1100" s="2" t="n">
        <v>1099</v>
      </c>
      <c r="B1100" s="2" t="n">
        <v>862</v>
      </c>
      <c r="C1100" s="2" t="n">
        <v>877</v>
      </c>
      <c r="D1100" s="2" t="n">
        <v>568</v>
      </c>
      <c r="E1100" s="2" t="n">
        <v>156</v>
      </c>
      <c r="F1100" s="2" t="n">
        <v>65</v>
      </c>
      <c r="G1100" s="2" t="n">
        <v>1104</v>
      </c>
      <c r="H1100" s="2" t="n">
        <v>2</v>
      </c>
      <c r="I1100" s="3" t="n">
        <v>150.22</v>
      </c>
      <c r="J1100" s="3" t="n">
        <v>1214.63</v>
      </c>
      <c r="K1100" s="3" t="n">
        <v>1421.17</v>
      </c>
      <c r="L1100" s="3" t="n">
        <v>720.65</v>
      </c>
      <c r="M1100" s="2" t="n">
        <v>11.9</v>
      </c>
      <c r="N1100" s="2" t="s">
        <v>26</v>
      </c>
      <c r="O1100" s="4" t="n">
        <f aca="false">VLOOKUP(F1100,DIM_SERVICO!$A$2:$D$151,4,FALSE())</f>
        <v>1214.63</v>
      </c>
      <c r="P1100" s="4" t="n">
        <f aca="false">VLOOKUP(E1100,DIM_PECA!$A$2:$F$501,6,FALSE())</f>
        <v>103.27</v>
      </c>
      <c r="Q1100" s="4" t="n">
        <f aca="false">VLOOKUP(E1100,DIM_PECA!$A$2:$F$501,5,FALSE())</f>
        <v>75.11</v>
      </c>
      <c r="R1100" s="4" t="n">
        <f aca="false">H1100*P1100</f>
        <v>206.54</v>
      </c>
      <c r="S1100" s="4" t="n">
        <f aca="false">O1100*M1100</f>
        <v>14454.097</v>
      </c>
      <c r="T1100" s="4" t="n">
        <f aca="false">R1100+S1100</f>
        <v>14660.637</v>
      </c>
      <c r="U1100" s="4" t="n">
        <f aca="false">T1100-K1100</f>
        <v>13239.467</v>
      </c>
      <c r="V1100" s="4" t="n">
        <f aca="false">R1100+S1100-U1100</f>
        <v>1421.17</v>
      </c>
      <c r="W1100" s="5" t="str">
        <f aca="false">IF(ROUND(V1100-K1100,2)=0,"OK","ERRO")</f>
        <v>OK</v>
      </c>
      <c r="X1100" s="5" t="str">
        <f aca="false">VLOOKUP(F1100,DIM_SERVICO!$A$2:$D$151,3,FALSE())</f>
        <v>Elétrica</v>
      </c>
    </row>
    <row r="1101" customFormat="false" ht="15" hidden="false" customHeight="false" outlineLevel="0" collapsed="false">
      <c r="A1101" s="6" t="n">
        <v>1100</v>
      </c>
      <c r="B1101" s="6" t="n">
        <v>179</v>
      </c>
      <c r="C1101" s="6" t="n">
        <v>446</v>
      </c>
      <c r="D1101" s="6" t="n">
        <v>1100</v>
      </c>
      <c r="E1101" s="6" t="n">
        <v>286</v>
      </c>
      <c r="F1101" s="6" t="n">
        <v>46</v>
      </c>
      <c r="G1101" s="6" t="n">
        <v>217</v>
      </c>
      <c r="H1101" s="6" t="n">
        <v>2</v>
      </c>
      <c r="I1101" s="7" t="n">
        <v>841.76</v>
      </c>
      <c r="J1101" s="7" t="n">
        <v>1282.78</v>
      </c>
      <c r="K1101" s="7" t="n">
        <v>2889.82</v>
      </c>
      <c r="L1101" s="7" t="n">
        <v>1366.78</v>
      </c>
      <c r="M1101" s="6" t="n">
        <v>6.7</v>
      </c>
      <c r="N1101" s="6" t="s">
        <v>25</v>
      </c>
      <c r="O1101" s="8" t="n">
        <f aca="false">VLOOKUP(F1101,DIM_SERVICO!$A$2:$D$151,4,FALSE())</f>
        <v>1282.78</v>
      </c>
      <c r="P1101" s="8" t="n">
        <f aca="false">VLOOKUP(E1101,DIM_PECA!$A$2:$F$501,6,FALSE())</f>
        <v>803.52</v>
      </c>
      <c r="Q1101" s="8" t="n">
        <f aca="false">VLOOKUP(E1101,DIM_PECA!$A$2:$F$501,5,FALSE())</f>
        <v>420.88</v>
      </c>
      <c r="R1101" s="8" t="n">
        <f aca="false">H1101*P1101</f>
        <v>1607.04</v>
      </c>
      <c r="S1101" s="8" t="n">
        <f aca="false">O1101*M1101</f>
        <v>8594.626</v>
      </c>
      <c r="T1101" s="8" t="n">
        <f aca="false">R1101+S1101</f>
        <v>10201.666</v>
      </c>
      <c r="U1101" s="8" t="n">
        <f aca="false">T1101-K1101</f>
        <v>7311.846</v>
      </c>
      <c r="V1101" s="8" t="n">
        <f aca="false">R1101+S1101-U1101</f>
        <v>2889.82</v>
      </c>
      <c r="W1101" s="9" t="str">
        <f aca="false">IF(ROUND(V1101-K1101,2)=0,"OK","ERRO")</f>
        <v>OK</v>
      </c>
      <c r="X1101" s="9" t="str">
        <f aca="false">VLOOKUP(F1101,DIM_SERVICO!$A$2:$D$151,3,FALSE())</f>
        <v>Revisão</v>
      </c>
    </row>
    <row r="1102" customFormat="false" ht="15" hidden="false" customHeight="false" outlineLevel="0" collapsed="false">
      <c r="A1102" s="2" t="n">
        <v>1101</v>
      </c>
      <c r="B1102" s="2" t="n">
        <v>104</v>
      </c>
      <c r="C1102" s="2" t="n">
        <v>1003</v>
      </c>
      <c r="D1102" s="2" t="n">
        <v>854</v>
      </c>
      <c r="E1102" s="2" t="n">
        <v>144</v>
      </c>
      <c r="F1102" s="2" t="n">
        <v>11</v>
      </c>
      <c r="G1102" s="2" t="n">
        <v>1596</v>
      </c>
      <c r="H1102" s="2" t="n">
        <v>3</v>
      </c>
      <c r="I1102" s="3" t="n">
        <v>224.22</v>
      </c>
      <c r="J1102" s="3" t="n">
        <v>2164.78</v>
      </c>
      <c r="K1102" s="3" t="n">
        <v>2631.28</v>
      </c>
      <c r="L1102" s="3" t="n">
        <v>1555.03</v>
      </c>
      <c r="M1102" s="2" t="n">
        <v>4.4</v>
      </c>
      <c r="N1102" s="2" t="s">
        <v>24</v>
      </c>
      <c r="O1102" s="4" t="n">
        <f aca="false">VLOOKUP(F1102,DIM_SERVICO!$A$2:$D$151,4,FALSE())</f>
        <v>2164.78</v>
      </c>
      <c r="P1102" s="4" t="n">
        <f aca="false">VLOOKUP(E1102,DIM_PECA!$A$2:$F$501,6,FALSE())</f>
        <v>155.5</v>
      </c>
      <c r="Q1102" s="4" t="n">
        <f aca="false">VLOOKUP(E1102,DIM_PECA!$A$2:$F$501,5,FALSE())</f>
        <v>74.74</v>
      </c>
      <c r="R1102" s="4" t="n">
        <f aca="false">H1102*P1102</f>
        <v>466.5</v>
      </c>
      <c r="S1102" s="4" t="n">
        <f aca="false">O1102*M1102</f>
        <v>9525.032</v>
      </c>
      <c r="T1102" s="4" t="n">
        <f aca="false">R1102+S1102</f>
        <v>9991.532</v>
      </c>
      <c r="U1102" s="4" t="n">
        <f aca="false">T1102-K1102</f>
        <v>7360.252</v>
      </c>
      <c r="V1102" s="4" t="n">
        <f aca="false">R1102+S1102-U1102</f>
        <v>2631.28</v>
      </c>
      <c r="W1102" s="5" t="str">
        <f aca="false">IF(ROUND(V1102-K1102,2)=0,"OK","ERRO")</f>
        <v>OK</v>
      </c>
      <c r="X1102" s="5" t="str">
        <f aca="false">VLOOKUP(F1102,DIM_SERVICO!$A$2:$D$151,3,FALSE())</f>
        <v>Freios</v>
      </c>
    </row>
    <row r="1103" customFormat="false" ht="15" hidden="false" customHeight="false" outlineLevel="0" collapsed="false">
      <c r="A1103" s="6" t="n">
        <v>1102</v>
      </c>
      <c r="B1103" s="6" t="n">
        <v>687</v>
      </c>
      <c r="C1103" s="6" t="n">
        <v>426</v>
      </c>
      <c r="D1103" s="6" t="n">
        <v>556</v>
      </c>
      <c r="E1103" s="6" t="n">
        <v>392</v>
      </c>
      <c r="F1103" s="6" t="n">
        <v>98</v>
      </c>
      <c r="G1103" s="6" t="n">
        <v>765</v>
      </c>
      <c r="H1103" s="6" t="n">
        <v>1</v>
      </c>
      <c r="I1103" s="7" t="n">
        <v>1064.49</v>
      </c>
      <c r="J1103" s="7" t="n">
        <v>951.01</v>
      </c>
      <c r="K1103" s="7" t="n">
        <v>2273.56</v>
      </c>
      <c r="L1103" s="7" t="n">
        <v>742.2</v>
      </c>
      <c r="M1103" s="6" t="n">
        <v>4.2</v>
      </c>
      <c r="N1103" s="6" t="s">
        <v>24</v>
      </c>
      <c r="O1103" s="8" t="n">
        <f aca="false">VLOOKUP(F1103,DIM_SERVICO!$A$2:$D$151,4,FALSE())</f>
        <v>951.01</v>
      </c>
      <c r="P1103" s="8" t="n">
        <f aca="false">VLOOKUP(E1103,DIM_PECA!$A$2:$F$501,6,FALSE())</f>
        <v>1442.21</v>
      </c>
      <c r="Q1103" s="8" t="n">
        <f aca="false">VLOOKUP(E1103,DIM_PECA!$A$2:$F$501,5,FALSE())</f>
        <v>1064.49</v>
      </c>
      <c r="R1103" s="8" t="n">
        <f aca="false">H1103*P1103</f>
        <v>1442.21</v>
      </c>
      <c r="S1103" s="8" t="n">
        <f aca="false">O1103*M1103</f>
        <v>3994.242</v>
      </c>
      <c r="T1103" s="8" t="n">
        <f aca="false">R1103+S1103</f>
        <v>5436.452</v>
      </c>
      <c r="U1103" s="8" t="n">
        <f aca="false">T1103-K1103</f>
        <v>3162.892</v>
      </c>
      <c r="V1103" s="8" t="n">
        <f aca="false">R1103+S1103-U1103</f>
        <v>2273.56</v>
      </c>
      <c r="W1103" s="9" t="str">
        <f aca="false">IF(ROUND(V1103-K1103,2)=0,"OK","ERRO")</f>
        <v>OK</v>
      </c>
      <c r="X1103" s="9" t="str">
        <f aca="false">VLOOKUP(F1103,DIM_SERVICO!$A$2:$D$151,3,FALSE())</f>
        <v>Revisão</v>
      </c>
    </row>
    <row r="1104" customFormat="false" ht="15" hidden="false" customHeight="false" outlineLevel="0" collapsed="false">
      <c r="A1104" s="2" t="n">
        <v>1103</v>
      </c>
      <c r="B1104" s="2" t="n">
        <v>860</v>
      </c>
      <c r="C1104" s="2" t="n">
        <v>857</v>
      </c>
      <c r="D1104" s="2" t="n">
        <v>1106</v>
      </c>
      <c r="E1104" s="2" t="n">
        <v>289</v>
      </c>
      <c r="F1104" s="2" t="n">
        <v>110</v>
      </c>
      <c r="G1104" s="2" t="n">
        <v>1413</v>
      </c>
      <c r="H1104" s="2" t="n">
        <v>2</v>
      </c>
      <c r="I1104" s="3" t="n">
        <v>871.44</v>
      </c>
      <c r="J1104" s="3" t="n">
        <v>587.35</v>
      </c>
      <c r="K1104" s="3" t="n">
        <v>2204.79</v>
      </c>
      <c r="L1104" s="3" t="n">
        <v>1070.17</v>
      </c>
      <c r="M1104" s="2" t="n">
        <v>3.9</v>
      </c>
      <c r="N1104" s="2" t="s">
        <v>24</v>
      </c>
      <c r="O1104" s="4" t="n">
        <f aca="false">VLOOKUP(F1104,DIM_SERVICO!$A$2:$D$151,4,FALSE())</f>
        <v>587.35</v>
      </c>
      <c r="P1104" s="4" t="n">
        <f aca="false">VLOOKUP(E1104,DIM_PECA!$A$2:$F$501,6,FALSE())</f>
        <v>866.74</v>
      </c>
      <c r="Q1104" s="4" t="n">
        <f aca="false">VLOOKUP(E1104,DIM_PECA!$A$2:$F$501,5,FALSE())</f>
        <v>435.72</v>
      </c>
      <c r="R1104" s="4" t="n">
        <f aca="false">H1104*P1104</f>
        <v>1733.48</v>
      </c>
      <c r="S1104" s="4" t="n">
        <f aca="false">O1104*M1104</f>
        <v>2290.665</v>
      </c>
      <c r="T1104" s="4" t="n">
        <f aca="false">R1104+S1104</f>
        <v>4024.145</v>
      </c>
      <c r="U1104" s="4" t="n">
        <f aca="false">T1104-K1104</f>
        <v>1819.355</v>
      </c>
      <c r="V1104" s="4" t="n">
        <f aca="false">R1104+S1104-U1104</f>
        <v>2204.79</v>
      </c>
      <c r="W1104" s="5" t="str">
        <f aca="false">IF(ROUND(V1104-K1104,2)=0,"OK","ERRO")</f>
        <v>OK</v>
      </c>
      <c r="X1104" s="5" t="str">
        <f aca="false">VLOOKUP(F1104,DIM_SERVICO!$A$2:$D$151,3,FALSE())</f>
        <v>Funilaria</v>
      </c>
    </row>
    <row r="1105" customFormat="false" ht="15" hidden="false" customHeight="false" outlineLevel="0" collapsed="false">
      <c r="A1105" s="6" t="n">
        <v>1104</v>
      </c>
      <c r="B1105" s="6" t="n">
        <v>1039</v>
      </c>
      <c r="C1105" s="6" t="n">
        <v>1008</v>
      </c>
      <c r="D1105" s="6" t="n">
        <v>141</v>
      </c>
      <c r="E1105" s="6" t="n">
        <v>117</v>
      </c>
      <c r="F1105" s="6" t="n">
        <v>79</v>
      </c>
      <c r="G1105" s="6" t="n">
        <v>178</v>
      </c>
      <c r="H1105" s="6" t="n">
        <v>2</v>
      </c>
      <c r="I1105" s="7" t="n">
        <v>1220.2</v>
      </c>
      <c r="J1105" s="7" t="n">
        <v>748.05</v>
      </c>
      <c r="K1105" s="7" t="n">
        <v>2945.69</v>
      </c>
      <c r="L1105" s="7" t="n">
        <v>1352.32</v>
      </c>
      <c r="M1105" s="6" t="n">
        <v>9.7</v>
      </c>
      <c r="N1105" s="6" t="s">
        <v>27</v>
      </c>
      <c r="O1105" s="8" t="n">
        <f aca="false">VLOOKUP(F1105,DIM_SERVICO!$A$2:$D$151,4,FALSE())</f>
        <v>748.05</v>
      </c>
      <c r="P1105" s="8" t="n">
        <f aca="false">VLOOKUP(E1105,DIM_PECA!$A$2:$F$501,6,FALSE())</f>
        <v>1098.82</v>
      </c>
      <c r="Q1105" s="8" t="n">
        <f aca="false">VLOOKUP(E1105,DIM_PECA!$A$2:$F$501,5,FALSE())</f>
        <v>610.1</v>
      </c>
      <c r="R1105" s="8" t="n">
        <f aca="false">H1105*P1105</f>
        <v>2197.64</v>
      </c>
      <c r="S1105" s="8" t="n">
        <f aca="false">O1105*M1105</f>
        <v>7256.085</v>
      </c>
      <c r="T1105" s="8" t="n">
        <f aca="false">R1105+S1105</f>
        <v>9453.725</v>
      </c>
      <c r="U1105" s="8" t="n">
        <f aca="false">T1105-K1105</f>
        <v>6508.035</v>
      </c>
      <c r="V1105" s="8" t="n">
        <f aca="false">R1105+S1105-U1105</f>
        <v>2945.69</v>
      </c>
      <c r="W1105" s="9" t="str">
        <f aca="false">IF(ROUND(V1105-K1105,2)=0,"OK","ERRO")</f>
        <v>OK</v>
      </c>
      <c r="X1105" s="9" t="str">
        <f aca="false">VLOOKUP(F1105,DIM_SERVICO!$A$2:$D$151,3,FALSE())</f>
        <v>Freios</v>
      </c>
    </row>
    <row r="1106" customFormat="false" ht="15" hidden="false" customHeight="false" outlineLevel="0" collapsed="false">
      <c r="A1106" s="2" t="n">
        <v>1105</v>
      </c>
      <c r="B1106" s="2" t="n">
        <v>798</v>
      </c>
      <c r="C1106" s="2" t="n">
        <v>1426</v>
      </c>
      <c r="D1106" s="2" t="n">
        <v>1148</v>
      </c>
      <c r="E1106" s="2" t="n">
        <v>128</v>
      </c>
      <c r="F1106" s="2" t="n">
        <v>68</v>
      </c>
      <c r="G1106" s="2" t="n">
        <v>1770</v>
      </c>
      <c r="H1106" s="2" t="n">
        <v>1</v>
      </c>
      <c r="I1106" s="3" t="n">
        <v>154.53</v>
      </c>
      <c r="J1106" s="3" t="n">
        <v>1974.4</v>
      </c>
      <c r="K1106" s="3" t="n">
        <v>2306.03</v>
      </c>
      <c r="L1106" s="3" t="n">
        <v>1293.06</v>
      </c>
      <c r="M1106" s="2" t="n">
        <v>5.8</v>
      </c>
      <c r="N1106" s="2" t="s">
        <v>26</v>
      </c>
      <c r="O1106" s="4" t="n">
        <f aca="false">VLOOKUP(F1106,DIM_SERVICO!$A$2:$D$151,4,FALSE())</f>
        <v>1974.4</v>
      </c>
      <c r="P1106" s="4" t="n">
        <f aca="false">VLOOKUP(E1106,DIM_PECA!$A$2:$F$501,6,FALSE())</f>
        <v>331.63</v>
      </c>
      <c r="Q1106" s="4" t="n">
        <f aca="false">VLOOKUP(E1106,DIM_PECA!$A$2:$F$501,5,FALSE())</f>
        <v>154.53</v>
      </c>
      <c r="R1106" s="4" t="n">
        <f aca="false">H1106*P1106</f>
        <v>331.63</v>
      </c>
      <c r="S1106" s="4" t="n">
        <f aca="false">O1106*M1106</f>
        <v>11451.52</v>
      </c>
      <c r="T1106" s="4" t="n">
        <f aca="false">R1106+S1106</f>
        <v>11783.15</v>
      </c>
      <c r="U1106" s="4" t="n">
        <f aca="false">T1106-K1106</f>
        <v>9477.12</v>
      </c>
      <c r="V1106" s="4" t="n">
        <f aca="false">R1106+S1106-U1106</f>
        <v>2306.03</v>
      </c>
      <c r="W1106" s="5" t="str">
        <f aca="false">IF(ROUND(V1106-K1106,2)=0,"OK","ERRO")</f>
        <v>OK</v>
      </c>
      <c r="X1106" s="5" t="str">
        <f aca="false">VLOOKUP(F1106,DIM_SERVICO!$A$2:$D$151,3,FALSE())</f>
        <v>Suspensão</v>
      </c>
    </row>
    <row r="1107" customFormat="false" ht="15" hidden="false" customHeight="false" outlineLevel="0" collapsed="false">
      <c r="A1107" s="6" t="n">
        <v>1106</v>
      </c>
      <c r="B1107" s="6" t="n">
        <v>792</v>
      </c>
      <c r="C1107" s="6" t="n">
        <v>278</v>
      </c>
      <c r="D1107" s="6" t="n">
        <v>1095</v>
      </c>
      <c r="E1107" s="6" t="n">
        <v>374</v>
      </c>
      <c r="F1107" s="6" t="n">
        <v>115</v>
      </c>
      <c r="G1107" s="6" t="n">
        <v>864</v>
      </c>
      <c r="H1107" s="6" t="n">
        <v>4</v>
      </c>
      <c r="I1107" s="7" t="n">
        <v>427.32</v>
      </c>
      <c r="J1107" s="7" t="n">
        <v>1374.43</v>
      </c>
      <c r="K1107" s="7" t="n">
        <v>2276.71</v>
      </c>
      <c r="L1107" s="7" t="n">
        <v>1252.39</v>
      </c>
      <c r="M1107" s="6" t="n">
        <v>11.4</v>
      </c>
      <c r="N1107" s="6" t="s">
        <v>24</v>
      </c>
      <c r="O1107" s="8" t="n">
        <f aca="false">VLOOKUP(F1107,DIM_SERVICO!$A$2:$D$151,4,FALSE())</f>
        <v>1374.43</v>
      </c>
      <c r="P1107" s="8" t="n">
        <f aca="false">VLOOKUP(E1107,DIM_PECA!$A$2:$F$501,6,FALSE())</f>
        <v>225.57</v>
      </c>
      <c r="Q1107" s="8" t="n">
        <f aca="false">VLOOKUP(E1107,DIM_PECA!$A$2:$F$501,5,FALSE())</f>
        <v>106.83</v>
      </c>
      <c r="R1107" s="8" t="n">
        <f aca="false">H1107*P1107</f>
        <v>902.28</v>
      </c>
      <c r="S1107" s="8" t="n">
        <f aca="false">O1107*M1107</f>
        <v>15668.502</v>
      </c>
      <c r="T1107" s="8" t="n">
        <f aca="false">R1107+S1107</f>
        <v>16570.782</v>
      </c>
      <c r="U1107" s="8" t="n">
        <f aca="false">T1107-K1107</f>
        <v>14294.072</v>
      </c>
      <c r="V1107" s="8" t="n">
        <f aca="false">R1107+S1107-U1107</f>
        <v>2276.71</v>
      </c>
      <c r="W1107" s="9" t="str">
        <f aca="false">IF(ROUND(V1107-K1107,2)=0,"OK","ERRO")</f>
        <v>OK</v>
      </c>
      <c r="X1107" s="9" t="str">
        <f aca="false">VLOOKUP(F1107,DIM_SERVICO!$A$2:$D$151,3,FALSE())</f>
        <v>Suspensão</v>
      </c>
    </row>
    <row r="1108" customFormat="false" ht="15" hidden="false" customHeight="false" outlineLevel="0" collapsed="false">
      <c r="A1108" s="2" t="n">
        <v>1107</v>
      </c>
      <c r="B1108" s="2" t="n">
        <v>705</v>
      </c>
      <c r="C1108" s="2" t="n">
        <v>88</v>
      </c>
      <c r="D1108" s="2" t="n">
        <v>774</v>
      </c>
      <c r="E1108" s="2" t="n">
        <v>419</v>
      </c>
      <c r="F1108" s="2" t="n">
        <v>128</v>
      </c>
      <c r="G1108" s="2" t="n">
        <v>1294</v>
      </c>
      <c r="H1108" s="2" t="n">
        <v>1</v>
      </c>
      <c r="I1108" s="3" t="n">
        <v>80.79</v>
      </c>
      <c r="J1108" s="3" t="n">
        <v>1139.25</v>
      </c>
      <c r="K1108" s="3" t="n">
        <v>1183.09</v>
      </c>
      <c r="L1108" s="3" t="n">
        <v>649.72</v>
      </c>
      <c r="M1108" s="2" t="n">
        <v>3.2</v>
      </c>
      <c r="N1108" s="2" t="s">
        <v>25</v>
      </c>
      <c r="O1108" s="4" t="n">
        <f aca="false">VLOOKUP(F1108,DIM_SERVICO!$A$2:$D$151,4,FALSE())</f>
        <v>1139.25</v>
      </c>
      <c r="P1108" s="4" t="n">
        <f aca="false">VLOOKUP(E1108,DIM_PECA!$A$2:$F$501,6,FALSE())</f>
        <v>175.3</v>
      </c>
      <c r="Q1108" s="4" t="n">
        <f aca="false">VLOOKUP(E1108,DIM_PECA!$A$2:$F$501,5,FALSE())</f>
        <v>80.79</v>
      </c>
      <c r="R1108" s="4" t="n">
        <f aca="false">H1108*P1108</f>
        <v>175.3</v>
      </c>
      <c r="S1108" s="4" t="n">
        <f aca="false">O1108*M1108</f>
        <v>3645.6</v>
      </c>
      <c r="T1108" s="4" t="n">
        <f aca="false">R1108+S1108</f>
        <v>3820.9</v>
      </c>
      <c r="U1108" s="4" t="n">
        <f aca="false">T1108-K1108</f>
        <v>2637.81</v>
      </c>
      <c r="V1108" s="4" t="n">
        <f aca="false">R1108+S1108-U1108</f>
        <v>1183.09</v>
      </c>
      <c r="W1108" s="5" t="str">
        <f aca="false">IF(ROUND(V1108-K1108,2)=0,"OK","ERRO")</f>
        <v>OK</v>
      </c>
      <c r="X1108" s="5" t="str">
        <f aca="false">VLOOKUP(F1108,DIM_SERVICO!$A$2:$D$151,3,FALSE())</f>
        <v>Revisão</v>
      </c>
    </row>
    <row r="1109" customFormat="false" ht="15" hidden="false" customHeight="false" outlineLevel="0" collapsed="false">
      <c r="A1109" s="6" t="n">
        <v>1108</v>
      </c>
      <c r="B1109" s="6" t="n">
        <v>1402</v>
      </c>
      <c r="C1109" s="6" t="n">
        <v>770</v>
      </c>
      <c r="D1109" s="6" t="n">
        <v>806</v>
      </c>
      <c r="E1109" s="6" t="n">
        <v>438</v>
      </c>
      <c r="F1109" s="6" t="n">
        <v>125</v>
      </c>
      <c r="G1109" s="6" t="n">
        <v>931</v>
      </c>
      <c r="H1109" s="6" t="n">
        <v>3</v>
      </c>
      <c r="I1109" s="7" t="n">
        <v>3357.84</v>
      </c>
      <c r="J1109" s="7" t="n">
        <v>988.93</v>
      </c>
      <c r="K1109" s="7" t="n">
        <v>7223.02</v>
      </c>
      <c r="L1109" s="7" t="n">
        <v>3351.55</v>
      </c>
      <c r="M1109" s="6" t="n">
        <v>10.4</v>
      </c>
      <c r="N1109" s="6" t="s">
        <v>24</v>
      </c>
      <c r="O1109" s="8" t="n">
        <f aca="false">VLOOKUP(F1109,DIM_SERVICO!$A$2:$D$151,4,FALSE())</f>
        <v>988.93</v>
      </c>
      <c r="P1109" s="8" t="n">
        <f aca="false">VLOOKUP(E1109,DIM_PECA!$A$2:$F$501,6,FALSE())</f>
        <v>2078.03</v>
      </c>
      <c r="Q1109" s="8" t="n">
        <f aca="false">VLOOKUP(E1109,DIM_PECA!$A$2:$F$501,5,FALSE())</f>
        <v>1119.28</v>
      </c>
      <c r="R1109" s="8" t="n">
        <f aca="false">H1109*P1109</f>
        <v>6234.09</v>
      </c>
      <c r="S1109" s="8" t="n">
        <f aca="false">O1109*M1109</f>
        <v>10284.872</v>
      </c>
      <c r="T1109" s="8" t="n">
        <f aca="false">R1109+S1109</f>
        <v>16518.962</v>
      </c>
      <c r="U1109" s="8" t="n">
        <f aca="false">T1109-K1109</f>
        <v>9295.942</v>
      </c>
      <c r="V1109" s="8" t="n">
        <f aca="false">R1109+S1109-U1109</f>
        <v>7223.02</v>
      </c>
      <c r="W1109" s="9" t="str">
        <f aca="false">IF(ROUND(V1109-K1109,2)=0,"OK","ERRO")</f>
        <v>OK</v>
      </c>
      <c r="X1109" s="9" t="str">
        <f aca="false">VLOOKUP(F1109,DIM_SERVICO!$A$2:$D$151,3,FALSE())</f>
        <v>Suspensão</v>
      </c>
    </row>
    <row r="1110" customFormat="false" ht="15" hidden="false" customHeight="false" outlineLevel="0" collapsed="false">
      <c r="A1110" s="2" t="n">
        <v>1109</v>
      </c>
      <c r="B1110" s="2" t="n">
        <v>212</v>
      </c>
      <c r="C1110" s="2" t="n">
        <v>1401</v>
      </c>
      <c r="D1110" s="2" t="n">
        <v>1000</v>
      </c>
      <c r="E1110" s="2" t="n">
        <v>129</v>
      </c>
      <c r="F1110" s="2" t="n">
        <v>52</v>
      </c>
      <c r="G1110" s="2" t="n">
        <v>1199</v>
      </c>
      <c r="H1110" s="2" t="n">
        <v>4</v>
      </c>
      <c r="I1110" s="3" t="n">
        <v>721.44</v>
      </c>
      <c r="J1110" s="3" t="n">
        <v>188.62</v>
      </c>
      <c r="K1110" s="3" t="n">
        <v>1502.54</v>
      </c>
      <c r="L1110" s="3" t="n">
        <v>686.81</v>
      </c>
      <c r="M1110" s="2" t="n">
        <v>1.8</v>
      </c>
      <c r="N1110" s="2" t="s">
        <v>26</v>
      </c>
      <c r="O1110" s="4" t="n">
        <f aca="false">VLOOKUP(F1110,DIM_SERVICO!$A$2:$D$151,4,FALSE())</f>
        <v>188.62</v>
      </c>
      <c r="P1110" s="4" t="n">
        <f aca="false">VLOOKUP(E1110,DIM_PECA!$A$2:$F$501,6,FALSE())</f>
        <v>328.48</v>
      </c>
      <c r="Q1110" s="4" t="n">
        <f aca="false">VLOOKUP(E1110,DIM_PECA!$A$2:$F$501,5,FALSE())</f>
        <v>180.36</v>
      </c>
      <c r="R1110" s="4" t="n">
        <f aca="false">H1110*P1110</f>
        <v>1313.92</v>
      </c>
      <c r="S1110" s="4" t="n">
        <f aca="false">O1110*M1110</f>
        <v>339.516</v>
      </c>
      <c r="T1110" s="4" t="n">
        <f aca="false">R1110+S1110</f>
        <v>1653.436</v>
      </c>
      <c r="U1110" s="4" t="n">
        <f aca="false">T1110-K1110</f>
        <v>150.896</v>
      </c>
      <c r="V1110" s="4" t="n">
        <f aca="false">R1110+S1110-U1110</f>
        <v>1502.54</v>
      </c>
      <c r="W1110" s="5" t="str">
        <f aca="false">IF(ROUND(V1110-K1110,2)=0,"OK","ERRO")</f>
        <v>OK</v>
      </c>
      <c r="X1110" s="5" t="str">
        <f aca="false">VLOOKUP(F1110,DIM_SERVICO!$A$2:$D$151,3,FALSE())</f>
        <v>Funilaria</v>
      </c>
    </row>
    <row r="1111" customFormat="false" ht="15" hidden="false" customHeight="false" outlineLevel="0" collapsed="false">
      <c r="A1111" s="6" t="n">
        <v>1110</v>
      </c>
      <c r="B1111" s="6" t="n">
        <v>1319</v>
      </c>
      <c r="C1111" s="6" t="n">
        <v>381</v>
      </c>
      <c r="D1111" s="6" t="n">
        <v>101</v>
      </c>
      <c r="E1111" s="6" t="n">
        <v>462</v>
      </c>
      <c r="F1111" s="6" t="n">
        <v>4</v>
      </c>
      <c r="G1111" s="6" t="n">
        <v>447</v>
      </c>
      <c r="H1111" s="6" t="n">
        <v>3</v>
      </c>
      <c r="I1111" s="7" t="n">
        <v>2730.24</v>
      </c>
      <c r="J1111" s="7" t="n">
        <v>1007.95</v>
      </c>
      <c r="K1111" s="7" t="n">
        <v>6544.75</v>
      </c>
      <c r="L1111" s="7" t="n">
        <v>3336.28</v>
      </c>
      <c r="M1111" s="6" t="n">
        <v>4.4</v>
      </c>
      <c r="N1111" s="6" t="s">
        <v>24</v>
      </c>
      <c r="O1111" s="8" t="n">
        <f aca="false">VLOOKUP(F1111,DIM_SERVICO!$A$2:$D$151,4,FALSE())</f>
        <v>1007.95</v>
      </c>
      <c r="P1111" s="8" t="n">
        <f aca="false">VLOOKUP(E1111,DIM_PECA!$A$2:$F$501,6,FALSE())</f>
        <v>1845.6</v>
      </c>
      <c r="Q1111" s="8" t="n">
        <f aca="false">VLOOKUP(E1111,DIM_PECA!$A$2:$F$501,5,FALSE())</f>
        <v>910.08</v>
      </c>
      <c r="R1111" s="8" t="n">
        <f aca="false">H1111*P1111</f>
        <v>5536.8</v>
      </c>
      <c r="S1111" s="8" t="n">
        <f aca="false">O1111*M1111</f>
        <v>4434.98</v>
      </c>
      <c r="T1111" s="8" t="n">
        <f aca="false">R1111+S1111</f>
        <v>9971.78</v>
      </c>
      <c r="U1111" s="8" t="n">
        <f aca="false">T1111-K1111</f>
        <v>3427.03</v>
      </c>
      <c r="V1111" s="8" t="n">
        <f aca="false">R1111+S1111-U1111</f>
        <v>6544.75</v>
      </c>
      <c r="W1111" s="9" t="str">
        <f aca="false">IF(ROUND(V1111-K1111,2)=0,"OK","ERRO")</f>
        <v>OK</v>
      </c>
      <c r="X1111" s="9" t="str">
        <f aca="false">VLOOKUP(F1111,DIM_SERVICO!$A$2:$D$151,3,FALSE())</f>
        <v>Revisão</v>
      </c>
    </row>
    <row r="1112" customFormat="false" ht="15" hidden="false" customHeight="false" outlineLevel="0" collapsed="false">
      <c r="A1112" s="2" t="n">
        <v>1111</v>
      </c>
      <c r="B1112" s="2" t="n">
        <v>538</v>
      </c>
      <c r="C1112" s="2" t="n">
        <v>1047</v>
      </c>
      <c r="D1112" s="2" t="n">
        <v>338</v>
      </c>
      <c r="E1112" s="2" t="n">
        <v>245</v>
      </c>
      <c r="F1112" s="2" t="n">
        <v>30</v>
      </c>
      <c r="G1112" s="2" t="n">
        <v>1808</v>
      </c>
      <c r="H1112" s="2" t="n">
        <v>4</v>
      </c>
      <c r="I1112" s="3" t="n">
        <v>566.08</v>
      </c>
      <c r="J1112" s="3" t="n">
        <v>986.98</v>
      </c>
      <c r="K1112" s="3" t="n">
        <v>2143.06</v>
      </c>
      <c r="L1112" s="3" t="n">
        <v>1095.83</v>
      </c>
      <c r="M1112" s="2" t="n">
        <v>9.9</v>
      </c>
      <c r="N1112" s="2" t="s">
        <v>24</v>
      </c>
      <c r="O1112" s="4" t="n">
        <f aca="false">VLOOKUP(F1112,DIM_SERVICO!$A$2:$D$151,4,FALSE())</f>
        <v>986.98</v>
      </c>
      <c r="P1112" s="4" t="n">
        <f aca="false">VLOOKUP(E1112,DIM_PECA!$A$2:$F$501,6,FALSE())</f>
        <v>289.02</v>
      </c>
      <c r="Q1112" s="4" t="n">
        <f aca="false">VLOOKUP(E1112,DIM_PECA!$A$2:$F$501,5,FALSE())</f>
        <v>141.52</v>
      </c>
      <c r="R1112" s="4" t="n">
        <f aca="false">H1112*P1112</f>
        <v>1156.08</v>
      </c>
      <c r="S1112" s="4" t="n">
        <f aca="false">O1112*M1112</f>
        <v>9771.102</v>
      </c>
      <c r="T1112" s="4" t="n">
        <f aca="false">R1112+S1112</f>
        <v>10927.182</v>
      </c>
      <c r="U1112" s="4" t="n">
        <f aca="false">T1112-K1112</f>
        <v>8784.122</v>
      </c>
      <c r="V1112" s="4" t="n">
        <f aca="false">R1112+S1112-U1112</f>
        <v>2143.06</v>
      </c>
      <c r="W1112" s="5" t="str">
        <f aca="false">IF(ROUND(V1112-K1112,2)=0,"OK","ERRO")</f>
        <v>OK</v>
      </c>
      <c r="X1112" s="5" t="str">
        <f aca="false">VLOOKUP(F1112,DIM_SERVICO!$A$2:$D$151,3,FALSE())</f>
        <v>Freios</v>
      </c>
    </row>
    <row r="1113" customFormat="false" ht="15" hidden="false" customHeight="false" outlineLevel="0" collapsed="false">
      <c r="A1113" s="6" t="n">
        <v>1112</v>
      </c>
      <c r="B1113" s="6" t="n">
        <v>714</v>
      </c>
      <c r="C1113" s="6" t="n">
        <v>109</v>
      </c>
      <c r="D1113" s="6" t="n">
        <v>394</v>
      </c>
      <c r="E1113" s="6" t="n">
        <v>41</v>
      </c>
      <c r="F1113" s="6" t="n">
        <v>3</v>
      </c>
      <c r="G1113" s="6" t="n">
        <v>896</v>
      </c>
      <c r="H1113" s="6" t="n">
        <v>4</v>
      </c>
      <c r="I1113" s="7" t="n">
        <v>4772.72</v>
      </c>
      <c r="J1113" s="7" t="n">
        <v>274.77</v>
      </c>
      <c r="K1113" s="7" t="n">
        <v>6799.56</v>
      </c>
      <c r="L1113" s="7" t="n">
        <v>1915.2</v>
      </c>
      <c r="M1113" s="6" t="n">
        <v>8.6</v>
      </c>
      <c r="N1113" s="6" t="s">
        <v>24</v>
      </c>
      <c r="O1113" s="8" t="n">
        <f aca="false">VLOOKUP(F1113,DIM_SERVICO!$A$2:$D$151,4,FALSE())</f>
        <v>274.77</v>
      </c>
      <c r="P1113" s="8" t="n">
        <f aca="false">VLOOKUP(E1113,DIM_PECA!$A$2:$F$501,6,FALSE())</f>
        <v>1665.89</v>
      </c>
      <c r="Q1113" s="8" t="n">
        <f aca="false">VLOOKUP(E1113,DIM_PECA!$A$2:$F$501,5,FALSE())</f>
        <v>1193.18</v>
      </c>
      <c r="R1113" s="8" t="n">
        <f aca="false">H1113*P1113</f>
        <v>6663.56</v>
      </c>
      <c r="S1113" s="8" t="n">
        <f aca="false">O1113*M1113</f>
        <v>2363.022</v>
      </c>
      <c r="T1113" s="8" t="n">
        <f aca="false">R1113+S1113</f>
        <v>9026.582</v>
      </c>
      <c r="U1113" s="8" t="n">
        <f aca="false">T1113-K1113</f>
        <v>2227.022</v>
      </c>
      <c r="V1113" s="8" t="n">
        <f aca="false">R1113+S1113-U1113</f>
        <v>6799.56</v>
      </c>
      <c r="W1113" s="9" t="str">
        <f aca="false">IF(ROUND(V1113-K1113,2)=0,"OK","ERRO")</f>
        <v>OK</v>
      </c>
      <c r="X1113" s="9" t="str">
        <f aca="false">VLOOKUP(F1113,DIM_SERVICO!$A$2:$D$151,3,FALSE())</f>
        <v>Pintura</v>
      </c>
    </row>
    <row r="1114" customFormat="false" ht="15" hidden="false" customHeight="false" outlineLevel="0" collapsed="false">
      <c r="A1114" s="2" t="n">
        <v>1113</v>
      </c>
      <c r="B1114" s="2" t="n">
        <v>115</v>
      </c>
      <c r="C1114" s="2" t="n">
        <v>198</v>
      </c>
      <c r="D1114" s="2" t="n">
        <v>900</v>
      </c>
      <c r="E1114" s="2" t="n">
        <v>478</v>
      </c>
      <c r="F1114" s="2" t="n">
        <v>69</v>
      </c>
      <c r="G1114" s="2" t="n">
        <v>973</v>
      </c>
      <c r="H1114" s="2" t="n">
        <v>4</v>
      </c>
      <c r="I1114" s="3" t="n">
        <v>278.04</v>
      </c>
      <c r="J1114" s="3" t="n">
        <v>905.47</v>
      </c>
      <c r="K1114" s="3" t="n">
        <v>1297.85</v>
      </c>
      <c r="L1114" s="3" t="n">
        <v>538.83</v>
      </c>
      <c r="M1114" s="2" t="n">
        <v>5.9</v>
      </c>
      <c r="N1114" s="2" t="s">
        <v>25</v>
      </c>
      <c r="O1114" s="4" t="n">
        <f aca="false">VLOOKUP(F1114,DIM_SERVICO!$A$2:$D$151,4,FALSE())</f>
        <v>905.47</v>
      </c>
      <c r="P1114" s="4" t="n">
        <f aca="false">VLOOKUP(E1114,DIM_PECA!$A$2:$F$501,6,FALSE())</f>
        <v>126.31</v>
      </c>
      <c r="Q1114" s="4" t="n">
        <f aca="false">VLOOKUP(E1114,DIM_PECA!$A$2:$F$501,5,FALSE())</f>
        <v>69.51</v>
      </c>
      <c r="R1114" s="4" t="n">
        <f aca="false">H1114*P1114</f>
        <v>505.24</v>
      </c>
      <c r="S1114" s="4" t="n">
        <f aca="false">O1114*M1114</f>
        <v>5342.273</v>
      </c>
      <c r="T1114" s="4" t="n">
        <f aca="false">R1114+S1114</f>
        <v>5847.513</v>
      </c>
      <c r="U1114" s="4" t="n">
        <f aca="false">T1114-K1114</f>
        <v>4549.663</v>
      </c>
      <c r="V1114" s="4" t="n">
        <f aca="false">R1114+S1114-U1114</f>
        <v>1297.85</v>
      </c>
      <c r="W1114" s="5" t="str">
        <f aca="false">IF(ROUND(V1114-K1114,2)=0,"OK","ERRO")</f>
        <v>OK</v>
      </c>
      <c r="X1114" s="5" t="str">
        <f aca="false">VLOOKUP(F1114,DIM_SERVICO!$A$2:$D$151,3,FALSE())</f>
        <v>Motor</v>
      </c>
    </row>
    <row r="1115" customFormat="false" ht="15" hidden="false" customHeight="false" outlineLevel="0" collapsed="false">
      <c r="A1115" s="6" t="n">
        <v>1114</v>
      </c>
      <c r="B1115" s="6" t="n">
        <v>196</v>
      </c>
      <c r="C1115" s="6" t="n">
        <v>1125</v>
      </c>
      <c r="D1115" s="6" t="n">
        <v>920</v>
      </c>
      <c r="E1115" s="6" t="n">
        <v>156</v>
      </c>
      <c r="F1115" s="6" t="n">
        <v>90</v>
      </c>
      <c r="G1115" s="6" t="n">
        <v>1749</v>
      </c>
      <c r="H1115" s="6" t="n">
        <v>4</v>
      </c>
      <c r="I1115" s="7" t="n">
        <v>300.44</v>
      </c>
      <c r="J1115" s="7" t="n">
        <v>702.32</v>
      </c>
      <c r="K1115" s="7" t="n">
        <v>1059.63</v>
      </c>
      <c r="L1115" s="7" t="n">
        <v>410.49</v>
      </c>
      <c r="M1115" s="6" t="n">
        <v>5.9</v>
      </c>
      <c r="N1115" s="6" t="s">
        <v>24</v>
      </c>
      <c r="O1115" s="8" t="n">
        <f aca="false">VLOOKUP(F1115,DIM_SERVICO!$A$2:$D$151,4,FALSE())</f>
        <v>702.32</v>
      </c>
      <c r="P1115" s="8" t="n">
        <f aca="false">VLOOKUP(E1115,DIM_PECA!$A$2:$F$501,6,FALSE())</f>
        <v>103.27</v>
      </c>
      <c r="Q1115" s="8" t="n">
        <f aca="false">VLOOKUP(E1115,DIM_PECA!$A$2:$F$501,5,FALSE())</f>
        <v>75.11</v>
      </c>
      <c r="R1115" s="8" t="n">
        <f aca="false">H1115*P1115</f>
        <v>413.08</v>
      </c>
      <c r="S1115" s="8" t="n">
        <f aca="false">O1115*M1115</f>
        <v>4143.688</v>
      </c>
      <c r="T1115" s="8" t="n">
        <f aca="false">R1115+S1115</f>
        <v>4556.768</v>
      </c>
      <c r="U1115" s="8" t="n">
        <f aca="false">T1115-K1115</f>
        <v>3497.138</v>
      </c>
      <c r="V1115" s="8" t="n">
        <f aca="false">R1115+S1115-U1115</f>
        <v>1059.63</v>
      </c>
      <c r="W1115" s="9" t="str">
        <f aca="false">IF(ROUND(V1115-K1115,2)=0,"OK","ERRO")</f>
        <v>OK</v>
      </c>
      <c r="X1115" s="9" t="str">
        <f aca="false">VLOOKUP(F1115,DIM_SERVICO!$A$2:$D$151,3,FALSE())</f>
        <v>Diagnóstico</v>
      </c>
    </row>
    <row r="1116" customFormat="false" ht="15" hidden="false" customHeight="false" outlineLevel="0" collapsed="false">
      <c r="A1116" s="2" t="n">
        <v>1115</v>
      </c>
      <c r="B1116" s="2" t="n">
        <v>372</v>
      </c>
      <c r="C1116" s="2" t="n">
        <v>1190</v>
      </c>
      <c r="D1116" s="2" t="n">
        <v>863</v>
      </c>
      <c r="E1116" s="2" t="n">
        <v>44</v>
      </c>
      <c r="F1116" s="2" t="n">
        <v>26</v>
      </c>
      <c r="G1116" s="2" t="n">
        <v>599</v>
      </c>
      <c r="H1116" s="2" t="n">
        <v>1</v>
      </c>
      <c r="I1116" s="3" t="n">
        <v>540.9</v>
      </c>
      <c r="J1116" s="3" t="n">
        <v>168.44</v>
      </c>
      <c r="K1116" s="3" t="n">
        <v>917.25</v>
      </c>
      <c r="L1116" s="3" t="n">
        <v>286.49</v>
      </c>
      <c r="M1116" s="2" t="n">
        <v>10.2</v>
      </c>
      <c r="N1116" s="2" t="s">
        <v>25</v>
      </c>
      <c r="O1116" s="4" t="n">
        <f aca="false">VLOOKUP(F1116,DIM_SERVICO!$A$2:$D$151,4,FALSE())</f>
        <v>168.44</v>
      </c>
      <c r="P1116" s="4" t="n">
        <f aca="false">VLOOKUP(E1116,DIM_PECA!$A$2:$F$501,6,FALSE())</f>
        <v>767.53</v>
      </c>
      <c r="Q1116" s="4" t="n">
        <f aca="false">VLOOKUP(E1116,DIM_PECA!$A$2:$F$501,5,FALSE())</f>
        <v>540.9</v>
      </c>
      <c r="R1116" s="4" t="n">
        <f aca="false">H1116*P1116</f>
        <v>767.53</v>
      </c>
      <c r="S1116" s="4" t="n">
        <f aca="false">O1116*M1116</f>
        <v>1718.088</v>
      </c>
      <c r="T1116" s="4" t="n">
        <f aca="false">R1116+S1116</f>
        <v>2485.618</v>
      </c>
      <c r="U1116" s="4" t="n">
        <f aca="false">T1116-K1116</f>
        <v>1568.368</v>
      </c>
      <c r="V1116" s="4" t="n">
        <f aca="false">R1116+S1116-U1116</f>
        <v>917.25</v>
      </c>
      <c r="W1116" s="5" t="str">
        <f aca="false">IF(ROUND(V1116-K1116,2)=0,"OK","ERRO")</f>
        <v>OK</v>
      </c>
      <c r="X1116" s="5" t="str">
        <f aca="false">VLOOKUP(F1116,DIM_SERVICO!$A$2:$D$151,3,FALSE())</f>
        <v>Suspensão</v>
      </c>
    </row>
    <row r="1117" customFormat="false" ht="15" hidden="false" customHeight="false" outlineLevel="0" collapsed="false">
      <c r="A1117" s="6" t="n">
        <v>1116</v>
      </c>
      <c r="B1117" s="6" t="n">
        <v>526</v>
      </c>
      <c r="C1117" s="6" t="n">
        <v>854</v>
      </c>
      <c r="D1117" s="6" t="n">
        <v>120</v>
      </c>
      <c r="E1117" s="6" t="n">
        <v>332</v>
      </c>
      <c r="F1117" s="6" t="n">
        <v>14</v>
      </c>
      <c r="G1117" s="6" t="n">
        <v>770</v>
      </c>
      <c r="H1117" s="6" t="n">
        <v>2</v>
      </c>
      <c r="I1117" s="7" t="n">
        <v>541.34</v>
      </c>
      <c r="J1117" s="7" t="n">
        <v>1939.75</v>
      </c>
      <c r="K1117" s="7" t="n">
        <v>2755.5</v>
      </c>
      <c r="L1117" s="7" t="n">
        <v>1447.84</v>
      </c>
      <c r="M1117" s="6" t="n">
        <v>7.1</v>
      </c>
      <c r="N1117" s="6" t="s">
        <v>27</v>
      </c>
      <c r="O1117" s="8" t="n">
        <f aca="false">VLOOKUP(F1117,DIM_SERVICO!$A$2:$D$151,4,FALSE())</f>
        <v>1939.75</v>
      </c>
      <c r="P1117" s="8" t="n">
        <f aca="false">VLOOKUP(E1117,DIM_PECA!$A$2:$F$501,6,FALSE())</f>
        <v>560.96</v>
      </c>
      <c r="Q1117" s="8" t="n">
        <f aca="false">VLOOKUP(E1117,DIM_PECA!$A$2:$F$501,5,FALSE())</f>
        <v>270.67</v>
      </c>
      <c r="R1117" s="8" t="n">
        <f aca="false">H1117*P1117</f>
        <v>1121.92</v>
      </c>
      <c r="S1117" s="8" t="n">
        <f aca="false">O1117*M1117</f>
        <v>13772.225</v>
      </c>
      <c r="T1117" s="8" t="n">
        <f aca="false">R1117+S1117</f>
        <v>14894.145</v>
      </c>
      <c r="U1117" s="8" t="n">
        <f aca="false">T1117-K1117</f>
        <v>12138.645</v>
      </c>
      <c r="V1117" s="8" t="n">
        <f aca="false">R1117+S1117-U1117</f>
        <v>2755.5</v>
      </c>
      <c r="W1117" s="9" t="str">
        <f aca="false">IF(ROUND(V1117-K1117,2)=0,"OK","ERRO")</f>
        <v>OK</v>
      </c>
      <c r="X1117" s="9" t="str">
        <f aca="false">VLOOKUP(F1117,DIM_SERVICO!$A$2:$D$151,3,FALSE())</f>
        <v>Funilaria</v>
      </c>
    </row>
    <row r="1118" customFormat="false" ht="15" hidden="false" customHeight="false" outlineLevel="0" collapsed="false">
      <c r="A1118" s="2" t="n">
        <v>1117</v>
      </c>
      <c r="B1118" s="2" t="n">
        <v>1251</v>
      </c>
      <c r="C1118" s="2" t="n">
        <v>726</v>
      </c>
      <c r="D1118" s="2" t="n">
        <v>173</v>
      </c>
      <c r="E1118" s="2" t="n">
        <v>11</v>
      </c>
      <c r="F1118" s="2" t="n">
        <v>138</v>
      </c>
      <c r="G1118" s="2" t="n">
        <v>1762</v>
      </c>
      <c r="H1118" s="2" t="n">
        <v>2</v>
      </c>
      <c r="I1118" s="3" t="n">
        <v>1162.96</v>
      </c>
      <c r="J1118" s="3" t="n">
        <v>836.68</v>
      </c>
      <c r="K1118" s="3" t="n">
        <v>2753.04</v>
      </c>
      <c r="L1118" s="3" t="n">
        <v>1169.74</v>
      </c>
      <c r="M1118" s="2" t="n">
        <v>6.4</v>
      </c>
      <c r="N1118" s="2" t="s">
        <v>27</v>
      </c>
      <c r="O1118" s="4" t="n">
        <f aca="false">VLOOKUP(F1118,DIM_SERVICO!$A$2:$D$151,4,FALSE())</f>
        <v>836.68</v>
      </c>
      <c r="P1118" s="4" t="n">
        <f aca="false">VLOOKUP(E1118,DIM_PECA!$A$2:$F$501,6,FALSE())</f>
        <v>958.18</v>
      </c>
      <c r="Q1118" s="4" t="n">
        <f aca="false">VLOOKUP(E1118,DIM_PECA!$A$2:$F$501,5,FALSE())</f>
        <v>581.48</v>
      </c>
      <c r="R1118" s="4" t="n">
        <f aca="false">H1118*P1118</f>
        <v>1916.36</v>
      </c>
      <c r="S1118" s="4" t="n">
        <f aca="false">O1118*M1118</f>
        <v>5354.752</v>
      </c>
      <c r="T1118" s="4" t="n">
        <f aca="false">R1118+S1118</f>
        <v>7271.112</v>
      </c>
      <c r="U1118" s="4" t="n">
        <f aca="false">T1118-K1118</f>
        <v>4518.072</v>
      </c>
      <c r="V1118" s="4" t="n">
        <f aca="false">R1118+S1118-U1118</f>
        <v>2753.04</v>
      </c>
      <c r="W1118" s="5" t="str">
        <f aca="false">IF(ROUND(V1118-K1118,2)=0,"OK","ERRO")</f>
        <v>OK</v>
      </c>
      <c r="X1118" s="5" t="str">
        <f aca="false">VLOOKUP(F1118,DIM_SERVICO!$A$2:$D$151,3,FALSE())</f>
        <v>Funilaria</v>
      </c>
    </row>
    <row r="1119" customFormat="false" ht="15" hidden="false" customHeight="false" outlineLevel="0" collapsed="false">
      <c r="A1119" s="6" t="n">
        <v>1118</v>
      </c>
      <c r="B1119" s="6" t="n">
        <v>520</v>
      </c>
      <c r="C1119" s="6" t="n">
        <v>815</v>
      </c>
      <c r="D1119" s="6" t="n">
        <v>724</v>
      </c>
      <c r="E1119" s="6" t="n">
        <v>267</v>
      </c>
      <c r="F1119" s="6" t="n">
        <v>109</v>
      </c>
      <c r="G1119" s="6" t="n">
        <v>1111</v>
      </c>
      <c r="H1119" s="6" t="n">
        <v>3</v>
      </c>
      <c r="I1119" s="7" t="n">
        <v>2704.74</v>
      </c>
      <c r="J1119" s="7" t="n">
        <v>1418.47</v>
      </c>
      <c r="K1119" s="7" t="n">
        <v>5816.17</v>
      </c>
      <c r="L1119" s="7" t="n">
        <v>2609.93</v>
      </c>
      <c r="M1119" s="6" t="n">
        <v>2.7</v>
      </c>
      <c r="N1119" s="6" t="s">
        <v>24</v>
      </c>
      <c r="O1119" s="8" t="n">
        <f aca="false">VLOOKUP(F1119,DIM_SERVICO!$A$2:$D$151,4,FALSE())</f>
        <v>1418.47</v>
      </c>
      <c r="P1119" s="8" t="n">
        <f aca="false">VLOOKUP(E1119,DIM_PECA!$A$2:$F$501,6,FALSE())</f>
        <v>1465.9</v>
      </c>
      <c r="Q1119" s="8" t="n">
        <f aca="false">VLOOKUP(E1119,DIM_PECA!$A$2:$F$501,5,FALSE())</f>
        <v>901.58</v>
      </c>
      <c r="R1119" s="8" t="n">
        <f aca="false">H1119*P1119</f>
        <v>4397.7</v>
      </c>
      <c r="S1119" s="8" t="n">
        <f aca="false">O1119*M1119</f>
        <v>3829.869</v>
      </c>
      <c r="T1119" s="8" t="n">
        <f aca="false">R1119+S1119</f>
        <v>8227.569</v>
      </c>
      <c r="U1119" s="8" t="n">
        <f aca="false">T1119-K1119</f>
        <v>2411.399</v>
      </c>
      <c r="V1119" s="8" t="n">
        <f aca="false">R1119+S1119-U1119</f>
        <v>5816.17</v>
      </c>
      <c r="W1119" s="9" t="str">
        <f aca="false">IF(ROUND(V1119-K1119,2)=0,"OK","ERRO")</f>
        <v>OK</v>
      </c>
      <c r="X1119" s="9" t="str">
        <f aca="false">VLOOKUP(F1119,DIM_SERVICO!$A$2:$D$151,3,FALSE())</f>
        <v>Pintura</v>
      </c>
    </row>
    <row r="1120" customFormat="false" ht="15" hidden="false" customHeight="false" outlineLevel="0" collapsed="false">
      <c r="A1120" s="2" t="n">
        <v>1119</v>
      </c>
      <c r="B1120" s="2" t="n">
        <v>659</v>
      </c>
      <c r="C1120" s="2" t="n">
        <v>790</v>
      </c>
      <c r="D1120" s="2" t="n">
        <v>596</v>
      </c>
      <c r="E1120" s="2" t="n">
        <v>31</v>
      </c>
      <c r="F1120" s="2" t="n">
        <v>59</v>
      </c>
      <c r="G1120" s="2" t="n">
        <v>102</v>
      </c>
      <c r="H1120" s="2" t="n">
        <v>3</v>
      </c>
      <c r="I1120" s="3" t="n">
        <v>1169.94</v>
      </c>
      <c r="J1120" s="3" t="n">
        <v>340.97</v>
      </c>
      <c r="K1120" s="3" t="n">
        <v>2836.52</v>
      </c>
      <c r="L1120" s="3" t="n">
        <v>1529.41</v>
      </c>
      <c r="M1120" s="2" t="n">
        <v>3.6</v>
      </c>
      <c r="N1120" s="2" t="s">
        <v>24</v>
      </c>
      <c r="O1120" s="4" t="n">
        <f aca="false">VLOOKUP(F1120,DIM_SERVICO!$A$2:$D$151,4,FALSE())</f>
        <v>340.97</v>
      </c>
      <c r="P1120" s="4" t="n">
        <f aca="false">VLOOKUP(E1120,DIM_PECA!$A$2:$F$501,6,FALSE())</f>
        <v>831.85</v>
      </c>
      <c r="Q1120" s="4" t="n">
        <f aca="false">VLOOKUP(E1120,DIM_PECA!$A$2:$F$501,5,FALSE())</f>
        <v>389.98</v>
      </c>
      <c r="R1120" s="4" t="n">
        <f aca="false">H1120*P1120</f>
        <v>2495.55</v>
      </c>
      <c r="S1120" s="4" t="n">
        <f aca="false">O1120*M1120</f>
        <v>1227.492</v>
      </c>
      <c r="T1120" s="4" t="n">
        <f aca="false">R1120+S1120</f>
        <v>3723.042</v>
      </c>
      <c r="U1120" s="4" t="n">
        <f aca="false">T1120-K1120</f>
        <v>886.522</v>
      </c>
      <c r="V1120" s="4" t="n">
        <f aca="false">R1120+S1120-U1120</f>
        <v>2836.52</v>
      </c>
      <c r="W1120" s="5" t="str">
        <f aca="false">IF(ROUND(V1120-K1120,2)=0,"OK","ERRO")</f>
        <v>OK</v>
      </c>
      <c r="X1120" s="5" t="str">
        <f aca="false">VLOOKUP(F1120,DIM_SERVICO!$A$2:$D$151,3,FALSE())</f>
        <v>Revisão</v>
      </c>
    </row>
    <row r="1121" customFormat="false" ht="15" hidden="false" customHeight="false" outlineLevel="0" collapsed="false">
      <c r="A1121" s="6" t="n">
        <v>1120</v>
      </c>
      <c r="B1121" s="6" t="n">
        <v>1413</v>
      </c>
      <c r="C1121" s="6" t="n">
        <v>345</v>
      </c>
      <c r="D1121" s="6" t="n">
        <v>71</v>
      </c>
      <c r="E1121" s="6" t="n">
        <v>376</v>
      </c>
      <c r="F1121" s="6" t="n">
        <v>114</v>
      </c>
      <c r="G1121" s="6" t="n">
        <v>834</v>
      </c>
      <c r="H1121" s="6" t="n">
        <v>3</v>
      </c>
      <c r="I1121" s="7" t="n">
        <v>2904.9</v>
      </c>
      <c r="J1121" s="7" t="n">
        <v>767.72</v>
      </c>
      <c r="K1121" s="7" t="n">
        <v>4774.54</v>
      </c>
      <c r="L1121" s="7" t="n">
        <v>1586.32</v>
      </c>
      <c r="M1121" s="6" t="n">
        <v>3.1</v>
      </c>
      <c r="N1121" s="6" t="s">
        <v>26</v>
      </c>
      <c r="O1121" s="8" t="n">
        <f aca="false">VLOOKUP(F1121,DIM_SERVICO!$A$2:$D$151,4,FALSE())</f>
        <v>767.72</v>
      </c>
      <c r="P1121" s="8" t="n">
        <f aca="false">VLOOKUP(E1121,DIM_PECA!$A$2:$F$501,6,FALSE())</f>
        <v>1512.44</v>
      </c>
      <c r="Q1121" s="8" t="n">
        <f aca="false">VLOOKUP(E1121,DIM_PECA!$A$2:$F$501,5,FALSE())</f>
        <v>968.3</v>
      </c>
      <c r="R1121" s="8" t="n">
        <f aca="false">H1121*P1121</f>
        <v>4537.32</v>
      </c>
      <c r="S1121" s="8" t="n">
        <f aca="false">O1121*M1121</f>
        <v>2379.932</v>
      </c>
      <c r="T1121" s="8" t="n">
        <f aca="false">R1121+S1121</f>
        <v>6917.252</v>
      </c>
      <c r="U1121" s="8" t="n">
        <f aca="false">T1121-K1121</f>
        <v>2142.712</v>
      </c>
      <c r="V1121" s="8" t="n">
        <f aca="false">R1121+S1121-U1121</f>
        <v>4774.54</v>
      </c>
      <c r="W1121" s="9" t="str">
        <f aca="false">IF(ROUND(V1121-K1121,2)=0,"OK","ERRO")</f>
        <v>OK</v>
      </c>
      <c r="X1121" s="9" t="str">
        <f aca="false">VLOOKUP(F1121,DIM_SERVICO!$A$2:$D$151,3,FALSE())</f>
        <v>Elétrica</v>
      </c>
    </row>
    <row r="1122" customFormat="false" ht="15" hidden="false" customHeight="false" outlineLevel="0" collapsed="false">
      <c r="A1122" s="2" t="n">
        <v>1121</v>
      </c>
      <c r="B1122" s="2" t="n">
        <v>510</v>
      </c>
      <c r="C1122" s="2" t="n">
        <v>691</v>
      </c>
      <c r="D1122" s="2" t="n">
        <v>329</v>
      </c>
      <c r="E1122" s="2" t="n">
        <v>430</v>
      </c>
      <c r="F1122" s="2" t="n">
        <v>145</v>
      </c>
      <c r="G1122" s="2" t="n">
        <v>579</v>
      </c>
      <c r="H1122" s="2" t="n">
        <v>3</v>
      </c>
      <c r="I1122" s="3" t="n">
        <v>3180.45</v>
      </c>
      <c r="J1122" s="3" t="n">
        <v>392.14</v>
      </c>
      <c r="K1122" s="3" t="n">
        <v>5680.12</v>
      </c>
      <c r="L1122" s="3" t="n">
        <v>2328.13</v>
      </c>
      <c r="M1122" s="2" t="n">
        <v>8.7</v>
      </c>
      <c r="N1122" s="2" t="s">
        <v>24</v>
      </c>
      <c r="O1122" s="4" t="n">
        <f aca="false">VLOOKUP(F1122,DIM_SERVICO!$A$2:$D$151,4,FALSE())</f>
        <v>392.14</v>
      </c>
      <c r="P1122" s="4" t="n">
        <f aca="false">VLOOKUP(E1122,DIM_PECA!$A$2:$F$501,6,FALSE())</f>
        <v>1801.3</v>
      </c>
      <c r="Q1122" s="4" t="n">
        <f aca="false">VLOOKUP(E1122,DIM_PECA!$A$2:$F$501,5,FALSE())</f>
        <v>1060.15</v>
      </c>
      <c r="R1122" s="4" t="n">
        <f aca="false">H1122*P1122</f>
        <v>5403.9</v>
      </c>
      <c r="S1122" s="4" t="n">
        <f aca="false">O1122*M1122</f>
        <v>3411.618</v>
      </c>
      <c r="T1122" s="4" t="n">
        <f aca="false">R1122+S1122</f>
        <v>8815.518</v>
      </c>
      <c r="U1122" s="4" t="n">
        <f aca="false">T1122-K1122</f>
        <v>3135.398</v>
      </c>
      <c r="V1122" s="4" t="n">
        <f aca="false">R1122+S1122-U1122</f>
        <v>5680.12</v>
      </c>
      <c r="W1122" s="5" t="str">
        <f aca="false">IF(ROUND(V1122-K1122,2)=0,"OK","ERRO")</f>
        <v>OK</v>
      </c>
      <c r="X1122" s="5" t="str">
        <f aca="false">VLOOKUP(F1122,DIM_SERVICO!$A$2:$D$151,3,FALSE())</f>
        <v>Revisão</v>
      </c>
    </row>
    <row r="1123" customFormat="false" ht="15" hidden="false" customHeight="false" outlineLevel="0" collapsed="false">
      <c r="A1123" s="6" t="n">
        <v>1122</v>
      </c>
      <c r="B1123" s="6" t="n">
        <v>490</v>
      </c>
      <c r="C1123" s="6" t="n">
        <v>1292</v>
      </c>
      <c r="D1123" s="6" t="n">
        <v>1024</v>
      </c>
      <c r="E1123" s="6" t="n">
        <v>214</v>
      </c>
      <c r="F1123" s="6" t="n">
        <v>19</v>
      </c>
      <c r="G1123" s="6" t="n">
        <v>63</v>
      </c>
      <c r="H1123" s="6" t="n">
        <v>3</v>
      </c>
      <c r="I1123" s="7" t="n">
        <v>1273.56</v>
      </c>
      <c r="J1123" s="7" t="n">
        <v>1822.04</v>
      </c>
      <c r="K1123" s="7" t="n">
        <v>3721.83</v>
      </c>
      <c r="L1123" s="7" t="n">
        <v>1455.4</v>
      </c>
      <c r="M1123" s="6" t="n">
        <v>8.3</v>
      </c>
      <c r="N1123" s="6" t="s">
        <v>27</v>
      </c>
      <c r="O1123" s="8" t="n">
        <f aca="false">VLOOKUP(F1123,DIM_SERVICO!$A$2:$D$151,4,FALSE())</f>
        <v>1822.04</v>
      </c>
      <c r="P1123" s="8" t="n">
        <f aca="false">VLOOKUP(E1123,DIM_PECA!$A$2:$F$501,6,FALSE())</f>
        <v>771.11</v>
      </c>
      <c r="Q1123" s="8" t="n">
        <f aca="false">VLOOKUP(E1123,DIM_PECA!$A$2:$F$501,5,FALSE())</f>
        <v>424.52</v>
      </c>
      <c r="R1123" s="8" t="n">
        <f aca="false">H1123*P1123</f>
        <v>2313.33</v>
      </c>
      <c r="S1123" s="8" t="n">
        <f aca="false">O1123*M1123</f>
        <v>15122.932</v>
      </c>
      <c r="T1123" s="8" t="n">
        <f aca="false">R1123+S1123</f>
        <v>17436.262</v>
      </c>
      <c r="U1123" s="8" t="n">
        <f aca="false">T1123-K1123</f>
        <v>13714.432</v>
      </c>
      <c r="V1123" s="8" t="n">
        <f aca="false">R1123+S1123-U1123</f>
        <v>3721.83</v>
      </c>
      <c r="W1123" s="9" t="str">
        <f aca="false">IF(ROUND(V1123-K1123,2)=0,"OK","ERRO")</f>
        <v>OK</v>
      </c>
      <c r="X1123" s="9" t="str">
        <f aca="false">VLOOKUP(F1123,DIM_SERVICO!$A$2:$D$151,3,FALSE())</f>
        <v>Pintura</v>
      </c>
    </row>
    <row r="1124" customFormat="false" ht="15" hidden="false" customHeight="false" outlineLevel="0" collapsed="false">
      <c r="A1124" s="2" t="n">
        <v>1123</v>
      </c>
      <c r="B1124" s="2" t="n">
        <v>621</v>
      </c>
      <c r="C1124" s="2" t="n">
        <v>338</v>
      </c>
      <c r="D1124" s="2" t="n">
        <v>1065</v>
      </c>
      <c r="E1124" s="2" t="n">
        <v>245</v>
      </c>
      <c r="F1124" s="2" t="n">
        <v>14</v>
      </c>
      <c r="G1124" s="2" t="n">
        <v>617</v>
      </c>
      <c r="H1124" s="2" t="n">
        <v>3</v>
      </c>
      <c r="I1124" s="3" t="n">
        <v>424.56</v>
      </c>
      <c r="J1124" s="3" t="n">
        <v>1939.75</v>
      </c>
      <c r="K1124" s="3" t="n">
        <v>2806.81</v>
      </c>
      <c r="L1124" s="3" t="n">
        <v>1501.02</v>
      </c>
      <c r="M1124" s="2" t="n">
        <v>6.7</v>
      </c>
      <c r="N1124" s="2" t="s">
        <v>24</v>
      </c>
      <c r="O1124" s="4" t="n">
        <f aca="false">VLOOKUP(F1124,DIM_SERVICO!$A$2:$D$151,4,FALSE())</f>
        <v>1939.75</v>
      </c>
      <c r="P1124" s="4" t="n">
        <f aca="false">VLOOKUP(E1124,DIM_PECA!$A$2:$F$501,6,FALSE())</f>
        <v>289.02</v>
      </c>
      <c r="Q1124" s="4" t="n">
        <f aca="false">VLOOKUP(E1124,DIM_PECA!$A$2:$F$501,5,FALSE())</f>
        <v>141.52</v>
      </c>
      <c r="R1124" s="4" t="n">
        <f aca="false">H1124*P1124</f>
        <v>867.06</v>
      </c>
      <c r="S1124" s="4" t="n">
        <f aca="false">O1124*M1124</f>
        <v>12996.325</v>
      </c>
      <c r="T1124" s="4" t="n">
        <f aca="false">R1124+S1124</f>
        <v>13863.385</v>
      </c>
      <c r="U1124" s="4" t="n">
        <f aca="false">T1124-K1124</f>
        <v>11056.575</v>
      </c>
      <c r="V1124" s="4" t="n">
        <f aca="false">R1124+S1124-U1124</f>
        <v>2806.81</v>
      </c>
      <c r="W1124" s="5" t="str">
        <f aca="false">IF(ROUND(V1124-K1124,2)=0,"OK","ERRO")</f>
        <v>OK</v>
      </c>
      <c r="X1124" s="5" t="str">
        <f aca="false">VLOOKUP(F1124,DIM_SERVICO!$A$2:$D$151,3,FALSE())</f>
        <v>Funilaria</v>
      </c>
    </row>
    <row r="1125" customFormat="false" ht="15" hidden="false" customHeight="false" outlineLevel="0" collapsed="false">
      <c r="A1125" s="6" t="n">
        <v>1124</v>
      </c>
      <c r="B1125" s="6" t="n">
        <v>13</v>
      </c>
      <c r="C1125" s="6" t="n">
        <v>816</v>
      </c>
      <c r="D1125" s="6" t="n">
        <v>126</v>
      </c>
      <c r="E1125" s="6" t="n">
        <v>74</v>
      </c>
      <c r="F1125" s="6" t="n">
        <v>146</v>
      </c>
      <c r="G1125" s="6" t="n">
        <v>919</v>
      </c>
      <c r="H1125" s="6" t="n">
        <v>4</v>
      </c>
      <c r="I1125" s="7" t="n">
        <v>331.36</v>
      </c>
      <c r="J1125" s="7" t="n">
        <v>482.6</v>
      </c>
      <c r="K1125" s="7" t="n">
        <v>1158.2</v>
      </c>
      <c r="L1125" s="7" t="n">
        <v>621.57</v>
      </c>
      <c r="M1125" s="6" t="n">
        <v>11.4</v>
      </c>
      <c r="N1125" s="6" t="s">
        <v>24</v>
      </c>
      <c r="O1125" s="8" t="n">
        <f aca="false">VLOOKUP(F1125,DIM_SERVICO!$A$2:$D$151,4,FALSE())</f>
        <v>482.6</v>
      </c>
      <c r="P1125" s="8" t="n">
        <f aca="false">VLOOKUP(E1125,DIM_PECA!$A$2:$F$501,6,FALSE())</f>
        <v>174.81</v>
      </c>
      <c r="Q1125" s="8" t="n">
        <f aca="false">VLOOKUP(E1125,DIM_PECA!$A$2:$F$501,5,FALSE())</f>
        <v>82.84</v>
      </c>
      <c r="R1125" s="8" t="n">
        <f aca="false">H1125*P1125</f>
        <v>699.24</v>
      </c>
      <c r="S1125" s="8" t="n">
        <f aca="false">O1125*M1125</f>
        <v>5501.64</v>
      </c>
      <c r="T1125" s="8" t="n">
        <f aca="false">R1125+S1125</f>
        <v>6200.88</v>
      </c>
      <c r="U1125" s="8" t="n">
        <f aca="false">T1125-K1125</f>
        <v>5042.68</v>
      </c>
      <c r="V1125" s="8" t="n">
        <f aca="false">R1125+S1125-U1125</f>
        <v>1158.2</v>
      </c>
      <c r="W1125" s="9" t="str">
        <f aca="false">IF(ROUND(V1125-K1125,2)=0,"OK","ERRO")</f>
        <v>OK</v>
      </c>
      <c r="X1125" s="9" t="str">
        <f aca="false">VLOOKUP(F1125,DIM_SERVICO!$A$2:$D$151,3,FALSE())</f>
        <v>Funilaria</v>
      </c>
    </row>
    <row r="1126" customFormat="false" ht="15" hidden="false" customHeight="false" outlineLevel="0" collapsed="false">
      <c r="A1126" s="2" t="n">
        <v>1125</v>
      </c>
      <c r="B1126" s="2" t="n">
        <v>1484</v>
      </c>
      <c r="C1126" s="2" t="n">
        <v>402</v>
      </c>
      <c r="D1126" s="2" t="n">
        <v>605</v>
      </c>
      <c r="E1126" s="2" t="n">
        <v>154</v>
      </c>
      <c r="F1126" s="2" t="n">
        <v>83</v>
      </c>
      <c r="G1126" s="2" t="n">
        <v>828</v>
      </c>
      <c r="H1126" s="2" t="n">
        <v>1</v>
      </c>
      <c r="I1126" s="3" t="n">
        <v>115.8</v>
      </c>
      <c r="J1126" s="3" t="n">
        <v>2098.93</v>
      </c>
      <c r="K1126" s="3" t="n">
        <v>2286.82</v>
      </c>
      <c r="L1126" s="3" t="n">
        <v>1133.62</v>
      </c>
      <c r="M1126" s="2" t="n">
        <v>1.9</v>
      </c>
      <c r="N1126" s="2" t="s">
        <v>26</v>
      </c>
      <c r="O1126" s="4" t="n">
        <f aca="false">VLOOKUP(F1126,DIM_SERVICO!$A$2:$D$151,4,FALSE())</f>
        <v>2098.93</v>
      </c>
      <c r="P1126" s="4" t="n">
        <f aca="false">VLOOKUP(E1126,DIM_PECA!$A$2:$F$501,6,FALSE())</f>
        <v>187.89</v>
      </c>
      <c r="Q1126" s="4" t="n">
        <f aca="false">VLOOKUP(E1126,DIM_PECA!$A$2:$F$501,5,FALSE())</f>
        <v>115.8</v>
      </c>
      <c r="R1126" s="4" t="n">
        <f aca="false">H1126*P1126</f>
        <v>187.89</v>
      </c>
      <c r="S1126" s="4" t="n">
        <f aca="false">O1126*M1126</f>
        <v>3987.967</v>
      </c>
      <c r="T1126" s="4" t="n">
        <f aca="false">R1126+S1126</f>
        <v>4175.857</v>
      </c>
      <c r="U1126" s="4" t="n">
        <f aca="false">T1126-K1126</f>
        <v>1889.037</v>
      </c>
      <c r="V1126" s="4" t="n">
        <f aca="false">R1126+S1126-U1126</f>
        <v>2286.82</v>
      </c>
      <c r="W1126" s="5" t="str">
        <f aca="false">IF(ROUND(V1126-K1126,2)=0,"OK","ERRO")</f>
        <v>OK</v>
      </c>
      <c r="X1126" s="5" t="str">
        <f aca="false">VLOOKUP(F1126,DIM_SERVICO!$A$2:$D$151,3,FALSE())</f>
        <v>Pintura</v>
      </c>
    </row>
    <row r="1127" customFormat="false" ht="15" hidden="false" customHeight="false" outlineLevel="0" collapsed="false">
      <c r="A1127" s="6" t="n">
        <v>1126</v>
      </c>
      <c r="B1127" s="6" t="n">
        <v>775</v>
      </c>
      <c r="C1127" s="6" t="n">
        <v>405</v>
      </c>
      <c r="D1127" s="6" t="n">
        <v>1193</v>
      </c>
      <c r="E1127" s="6" t="n">
        <v>470</v>
      </c>
      <c r="F1127" s="6" t="n">
        <v>132</v>
      </c>
      <c r="G1127" s="6" t="n">
        <v>1284</v>
      </c>
      <c r="H1127" s="6" t="n">
        <v>2</v>
      </c>
      <c r="I1127" s="7" t="n">
        <v>322.1</v>
      </c>
      <c r="J1127" s="7" t="n">
        <v>746.69</v>
      </c>
      <c r="K1127" s="7" t="n">
        <v>1197.35</v>
      </c>
      <c r="L1127" s="7" t="n">
        <v>482.58</v>
      </c>
      <c r="M1127" s="6" t="n">
        <v>10</v>
      </c>
      <c r="N1127" s="6" t="s">
        <v>25</v>
      </c>
      <c r="O1127" s="8" t="n">
        <f aca="false">VLOOKUP(F1127,DIM_SERVICO!$A$2:$D$151,4,FALSE())</f>
        <v>746.69</v>
      </c>
      <c r="P1127" s="8" t="n">
        <f aca="false">VLOOKUP(E1127,DIM_PECA!$A$2:$F$501,6,FALSE())</f>
        <v>277.39</v>
      </c>
      <c r="Q1127" s="8" t="n">
        <f aca="false">VLOOKUP(E1127,DIM_PECA!$A$2:$F$501,5,FALSE())</f>
        <v>161.05</v>
      </c>
      <c r="R1127" s="8" t="n">
        <f aca="false">H1127*P1127</f>
        <v>554.78</v>
      </c>
      <c r="S1127" s="8" t="n">
        <f aca="false">O1127*M1127</f>
        <v>7466.9</v>
      </c>
      <c r="T1127" s="8" t="n">
        <f aca="false">R1127+S1127</f>
        <v>8021.68</v>
      </c>
      <c r="U1127" s="8" t="n">
        <f aca="false">T1127-K1127</f>
        <v>6824.33</v>
      </c>
      <c r="V1127" s="8" t="n">
        <f aca="false">R1127+S1127-U1127</f>
        <v>1197.35</v>
      </c>
      <c r="W1127" s="9" t="str">
        <f aca="false">IF(ROUND(V1127-K1127,2)=0,"OK","ERRO")</f>
        <v>OK</v>
      </c>
      <c r="X1127" s="9" t="str">
        <f aca="false">VLOOKUP(F1127,DIM_SERVICO!$A$2:$D$151,3,FALSE())</f>
        <v>Motor</v>
      </c>
    </row>
    <row r="1128" customFormat="false" ht="15" hidden="false" customHeight="false" outlineLevel="0" collapsed="false">
      <c r="A1128" s="2" t="n">
        <v>1127</v>
      </c>
      <c r="B1128" s="2" t="n">
        <v>1218</v>
      </c>
      <c r="C1128" s="2" t="n">
        <v>1313</v>
      </c>
      <c r="D1128" s="2" t="n">
        <v>1037</v>
      </c>
      <c r="E1128" s="2" t="n">
        <v>445</v>
      </c>
      <c r="F1128" s="2" t="n">
        <v>93</v>
      </c>
      <c r="G1128" s="2" t="n">
        <v>502</v>
      </c>
      <c r="H1128" s="2" t="n">
        <v>1</v>
      </c>
      <c r="I1128" s="3" t="n">
        <v>575.8</v>
      </c>
      <c r="J1128" s="3" t="n">
        <v>2049.66</v>
      </c>
      <c r="K1128" s="3" t="n">
        <v>2949.55</v>
      </c>
      <c r="L1128" s="3" t="n">
        <v>1299.67</v>
      </c>
      <c r="M1128" s="2" t="n">
        <v>0.9</v>
      </c>
      <c r="N1128" s="2" t="s">
        <v>24</v>
      </c>
      <c r="O1128" s="4" t="n">
        <f aca="false">VLOOKUP(F1128,DIM_SERVICO!$A$2:$D$151,4,FALSE())</f>
        <v>2049.66</v>
      </c>
      <c r="P1128" s="4" t="n">
        <f aca="false">VLOOKUP(E1128,DIM_PECA!$A$2:$F$501,6,FALSE())</f>
        <v>899.89</v>
      </c>
      <c r="Q1128" s="4" t="n">
        <f aca="false">VLOOKUP(E1128,DIM_PECA!$A$2:$F$501,5,FALSE())</f>
        <v>575.8</v>
      </c>
      <c r="R1128" s="4" t="n">
        <f aca="false">H1128*P1128</f>
        <v>899.89</v>
      </c>
      <c r="S1128" s="4" t="n">
        <f aca="false">O1128*M1128</f>
        <v>1844.694</v>
      </c>
      <c r="T1128" s="4" t="n">
        <f aca="false">R1128+S1128</f>
        <v>2744.584</v>
      </c>
      <c r="U1128" s="4" t="n">
        <f aca="false">T1128-K1128</f>
        <v>-204.966</v>
      </c>
      <c r="V1128" s="4" t="n">
        <f aca="false">R1128+S1128-U1128</f>
        <v>2949.55</v>
      </c>
      <c r="W1128" s="5" t="str">
        <f aca="false">IF(ROUND(V1128-K1128,2)=0,"OK","ERRO")</f>
        <v>OK</v>
      </c>
      <c r="X1128" s="5" t="str">
        <f aca="false">VLOOKUP(F1128,DIM_SERVICO!$A$2:$D$151,3,FALSE())</f>
        <v>Revisão</v>
      </c>
    </row>
    <row r="1129" customFormat="false" ht="15" hidden="false" customHeight="false" outlineLevel="0" collapsed="false">
      <c r="A1129" s="6" t="n">
        <v>1128</v>
      </c>
      <c r="B1129" s="6" t="n">
        <v>537</v>
      </c>
      <c r="C1129" s="6" t="n">
        <v>680</v>
      </c>
      <c r="D1129" s="6" t="n">
        <v>1037</v>
      </c>
      <c r="E1129" s="6" t="n">
        <v>473</v>
      </c>
      <c r="F1129" s="6" t="n">
        <v>11</v>
      </c>
      <c r="G1129" s="6" t="n">
        <v>639</v>
      </c>
      <c r="H1129" s="6" t="n">
        <v>1</v>
      </c>
      <c r="I1129" s="7" t="n">
        <v>1033.69</v>
      </c>
      <c r="J1129" s="7" t="n">
        <v>2164.78</v>
      </c>
      <c r="K1129" s="7" t="n">
        <v>3934.66</v>
      </c>
      <c r="L1129" s="7" t="n">
        <v>2130.51</v>
      </c>
      <c r="M1129" s="6" t="n">
        <v>3.7</v>
      </c>
      <c r="N1129" s="6" t="s">
        <v>24</v>
      </c>
      <c r="O1129" s="8" t="n">
        <f aca="false">VLOOKUP(F1129,DIM_SERVICO!$A$2:$D$151,4,FALSE())</f>
        <v>2164.78</v>
      </c>
      <c r="P1129" s="8" t="n">
        <f aca="false">VLOOKUP(E1129,DIM_PECA!$A$2:$F$501,6,FALSE())</f>
        <v>2207.07</v>
      </c>
      <c r="Q1129" s="8" t="n">
        <f aca="false">VLOOKUP(E1129,DIM_PECA!$A$2:$F$501,5,FALSE())</f>
        <v>1033.69</v>
      </c>
      <c r="R1129" s="8" t="n">
        <f aca="false">H1129*P1129</f>
        <v>2207.07</v>
      </c>
      <c r="S1129" s="8" t="n">
        <f aca="false">O1129*M1129</f>
        <v>8009.686</v>
      </c>
      <c r="T1129" s="8" t="n">
        <f aca="false">R1129+S1129</f>
        <v>10216.756</v>
      </c>
      <c r="U1129" s="8" t="n">
        <f aca="false">T1129-K1129</f>
        <v>6282.096</v>
      </c>
      <c r="V1129" s="8" t="n">
        <f aca="false">R1129+S1129-U1129</f>
        <v>3934.66</v>
      </c>
      <c r="W1129" s="9" t="str">
        <f aca="false">IF(ROUND(V1129-K1129,2)=0,"OK","ERRO")</f>
        <v>OK</v>
      </c>
      <c r="X1129" s="9" t="str">
        <f aca="false">VLOOKUP(F1129,DIM_SERVICO!$A$2:$D$151,3,FALSE())</f>
        <v>Freios</v>
      </c>
    </row>
    <row r="1130" customFormat="false" ht="15" hidden="false" customHeight="false" outlineLevel="0" collapsed="false">
      <c r="A1130" s="2" t="n">
        <v>1129</v>
      </c>
      <c r="B1130" s="2" t="n">
        <v>632</v>
      </c>
      <c r="C1130" s="2" t="n">
        <v>1388</v>
      </c>
      <c r="D1130" s="2" t="n">
        <v>820</v>
      </c>
      <c r="E1130" s="2" t="n">
        <v>17</v>
      </c>
      <c r="F1130" s="2" t="n">
        <v>56</v>
      </c>
      <c r="G1130" s="2" t="n">
        <v>829</v>
      </c>
      <c r="H1130" s="2" t="n">
        <v>3</v>
      </c>
      <c r="I1130" s="3" t="n">
        <v>321.6</v>
      </c>
      <c r="J1130" s="3" t="n">
        <v>251.62</v>
      </c>
      <c r="K1130" s="3" t="n">
        <v>747.85</v>
      </c>
      <c r="L1130" s="3" t="n">
        <v>293.67</v>
      </c>
      <c r="M1130" s="2" t="n">
        <v>6.1</v>
      </c>
      <c r="N1130" s="2" t="s">
        <v>26</v>
      </c>
      <c r="O1130" s="4" t="n">
        <f aca="false">VLOOKUP(F1130,DIM_SERVICO!$A$2:$D$151,4,FALSE())</f>
        <v>251.62</v>
      </c>
      <c r="P1130" s="4" t="n">
        <f aca="false">VLOOKUP(E1130,DIM_PECA!$A$2:$F$501,6,FALSE())</f>
        <v>165.41</v>
      </c>
      <c r="Q1130" s="4" t="n">
        <f aca="false">VLOOKUP(E1130,DIM_PECA!$A$2:$F$501,5,FALSE())</f>
        <v>107.2</v>
      </c>
      <c r="R1130" s="4" t="n">
        <f aca="false">H1130*P1130</f>
        <v>496.23</v>
      </c>
      <c r="S1130" s="4" t="n">
        <f aca="false">O1130*M1130</f>
        <v>1534.882</v>
      </c>
      <c r="T1130" s="4" t="n">
        <f aca="false">R1130+S1130</f>
        <v>2031.112</v>
      </c>
      <c r="U1130" s="4" t="n">
        <f aca="false">T1130-K1130</f>
        <v>1283.262</v>
      </c>
      <c r="V1130" s="4" t="n">
        <f aca="false">R1130+S1130-U1130</f>
        <v>747.85</v>
      </c>
      <c r="W1130" s="5" t="str">
        <f aca="false">IF(ROUND(V1130-K1130,2)=0,"OK","ERRO")</f>
        <v>OK</v>
      </c>
      <c r="X1130" s="5" t="str">
        <f aca="false">VLOOKUP(F1130,DIM_SERVICO!$A$2:$D$151,3,FALSE())</f>
        <v>Revisão</v>
      </c>
    </row>
    <row r="1131" customFormat="false" ht="15" hidden="false" customHeight="false" outlineLevel="0" collapsed="false">
      <c r="A1131" s="6" t="n">
        <v>1130</v>
      </c>
      <c r="B1131" s="6" t="n">
        <v>1210</v>
      </c>
      <c r="C1131" s="6" t="n">
        <v>509</v>
      </c>
      <c r="D1131" s="6" t="n">
        <v>404</v>
      </c>
      <c r="E1131" s="6" t="n">
        <v>40</v>
      </c>
      <c r="F1131" s="6" t="n">
        <v>53</v>
      </c>
      <c r="G1131" s="6" t="n">
        <v>613</v>
      </c>
      <c r="H1131" s="6" t="n">
        <v>2</v>
      </c>
      <c r="I1131" s="7" t="n">
        <v>2230.44</v>
      </c>
      <c r="J1131" s="7" t="n">
        <v>955.09</v>
      </c>
      <c r="K1131" s="7" t="n">
        <v>4965.79</v>
      </c>
      <c r="L1131" s="7" t="n">
        <v>2389.11</v>
      </c>
      <c r="M1131" s="6" t="n">
        <v>5.6</v>
      </c>
      <c r="N1131" s="6" t="s">
        <v>27</v>
      </c>
      <c r="O1131" s="8" t="n">
        <f aca="false">VLOOKUP(F1131,DIM_SERVICO!$A$2:$D$151,4,FALSE())</f>
        <v>955.09</v>
      </c>
      <c r="P1131" s="8" t="n">
        <f aca="false">VLOOKUP(E1131,DIM_PECA!$A$2:$F$501,6,FALSE())</f>
        <v>2005.35</v>
      </c>
      <c r="Q1131" s="8" t="n">
        <f aca="false">VLOOKUP(E1131,DIM_PECA!$A$2:$F$501,5,FALSE())</f>
        <v>1115.22</v>
      </c>
      <c r="R1131" s="8" t="n">
        <f aca="false">H1131*P1131</f>
        <v>4010.7</v>
      </c>
      <c r="S1131" s="8" t="n">
        <f aca="false">O1131*M1131</f>
        <v>5348.504</v>
      </c>
      <c r="T1131" s="8" t="n">
        <f aca="false">R1131+S1131</f>
        <v>9359.204</v>
      </c>
      <c r="U1131" s="8" t="n">
        <f aca="false">T1131-K1131</f>
        <v>4393.414</v>
      </c>
      <c r="V1131" s="8" t="n">
        <f aca="false">R1131+S1131-U1131</f>
        <v>4965.79</v>
      </c>
      <c r="W1131" s="9" t="str">
        <f aca="false">IF(ROUND(V1131-K1131,2)=0,"OK","ERRO")</f>
        <v>OK</v>
      </c>
      <c r="X1131" s="9" t="str">
        <f aca="false">VLOOKUP(F1131,DIM_SERVICO!$A$2:$D$151,3,FALSE())</f>
        <v>Motor</v>
      </c>
    </row>
    <row r="1132" customFormat="false" ht="15" hidden="false" customHeight="false" outlineLevel="0" collapsed="false">
      <c r="A1132" s="2" t="n">
        <v>1131</v>
      </c>
      <c r="B1132" s="2" t="n">
        <v>854</v>
      </c>
      <c r="C1132" s="2" t="n">
        <v>1050</v>
      </c>
      <c r="D1132" s="2" t="n">
        <v>1032</v>
      </c>
      <c r="E1132" s="2" t="n">
        <v>461</v>
      </c>
      <c r="F1132" s="2" t="n">
        <v>124</v>
      </c>
      <c r="G1132" s="2" t="n">
        <v>1785</v>
      </c>
      <c r="H1132" s="2" t="n">
        <v>4</v>
      </c>
      <c r="I1132" s="3" t="n">
        <v>489.48</v>
      </c>
      <c r="J1132" s="3" t="n">
        <v>2049.22</v>
      </c>
      <c r="K1132" s="3" t="n">
        <v>2989.26</v>
      </c>
      <c r="L1132" s="3" t="n">
        <v>1436.22</v>
      </c>
      <c r="M1132" s="2" t="n">
        <v>6</v>
      </c>
      <c r="N1132" s="2" t="s">
        <v>26</v>
      </c>
      <c r="O1132" s="4" t="n">
        <f aca="false">VLOOKUP(F1132,DIM_SERVICO!$A$2:$D$151,4,FALSE())</f>
        <v>2049.22</v>
      </c>
      <c r="P1132" s="4" t="n">
        <f aca="false">VLOOKUP(E1132,DIM_PECA!$A$2:$F$501,6,FALSE())</f>
        <v>235.01</v>
      </c>
      <c r="Q1132" s="4" t="n">
        <f aca="false">VLOOKUP(E1132,DIM_PECA!$A$2:$F$501,5,FALSE())</f>
        <v>122.37</v>
      </c>
      <c r="R1132" s="4" t="n">
        <f aca="false">H1132*P1132</f>
        <v>940.04</v>
      </c>
      <c r="S1132" s="4" t="n">
        <f aca="false">O1132*M1132</f>
        <v>12295.32</v>
      </c>
      <c r="T1132" s="4" t="n">
        <f aca="false">R1132+S1132</f>
        <v>13235.36</v>
      </c>
      <c r="U1132" s="4" t="n">
        <f aca="false">T1132-K1132</f>
        <v>10246.1</v>
      </c>
      <c r="V1132" s="4" t="n">
        <f aca="false">R1132+S1132-U1132</f>
        <v>2989.26</v>
      </c>
      <c r="W1132" s="5" t="str">
        <f aca="false">IF(ROUND(V1132-K1132,2)=0,"OK","ERRO")</f>
        <v>OK</v>
      </c>
      <c r="X1132" s="5" t="str">
        <f aca="false">VLOOKUP(F1132,DIM_SERVICO!$A$2:$D$151,3,FALSE())</f>
        <v>Freios</v>
      </c>
    </row>
    <row r="1133" customFormat="false" ht="15" hidden="false" customHeight="false" outlineLevel="0" collapsed="false">
      <c r="A1133" s="6" t="n">
        <v>1132</v>
      </c>
      <c r="B1133" s="6" t="n">
        <v>1362</v>
      </c>
      <c r="C1133" s="6" t="n">
        <v>961</v>
      </c>
      <c r="D1133" s="6" t="n">
        <v>1087</v>
      </c>
      <c r="E1133" s="6" t="n">
        <v>438</v>
      </c>
      <c r="F1133" s="6" t="n">
        <v>76</v>
      </c>
      <c r="G1133" s="6" t="n">
        <v>1491</v>
      </c>
      <c r="H1133" s="6" t="n">
        <v>2</v>
      </c>
      <c r="I1133" s="7" t="n">
        <v>2238.56</v>
      </c>
      <c r="J1133" s="7" t="n">
        <v>258.16</v>
      </c>
      <c r="K1133" s="7" t="n">
        <v>4061.08</v>
      </c>
      <c r="L1133" s="7" t="n">
        <v>1700.68</v>
      </c>
      <c r="M1133" s="6" t="n">
        <v>0.9</v>
      </c>
      <c r="N1133" s="6" t="s">
        <v>24</v>
      </c>
      <c r="O1133" s="8" t="n">
        <f aca="false">VLOOKUP(F1133,DIM_SERVICO!$A$2:$D$151,4,FALSE())</f>
        <v>258.16</v>
      </c>
      <c r="P1133" s="8" t="n">
        <f aca="false">VLOOKUP(E1133,DIM_PECA!$A$2:$F$501,6,FALSE())</f>
        <v>2078.03</v>
      </c>
      <c r="Q1133" s="8" t="n">
        <f aca="false">VLOOKUP(E1133,DIM_PECA!$A$2:$F$501,5,FALSE())</f>
        <v>1119.28</v>
      </c>
      <c r="R1133" s="8" t="n">
        <f aca="false">H1133*P1133</f>
        <v>4156.06</v>
      </c>
      <c r="S1133" s="8" t="n">
        <f aca="false">O1133*M1133</f>
        <v>232.344</v>
      </c>
      <c r="T1133" s="8" t="n">
        <f aca="false">R1133+S1133</f>
        <v>4388.404</v>
      </c>
      <c r="U1133" s="8" t="n">
        <f aca="false">T1133-K1133</f>
        <v>327.324000000001</v>
      </c>
      <c r="V1133" s="8" t="n">
        <f aca="false">R1133+S1133-U1133</f>
        <v>4061.08</v>
      </c>
      <c r="W1133" s="9" t="str">
        <f aca="false">IF(ROUND(V1133-K1133,2)=0,"OK","ERRO")</f>
        <v>OK</v>
      </c>
      <c r="X1133" s="9" t="str">
        <f aca="false">VLOOKUP(F1133,DIM_SERVICO!$A$2:$D$151,3,FALSE())</f>
        <v>Diagnóstico</v>
      </c>
    </row>
    <row r="1134" customFormat="false" ht="15" hidden="false" customHeight="false" outlineLevel="0" collapsed="false">
      <c r="A1134" s="2" t="n">
        <v>1133</v>
      </c>
      <c r="B1134" s="2" t="n">
        <v>1485</v>
      </c>
      <c r="C1134" s="2" t="n">
        <v>213</v>
      </c>
      <c r="D1134" s="2" t="n">
        <v>889</v>
      </c>
      <c r="E1134" s="2" t="n">
        <v>70</v>
      </c>
      <c r="F1134" s="2" t="n">
        <v>127</v>
      </c>
      <c r="G1134" s="2" t="n">
        <v>548</v>
      </c>
      <c r="H1134" s="2" t="n">
        <v>2</v>
      </c>
      <c r="I1134" s="3" t="n">
        <v>1144.2</v>
      </c>
      <c r="J1134" s="3" t="n">
        <v>165.02</v>
      </c>
      <c r="K1134" s="3" t="n">
        <v>2079.92</v>
      </c>
      <c r="L1134" s="3" t="n">
        <v>854.58</v>
      </c>
      <c r="M1134" s="2" t="n">
        <v>10.9</v>
      </c>
      <c r="N1134" s="2" t="s">
        <v>24</v>
      </c>
      <c r="O1134" s="4" t="n">
        <f aca="false">VLOOKUP(F1134,DIM_SERVICO!$A$2:$D$151,4,FALSE())</f>
        <v>165.02</v>
      </c>
      <c r="P1134" s="4" t="n">
        <f aca="false">VLOOKUP(E1134,DIM_PECA!$A$2:$F$501,6,FALSE())</f>
        <v>957.45</v>
      </c>
      <c r="Q1134" s="4" t="n">
        <f aca="false">VLOOKUP(E1134,DIM_PECA!$A$2:$F$501,5,FALSE())</f>
        <v>572.1</v>
      </c>
      <c r="R1134" s="4" t="n">
        <f aca="false">H1134*P1134</f>
        <v>1914.9</v>
      </c>
      <c r="S1134" s="4" t="n">
        <f aca="false">O1134*M1134</f>
        <v>1798.718</v>
      </c>
      <c r="T1134" s="4" t="n">
        <f aca="false">R1134+S1134</f>
        <v>3713.618</v>
      </c>
      <c r="U1134" s="4" t="n">
        <f aca="false">T1134-K1134</f>
        <v>1633.698</v>
      </c>
      <c r="V1134" s="4" t="n">
        <f aca="false">R1134+S1134-U1134</f>
        <v>2079.92</v>
      </c>
      <c r="W1134" s="5" t="str">
        <f aca="false">IF(ROUND(V1134-K1134,2)=0,"OK","ERRO")</f>
        <v>OK</v>
      </c>
      <c r="X1134" s="5" t="str">
        <f aca="false">VLOOKUP(F1134,DIM_SERVICO!$A$2:$D$151,3,FALSE())</f>
        <v>Suspensão</v>
      </c>
    </row>
    <row r="1135" customFormat="false" ht="15" hidden="false" customHeight="false" outlineLevel="0" collapsed="false">
      <c r="A1135" s="6" t="n">
        <v>1134</v>
      </c>
      <c r="B1135" s="6" t="n">
        <v>510</v>
      </c>
      <c r="C1135" s="6" t="n">
        <v>691</v>
      </c>
      <c r="D1135" s="6" t="n">
        <v>44</v>
      </c>
      <c r="E1135" s="6" t="n">
        <v>375</v>
      </c>
      <c r="F1135" s="6" t="n">
        <v>126</v>
      </c>
      <c r="G1135" s="6" t="n">
        <v>1401</v>
      </c>
      <c r="H1135" s="6" t="n">
        <v>4</v>
      </c>
      <c r="I1135" s="7" t="n">
        <v>544.84</v>
      </c>
      <c r="J1135" s="7" t="n">
        <v>722.81</v>
      </c>
      <c r="K1135" s="7" t="n">
        <v>1490.33</v>
      </c>
      <c r="L1135" s="7" t="n">
        <v>680.92</v>
      </c>
      <c r="M1135" s="6" t="n">
        <v>3.6</v>
      </c>
      <c r="N1135" s="6" t="s">
        <v>24</v>
      </c>
      <c r="O1135" s="8" t="n">
        <f aca="false">VLOOKUP(F1135,DIM_SERVICO!$A$2:$D$151,4,FALSE())</f>
        <v>722.81</v>
      </c>
      <c r="P1135" s="8" t="n">
        <f aca="false">VLOOKUP(E1135,DIM_PECA!$A$2:$F$501,6,FALSE())</f>
        <v>191.88</v>
      </c>
      <c r="Q1135" s="8" t="n">
        <f aca="false">VLOOKUP(E1135,DIM_PECA!$A$2:$F$501,5,FALSE())</f>
        <v>136.21</v>
      </c>
      <c r="R1135" s="8" t="n">
        <f aca="false">H1135*P1135</f>
        <v>767.52</v>
      </c>
      <c r="S1135" s="8" t="n">
        <f aca="false">O1135*M1135</f>
        <v>2602.116</v>
      </c>
      <c r="T1135" s="8" t="n">
        <f aca="false">R1135+S1135</f>
        <v>3369.636</v>
      </c>
      <c r="U1135" s="8" t="n">
        <f aca="false">T1135-K1135</f>
        <v>1879.306</v>
      </c>
      <c r="V1135" s="8" t="n">
        <f aca="false">R1135+S1135-U1135</f>
        <v>1490.33</v>
      </c>
      <c r="W1135" s="9" t="str">
        <f aca="false">IF(ROUND(V1135-K1135,2)=0,"OK","ERRO")</f>
        <v>OK</v>
      </c>
      <c r="X1135" s="9" t="str">
        <f aca="false">VLOOKUP(F1135,DIM_SERVICO!$A$2:$D$151,3,FALSE())</f>
        <v>Freios</v>
      </c>
    </row>
    <row r="1136" customFormat="false" ht="15" hidden="false" customHeight="false" outlineLevel="0" collapsed="false">
      <c r="A1136" s="2" t="n">
        <v>1135</v>
      </c>
      <c r="B1136" s="2" t="n">
        <v>1330</v>
      </c>
      <c r="C1136" s="2" t="n">
        <v>124</v>
      </c>
      <c r="D1136" s="2" t="n">
        <v>1187</v>
      </c>
      <c r="E1136" s="2" t="n">
        <v>444</v>
      </c>
      <c r="F1136" s="2" t="n">
        <v>71</v>
      </c>
      <c r="G1136" s="2" t="n">
        <v>1202</v>
      </c>
      <c r="H1136" s="2" t="n">
        <v>4</v>
      </c>
      <c r="I1136" s="3" t="n">
        <v>4233.92</v>
      </c>
      <c r="J1136" s="3" t="n">
        <v>482.15</v>
      </c>
      <c r="K1136" s="3" t="n">
        <v>5595.79</v>
      </c>
      <c r="L1136" s="3" t="n">
        <v>1185.37</v>
      </c>
      <c r="M1136" s="2" t="n">
        <v>8.5</v>
      </c>
      <c r="N1136" s="2" t="s">
        <v>24</v>
      </c>
      <c r="O1136" s="4" t="n">
        <f aca="false">VLOOKUP(F1136,DIM_SERVICO!$A$2:$D$151,4,FALSE())</f>
        <v>482.15</v>
      </c>
      <c r="P1136" s="4" t="n">
        <f aca="false">VLOOKUP(E1136,DIM_PECA!$A$2:$F$501,6,FALSE())</f>
        <v>1433.85</v>
      </c>
      <c r="Q1136" s="4" t="n">
        <f aca="false">VLOOKUP(E1136,DIM_PECA!$A$2:$F$501,5,FALSE())</f>
        <v>1058.48</v>
      </c>
      <c r="R1136" s="4" t="n">
        <f aca="false">H1136*P1136</f>
        <v>5735.4</v>
      </c>
      <c r="S1136" s="4" t="n">
        <f aca="false">O1136*M1136</f>
        <v>4098.275</v>
      </c>
      <c r="T1136" s="4" t="n">
        <f aca="false">R1136+S1136</f>
        <v>9833.675</v>
      </c>
      <c r="U1136" s="4" t="n">
        <f aca="false">T1136-K1136</f>
        <v>4237.885</v>
      </c>
      <c r="V1136" s="4" t="n">
        <f aca="false">R1136+S1136-U1136</f>
        <v>5595.79</v>
      </c>
      <c r="W1136" s="5" t="str">
        <f aca="false">IF(ROUND(V1136-K1136,2)=0,"OK","ERRO")</f>
        <v>OK</v>
      </c>
      <c r="X1136" s="5" t="str">
        <f aca="false">VLOOKUP(F1136,DIM_SERVICO!$A$2:$D$151,3,FALSE())</f>
        <v>Elétrica</v>
      </c>
    </row>
    <row r="1137" customFormat="false" ht="15" hidden="false" customHeight="false" outlineLevel="0" collapsed="false">
      <c r="A1137" s="6" t="n">
        <v>1136</v>
      </c>
      <c r="B1137" s="6" t="n">
        <v>288</v>
      </c>
      <c r="C1137" s="6" t="n">
        <v>1297</v>
      </c>
      <c r="D1137" s="6" t="n">
        <v>580</v>
      </c>
      <c r="E1137" s="6" t="n">
        <v>48</v>
      </c>
      <c r="F1137" s="6" t="n">
        <v>102</v>
      </c>
      <c r="G1137" s="6" t="n">
        <v>804</v>
      </c>
      <c r="H1137" s="6" t="n">
        <v>2</v>
      </c>
      <c r="I1137" s="7" t="n">
        <v>1907.94</v>
      </c>
      <c r="J1137" s="7" t="n">
        <v>352.9</v>
      </c>
      <c r="K1137" s="7" t="n">
        <v>4091.32</v>
      </c>
      <c r="L1137" s="7" t="n">
        <v>2053.38</v>
      </c>
      <c r="M1137" s="6" t="n">
        <v>6.1</v>
      </c>
      <c r="N1137" s="6" t="s">
        <v>24</v>
      </c>
      <c r="O1137" s="8" t="n">
        <f aca="false">VLOOKUP(F1137,DIM_SERVICO!$A$2:$D$151,4,FALSE())</f>
        <v>352.9</v>
      </c>
      <c r="P1137" s="8" t="n">
        <f aca="false">VLOOKUP(E1137,DIM_PECA!$A$2:$F$501,6,FALSE())</f>
        <v>1910.96</v>
      </c>
      <c r="Q1137" s="8" t="n">
        <f aca="false">VLOOKUP(E1137,DIM_PECA!$A$2:$F$501,5,FALSE())</f>
        <v>953.97</v>
      </c>
      <c r="R1137" s="8" t="n">
        <f aca="false">H1137*P1137</f>
        <v>3821.92</v>
      </c>
      <c r="S1137" s="8" t="n">
        <f aca="false">O1137*M1137</f>
        <v>2152.69</v>
      </c>
      <c r="T1137" s="8" t="n">
        <f aca="false">R1137+S1137</f>
        <v>5974.61</v>
      </c>
      <c r="U1137" s="8" t="n">
        <f aca="false">T1137-K1137</f>
        <v>1883.29</v>
      </c>
      <c r="V1137" s="8" t="n">
        <f aca="false">R1137+S1137-U1137</f>
        <v>4091.32</v>
      </c>
      <c r="W1137" s="9" t="str">
        <f aca="false">IF(ROUND(V1137-K1137,2)=0,"OK","ERRO")</f>
        <v>OK</v>
      </c>
      <c r="X1137" s="9" t="str">
        <f aca="false">VLOOKUP(F1137,DIM_SERVICO!$A$2:$D$151,3,FALSE())</f>
        <v>Motor</v>
      </c>
    </row>
    <row r="1138" customFormat="false" ht="15" hidden="false" customHeight="false" outlineLevel="0" collapsed="false">
      <c r="A1138" s="2" t="n">
        <v>1137</v>
      </c>
      <c r="B1138" s="2" t="n">
        <v>348</v>
      </c>
      <c r="C1138" s="2" t="n">
        <v>869</v>
      </c>
      <c r="D1138" s="2" t="n">
        <v>573</v>
      </c>
      <c r="E1138" s="2" t="n">
        <v>475</v>
      </c>
      <c r="F1138" s="2" t="n">
        <v>137</v>
      </c>
      <c r="G1138" s="2" t="n">
        <v>1412</v>
      </c>
      <c r="H1138" s="2" t="n">
        <v>4</v>
      </c>
      <c r="I1138" s="3" t="n">
        <v>1765.2</v>
      </c>
      <c r="J1138" s="3" t="n">
        <v>1147.35</v>
      </c>
      <c r="K1138" s="3" t="n">
        <v>4501.79</v>
      </c>
      <c r="L1138" s="3" t="n">
        <v>2218.57</v>
      </c>
      <c r="M1138" s="2" t="n">
        <v>10.1</v>
      </c>
      <c r="N1138" s="2" t="s">
        <v>24</v>
      </c>
      <c r="O1138" s="4" t="n">
        <f aca="false">VLOOKUP(F1138,DIM_SERVICO!$A$2:$D$151,4,FALSE())</f>
        <v>1147.35</v>
      </c>
      <c r="P1138" s="4" t="n">
        <f aca="false">VLOOKUP(E1138,DIM_PECA!$A$2:$F$501,6,FALSE())</f>
        <v>963.66</v>
      </c>
      <c r="Q1138" s="4" t="n">
        <f aca="false">VLOOKUP(E1138,DIM_PECA!$A$2:$F$501,5,FALSE())</f>
        <v>441.3</v>
      </c>
      <c r="R1138" s="4" t="n">
        <f aca="false">H1138*P1138</f>
        <v>3854.64</v>
      </c>
      <c r="S1138" s="4" t="n">
        <f aca="false">O1138*M1138</f>
        <v>11588.235</v>
      </c>
      <c r="T1138" s="4" t="n">
        <f aca="false">R1138+S1138</f>
        <v>15442.875</v>
      </c>
      <c r="U1138" s="4" t="n">
        <f aca="false">T1138-K1138</f>
        <v>10941.085</v>
      </c>
      <c r="V1138" s="4" t="n">
        <f aca="false">R1138+S1138-U1138</f>
        <v>4501.79</v>
      </c>
      <c r="W1138" s="5" t="str">
        <f aca="false">IF(ROUND(V1138-K1138,2)=0,"OK","ERRO")</f>
        <v>OK</v>
      </c>
      <c r="X1138" s="5" t="str">
        <f aca="false">VLOOKUP(F1138,DIM_SERVICO!$A$2:$D$151,3,FALSE())</f>
        <v>Diagnóstico</v>
      </c>
    </row>
    <row r="1139" customFormat="false" ht="15" hidden="false" customHeight="false" outlineLevel="0" collapsed="false">
      <c r="A1139" s="6" t="n">
        <v>1138</v>
      </c>
      <c r="B1139" s="6" t="n">
        <v>990</v>
      </c>
      <c r="C1139" s="6" t="n">
        <v>439</v>
      </c>
      <c r="D1139" s="6" t="n">
        <v>808</v>
      </c>
      <c r="E1139" s="6" t="n">
        <v>262</v>
      </c>
      <c r="F1139" s="6" t="n">
        <v>96</v>
      </c>
      <c r="G1139" s="6" t="n">
        <v>1427</v>
      </c>
      <c r="H1139" s="6" t="n">
        <v>4</v>
      </c>
      <c r="I1139" s="7" t="n">
        <v>937.96</v>
      </c>
      <c r="J1139" s="7" t="n">
        <v>1247.25</v>
      </c>
      <c r="K1139" s="7" t="n">
        <v>3162.31</v>
      </c>
      <c r="L1139" s="7" t="n">
        <v>1763.73</v>
      </c>
      <c r="M1139" s="6" t="n">
        <v>1.9</v>
      </c>
      <c r="N1139" s="6" t="s">
        <v>24</v>
      </c>
      <c r="O1139" s="8" t="n">
        <f aca="false">VLOOKUP(F1139,DIM_SERVICO!$A$2:$D$151,4,FALSE())</f>
        <v>1247.25</v>
      </c>
      <c r="P1139" s="8" t="n">
        <f aca="false">VLOOKUP(E1139,DIM_PECA!$A$2:$F$501,6,FALSE())</f>
        <v>494.9</v>
      </c>
      <c r="Q1139" s="8" t="n">
        <f aca="false">VLOOKUP(E1139,DIM_PECA!$A$2:$F$501,5,FALSE())</f>
        <v>234.49</v>
      </c>
      <c r="R1139" s="8" t="n">
        <f aca="false">H1139*P1139</f>
        <v>1979.6</v>
      </c>
      <c r="S1139" s="8" t="n">
        <f aca="false">O1139*M1139</f>
        <v>2369.775</v>
      </c>
      <c r="T1139" s="8" t="n">
        <f aca="false">R1139+S1139</f>
        <v>4349.375</v>
      </c>
      <c r="U1139" s="8" t="n">
        <f aca="false">T1139-K1139</f>
        <v>1187.065</v>
      </c>
      <c r="V1139" s="8" t="n">
        <f aca="false">R1139+S1139-U1139</f>
        <v>3162.31</v>
      </c>
      <c r="W1139" s="9" t="str">
        <f aca="false">IF(ROUND(V1139-K1139,2)=0,"OK","ERRO")</f>
        <v>OK</v>
      </c>
      <c r="X1139" s="9" t="str">
        <f aca="false">VLOOKUP(F1139,DIM_SERVICO!$A$2:$D$151,3,FALSE())</f>
        <v>Suspensão</v>
      </c>
    </row>
    <row r="1140" customFormat="false" ht="15" hidden="false" customHeight="false" outlineLevel="0" collapsed="false">
      <c r="A1140" s="2" t="n">
        <v>1139</v>
      </c>
      <c r="B1140" s="2" t="n">
        <v>992</v>
      </c>
      <c r="C1140" s="2" t="n">
        <v>135</v>
      </c>
      <c r="D1140" s="2" t="n">
        <v>1036</v>
      </c>
      <c r="E1140" s="2" t="n">
        <v>303</v>
      </c>
      <c r="F1140" s="2" t="n">
        <v>147</v>
      </c>
      <c r="G1140" s="2" t="n">
        <v>400</v>
      </c>
      <c r="H1140" s="2" t="n">
        <v>1</v>
      </c>
      <c r="I1140" s="3" t="n">
        <v>899.38</v>
      </c>
      <c r="J1140" s="3" t="n">
        <v>1891.42</v>
      </c>
      <c r="K1140" s="3" t="n">
        <v>3245.06</v>
      </c>
      <c r="L1140" s="3" t="n">
        <v>1540.05</v>
      </c>
      <c r="M1140" s="2" t="n">
        <v>6</v>
      </c>
      <c r="N1140" s="2" t="s">
        <v>27</v>
      </c>
      <c r="O1140" s="4" t="n">
        <f aca="false">VLOOKUP(F1140,DIM_SERVICO!$A$2:$D$151,4,FALSE())</f>
        <v>1891.42</v>
      </c>
      <c r="P1140" s="4" t="n">
        <f aca="false">VLOOKUP(E1140,DIM_PECA!$A$2:$F$501,6,FALSE())</f>
        <v>1419.87</v>
      </c>
      <c r="Q1140" s="4" t="n">
        <f aca="false">VLOOKUP(E1140,DIM_PECA!$A$2:$F$501,5,FALSE())</f>
        <v>899.38</v>
      </c>
      <c r="R1140" s="4" t="n">
        <f aca="false">H1140*P1140</f>
        <v>1419.87</v>
      </c>
      <c r="S1140" s="4" t="n">
        <f aca="false">O1140*M1140</f>
        <v>11348.52</v>
      </c>
      <c r="T1140" s="4" t="n">
        <f aca="false">R1140+S1140</f>
        <v>12768.39</v>
      </c>
      <c r="U1140" s="4" t="n">
        <f aca="false">T1140-K1140</f>
        <v>9523.33</v>
      </c>
      <c r="V1140" s="4" t="n">
        <f aca="false">R1140+S1140-U1140</f>
        <v>3245.06</v>
      </c>
      <c r="W1140" s="5" t="str">
        <f aca="false">IF(ROUND(V1140-K1140,2)=0,"OK","ERRO")</f>
        <v>OK</v>
      </c>
      <c r="X1140" s="5" t="str">
        <f aca="false">VLOOKUP(F1140,DIM_SERVICO!$A$2:$D$151,3,FALSE())</f>
        <v>Motor</v>
      </c>
    </row>
    <row r="1141" customFormat="false" ht="15" hidden="false" customHeight="false" outlineLevel="0" collapsed="false">
      <c r="A1141" s="6" t="n">
        <v>1140</v>
      </c>
      <c r="B1141" s="6" t="n">
        <v>760</v>
      </c>
      <c r="C1141" s="6" t="n">
        <v>1364</v>
      </c>
      <c r="D1141" s="6" t="n">
        <v>878</v>
      </c>
      <c r="E1141" s="6" t="n">
        <v>327</v>
      </c>
      <c r="F1141" s="6" t="n">
        <v>3</v>
      </c>
      <c r="G1141" s="6" t="n">
        <v>3</v>
      </c>
      <c r="H1141" s="6" t="n">
        <v>2</v>
      </c>
      <c r="I1141" s="7" t="n">
        <v>1932.68</v>
      </c>
      <c r="J1141" s="7" t="n">
        <v>274.77</v>
      </c>
      <c r="K1141" s="7" t="n">
        <v>3447.53</v>
      </c>
      <c r="L1141" s="7" t="n">
        <v>1383.14</v>
      </c>
      <c r="M1141" s="6" t="n">
        <v>10.4</v>
      </c>
      <c r="N1141" s="6" t="s">
        <v>25</v>
      </c>
      <c r="O1141" s="8" t="n">
        <f aca="false">VLOOKUP(F1141,DIM_SERVICO!$A$2:$D$151,4,FALSE())</f>
        <v>274.77</v>
      </c>
      <c r="P1141" s="8" t="n">
        <f aca="false">VLOOKUP(E1141,DIM_PECA!$A$2:$F$501,6,FALSE())</f>
        <v>1586.38</v>
      </c>
      <c r="Q1141" s="8" t="n">
        <f aca="false">VLOOKUP(E1141,DIM_PECA!$A$2:$F$501,5,FALSE())</f>
        <v>966.34</v>
      </c>
      <c r="R1141" s="8" t="n">
        <f aca="false">H1141*P1141</f>
        <v>3172.76</v>
      </c>
      <c r="S1141" s="8" t="n">
        <f aca="false">O1141*M1141</f>
        <v>2857.608</v>
      </c>
      <c r="T1141" s="8" t="n">
        <f aca="false">R1141+S1141</f>
        <v>6030.368</v>
      </c>
      <c r="U1141" s="8" t="n">
        <f aca="false">T1141-K1141</f>
        <v>2582.838</v>
      </c>
      <c r="V1141" s="8" t="n">
        <f aca="false">R1141+S1141-U1141</f>
        <v>3447.53</v>
      </c>
      <c r="W1141" s="9" t="str">
        <f aca="false">IF(ROUND(V1141-K1141,2)=0,"OK","ERRO")</f>
        <v>OK</v>
      </c>
      <c r="X1141" s="9" t="str">
        <f aca="false">VLOOKUP(F1141,DIM_SERVICO!$A$2:$D$151,3,FALSE())</f>
        <v>Pintura</v>
      </c>
    </row>
    <row r="1142" customFormat="false" ht="15" hidden="false" customHeight="false" outlineLevel="0" collapsed="false">
      <c r="A1142" s="2" t="n">
        <v>1141</v>
      </c>
      <c r="B1142" s="2" t="n">
        <v>1366</v>
      </c>
      <c r="C1142" s="2" t="n">
        <v>330</v>
      </c>
      <c r="D1142" s="2" t="n">
        <v>500</v>
      </c>
      <c r="E1142" s="2" t="n">
        <v>157</v>
      </c>
      <c r="F1142" s="2" t="n">
        <v>87</v>
      </c>
      <c r="G1142" s="2" t="n">
        <v>375</v>
      </c>
      <c r="H1142" s="2" t="n">
        <v>4</v>
      </c>
      <c r="I1142" s="3" t="n">
        <v>1827.8</v>
      </c>
      <c r="J1142" s="3" t="n">
        <v>1231.26</v>
      </c>
      <c r="K1142" s="3" t="n">
        <v>4642.86</v>
      </c>
      <c r="L1142" s="3" t="n">
        <v>2140.23</v>
      </c>
      <c r="M1142" s="2" t="n">
        <v>11.4</v>
      </c>
      <c r="N1142" s="2" t="s">
        <v>24</v>
      </c>
      <c r="O1142" s="4" t="n">
        <f aca="false">VLOOKUP(F1142,DIM_SERVICO!$A$2:$D$151,4,FALSE())</f>
        <v>1231.26</v>
      </c>
      <c r="P1142" s="4" t="n">
        <f aca="false">VLOOKUP(E1142,DIM_PECA!$A$2:$F$501,6,FALSE())</f>
        <v>913.99</v>
      </c>
      <c r="Q1142" s="4" t="n">
        <f aca="false">VLOOKUP(E1142,DIM_PECA!$A$2:$F$501,5,FALSE())</f>
        <v>456.95</v>
      </c>
      <c r="R1142" s="4" t="n">
        <f aca="false">H1142*P1142</f>
        <v>3655.96</v>
      </c>
      <c r="S1142" s="4" t="n">
        <f aca="false">O1142*M1142</f>
        <v>14036.364</v>
      </c>
      <c r="T1142" s="4" t="n">
        <f aca="false">R1142+S1142</f>
        <v>17692.324</v>
      </c>
      <c r="U1142" s="4" t="n">
        <f aca="false">T1142-K1142</f>
        <v>13049.464</v>
      </c>
      <c r="V1142" s="4" t="n">
        <f aca="false">R1142+S1142-U1142</f>
        <v>4642.86</v>
      </c>
      <c r="W1142" s="5" t="str">
        <f aca="false">IF(ROUND(V1142-K1142,2)=0,"OK","ERRO")</f>
        <v>OK</v>
      </c>
      <c r="X1142" s="5" t="str">
        <f aca="false">VLOOKUP(F1142,DIM_SERVICO!$A$2:$D$151,3,FALSE())</f>
        <v>Elétrica</v>
      </c>
    </row>
    <row r="1143" customFormat="false" ht="15" hidden="false" customHeight="false" outlineLevel="0" collapsed="false">
      <c r="A1143" s="6" t="n">
        <v>1142</v>
      </c>
      <c r="B1143" s="6" t="n">
        <v>873</v>
      </c>
      <c r="C1143" s="6" t="n">
        <v>1</v>
      </c>
      <c r="D1143" s="6" t="n">
        <v>18</v>
      </c>
      <c r="E1143" s="6" t="n">
        <v>113</v>
      </c>
      <c r="F1143" s="6" t="n">
        <v>140</v>
      </c>
      <c r="G1143" s="6" t="n">
        <v>1018</v>
      </c>
      <c r="H1143" s="6" t="n">
        <v>1</v>
      </c>
      <c r="I1143" s="7" t="n">
        <v>840.39</v>
      </c>
      <c r="J1143" s="7" t="n">
        <v>1109.33</v>
      </c>
      <c r="K1143" s="7" t="n">
        <v>2387.05</v>
      </c>
      <c r="L1143" s="7" t="n">
        <v>939.28</v>
      </c>
      <c r="M1143" s="6" t="n">
        <v>5.4</v>
      </c>
      <c r="N1143" s="6" t="s">
        <v>24</v>
      </c>
      <c r="O1143" s="8" t="n">
        <f aca="false">VLOOKUP(F1143,DIM_SERVICO!$A$2:$D$151,4,FALSE())</f>
        <v>1109.33</v>
      </c>
      <c r="P1143" s="8" t="n">
        <f aca="false">VLOOKUP(E1143,DIM_PECA!$A$2:$F$501,6,FALSE())</f>
        <v>1326.44</v>
      </c>
      <c r="Q1143" s="8" t="n">
        <f aca="false">VLOOKUP(E1143,DIM_PECA!$A$2:$F$501,5,FALSE())</f>
        <v>840.39</v>
      </c>
      <c r="R1143" s="8" t="n">
        <f aca="false">H1143*P1143</f>
        <v>1326.44</v>
      </c>
      <c r="S1143" s="8" t="n">
        <f aca="false">O1143*M1143</f>
        <v>5990.382</v>
      </c>
      <c r="T1143" s="8" t="n">
        <f aca="false">R1143+S1143</f>
        <v>7316.822</v>
      </c>
      <c r="U1143" s="8" t="n">
        <f aca="false">T1143-K1143</f>
        <v>4929.772</v>
      </c>
      <c r="V1143" s="8" t="n">
        <f aca="false">R1143+S1143-U1143</f>
        <v>2387.05</v>
      </c>
      <c r="W1143" s="9" t="str">
        <f aca="false">IF(ROUND(V1143-K1143,2)=0,"OK","ERRO")</f>
        <v>OK</v>
      </c>
      <c r="X1143" s="9" t="str">
        <f aca="false">VLOOKUP(F1143,DIM_SERVICO!$A$2:$D$151,3,FALSE())</f>
        <v>Revisão</v>
      </c>
    </row>
    <row r="1144" customFormat="false" ht="15" hidden="false" customHeight="false" outlineLevel="0" collapsed="false">
      <c r="A1144" s="2" t="n">
        <v>1143</v>
      </c>
      <c r="B1144" s="2" t="n">
        <v>22</v>
      </c>
      <c r="C1144" s="2" t="n">
        <v>698</v>
      </c>
      <c r="D1144" s="2" t="n">
        <v>1006</v>
      </c>
      <c r="E1144" s="2" t="n">
        <v>158</v>
      </c>
      <c r="F1144" s="2" t="n">
        <v>23</v>
      </c>
      <c r="G1144" s="2" t="n">
        <v>1349</v>
      </c>
      <c r="H1144" s="2" t="n">
        <v>4</v>
      </c>
      <c r="I1144" s="3" t="n">
        <v>4176.48</v>
      </c>
      <c r="J1144" s="3" t="n">
        <v>1828.61</v>
      </c>
      <c r="K1144" s="3" t="n">
        <v>8459.42</v>
      </c>
      <c r="L1144" s="3" t="n">
        <v>3406.84</v>
      </c>
      <c r="M1144" s="2" t="n">
        <v>10.1</v>
      </c>
      <c r="N1144" s="2" t="s">
        <v>26</v>
      </c>
      <c r="O1144" s="4" t="n">
        <f aca="false">VLOOKUP(F1144,DIM_SERVICO!$A$2:$D$151,4,FALSE())</f>
        <v>1828.61</v>
      </c>
      <c r="P1144" s="4" t="n">
        <f aca="false">VLOOKUP(E1144,DIM_PECA!$A$2:$F$501,6,FALSE())</f>
        <v>1769.01</v>
      </c>
      <c r="Q1144" s="4" t="n">
        <f aca="false">VLOOKUP(E1144,DIM_PECA!$A$2:$F$501,5,FALSE())</f>
        <v>1044.12</v>
      </c>
      <c r="R1144" s="4" t="n">
        <f aca="false">H1144*P1144</f>
        <v>7076.04</v>
      </c>
      <c r="S1144" s="4" t="n">
        <f aca="false">O1144*M1144</f>
        <v>18468.961</v>
      </c>
      <c r="T1144" s="4" t="n">
        <f aca="false">R1144+S1144</f>
        <v>25545.001</v>
      </c>
      <c r="U1144" s="4" t="n">
        <f aca="false">T1144-K1144</f>
        <v>17085.581</v>
      </c>
      <c r="V1144" s="4" t="n">
        <f aca="false">R1144+S1144-U1144</f>
        <v>8459.42</v>
      </c>
      <c r="W1144" s="5" t="str">
        <f aca="false">IF(ROUND(V1144-K1144,2)=0,"OK","ERRO")</f>
        <v>OK</v>
      </c>
      <c r="X1144" s="5" t="str">
        <f aca="false">VLOOKUP(F1144,DIM_SERVICO!$A$2:$D$151,3,FALSE())</f>
        <v>Freios</v>
      </c>
    </row>
    <row r="1145" customFormat="false" ht="15" hidden="false" customHeight="false" outlineLevel="0" collapsed="false">
      <c r="A1145" s="6" t="n">
        <v>1144</v>
      </c>
      <c r="B1145" s="6" t="n">
        <v>1346</v>
      </c>
      <c r="C1145" s="6" t="n">
        <v>1231</v>
      </c>
      <c r="D1145" s="6" t="n">
        <v>1165</v>
      </c>
      <c r="E1145" s="6" t="n">
        <v>262</v>
      </c>
      <c r="F1145" s="6" t="n">
        <v>125</v>
      </c>
      <c r="G1145" s="6" t="n">
        <v>1428</v>
      </c>
      <c r="H1145" s="6" t="n">
        <v>3</v>
      </c>
      <c r="I1145" s="7" t="n">
        <v>703.47</v>
      </c>
      <c r="J1145" s="7" t="n">
        <v>988.93</v>
      </c>
      <c r="K1145" s="7" t="n">
        <v>2349.95</v>
      </c>
      <c r="L1145" s="7" t="n">
        <v>1159.86</v>
      </c>
      <c r="M1145" s="6" t="n">
        <v>2.6</v>
      </c>
      <c r="N1145" s="6" t="s">
        <v>27</v>
      </c>
      <c r="O1145" s="8" t="n">
        <f aca="false">VLOOKUP(F1145,DIM_SERVICO!$A$2:$D$151,4,FALSE())</f>
        <v>988.93</v>
      </c>
      <c r="P1145" s="8" t="n">
        <f aca="false">VLOOKUP(E1145,DIM_PECA!$A$2:$F$501,6,FALSE())</f>
        <v>494.9</v>
      </c>
      <c r="Q1145" s="8" t="n">
        <f aca="false">VLOOKUP(E1145,DIM_PECA!$A$2:$F$501,5,FALSE())</f>
        <v>234.49</v>
      </c>
      <c r="R1145" s="8" t="n">
        <f aca="false">H1145*P1145</f>
        <v>1484.7</v>
      </c>
      <c r="S1145" s="8" t="n">
        <f aca="false">O1145*M1145</f>
        <v>2571.218</v>
      </c>
      <c r="T1145" s="8" t="n">
        <f aca="false">R1145+S1145</f>
        <v>4055.918</v>
      </c>
      <c r="U1145" s="8" t="n">
        <f aca="false">T1145-K1145</f>
        <v>1705.968</v>
      </c>
      <c r="V1145" s="8" t="n">
        <f aca="false">R1145+S1145-U1145</f>
        <v>2349.95</v>
      </c>
      <c r="W1145" s="9" t="str">
        <f aca="false">IF(ROUND(V1145-K1145,2)=0,"OK","ERRO")</f>
        <v>OK</v>
      </c>
      <c r="X1145" s="9" t="str">
        <f aca="false">VLOOKUP(F1145,DIM_SERVICO!$A$2:$D$151,3,FALSE())</f>
        <v>Suspensão</v>
      </c>
    </row>
    <row r="1146" customFormat="false" ht="15" hidden="false" customHeight="false" outlineLevel="0" collapsed="false">
      <c r="A1146" s="2" t="n">
        <v>1145</v>
      </c>
      <c r="B1146" s="2" t="n">
        <v>692</v>
      </c>
      <c r="C1146" s="2" t="n">
        <v>430</v>
      </c>
      <c r="D1146" s="2" t="n">
        <v>1047</v>
      </c>
      <c r="E1146" s="2" t="n">
        <v>73</v>
      </c>
      <c r="F1146" s="2" t="n">
        <v>43</v>
      </c>
      <c r="G1146" s="2" t="n">
        <v>775</v>
      </c>
      <c r="H1146" s="2" t="n">
        <v>4</v>
      </c>
      <c r="I1146" s="3" t="n">
        <v>1563.48</v>
      </c>
      <c r="J1146" s="3" t="n">
        <v>1163.17</v>
      </c>
      <c r="K1146" s="3" t="n">
        <v>4190.61</v>
      </c>
      <c r="L1146" s="3" t="n">
        <v>2110.49</v>
      </c>
      <c r="M1146" s="2" t="n">
        <v>8.4</v>
      </c>
      <c r="N1146" s="2" t="s">
        <v>27</v>
      </c>
      <c r="O1146" s="4" t="n">
        <f aca="false">VLOOKUP(F1146,DIM_SERVICO!$A$2:$D$151,4,FALSE())</f>
        <v>1163.17</v>
      </c>
      <c r="P1146" s="4" t="n">
        <f aca="false">VLOOKUP(E1146,DIM_PECA!$A$2:$F$501,6,FALSE())</f>
        <v>812</v>
      </c>
      <c r="Q1146" s="4" t="n">
        <f aca="false">VLOOKUP(E1146,DIM_PECA!$A$2:$F$501,5,FALSE())</f>
        <v>390.87</v>
      </c>
      <c r="R1146" s="4" t="n">
        <f aca="false">H1146*P1146</f>
        <v>3248</v>
      </c>
      <c r="S1146" s="4" t="n">
        <f aca="false">O1146*M1146</f>
        <v>9770.628</v>
      </c>
      <c r="T1146" s="4" t="n">
        <f aca="false">R1146+S1146</f>
        <v>13018.628</v>
      </c>
      <c r="U1146" s="4" t="n">
        <f aca="false">T1146-K1146</f>
        <v>8828.018</v>
      </c>
      <c r="V1146" s="4" t="n">
        <f aca="false">R1146+S1146-U1146</f>
        <v>4190.61</v>
      </c>
      <c r="W1146" s="5" t="str">
        <f aca="false">IF(ROUND(V1146-K1146,2)=0,"OK","ERRO")</f>
        <v>OK</v>
      </c>
      <c r="X1146" s="5" t="str">
        <f aca="false">VLOOKUP(F1146,DIM_SERVICO!$A$2:$D$151,3,FALSE())</f>
        <v>Diagnóstico</v>
      </c>
    </row>
    <row r="1147" customFormat="false" ht="15" hidden="false" customHeight="false" outlineLevel="0" collapsed="false">
      <c r="A1147" s="6" t="n">
        <v>1146</v>
      </c>
      <c r="B1147" s="6" t="n">
        <v>1421</v>
      </c>
      <c r="C1147" s="6" t="n">
        <v>964</v>
      </c>
      <c r="D1147" s="6" t="n">
        <v>679</v>
      </c>
      <c r="E1147" s="6" t="n">
        <v>191</v>
      </c>
      <c r="F1147" s="6" t="n">
        <v>126</v>
      </c>
      <c r="G1147" s="6" t="n">
        <v>1089</v>
      </c>
      <c r="H1147" s="6" t="n">
        <v>3</v>
      </c>
      <c r="I1147" s="7" t="n">
        <v>2782.86</v>
      </c>
      <c r="J1147" s="7" t="n">
        <v>722.81</v>
      </c>
      <c r="K1147" s="7" t="n">
        <v>4245.26</v>
      </c>
      <c r="L1147" s="7" t="n">
        <v>1085.29</v>
      </c>
      <c r="M1147" s="6" t="n">
        <v>6.1</v>
      </c>
      <c r="N1147" s="6" t="s">
        <v>24</v>
      </c>
      <c r="O1147" s="8" t="n">
        <f aca="false">VLOOKUP(F1147,DIM_SERVICO!$A$2:$D$151,4,FALSE())</f>
        <v>722.81</v>
      </c>
      <c r="P1147" s="8" t="n">
        <f aca="false">VLOOKUP(E1147,DIM_PECA!$A$2:$F$501,6,FALSE())</f>
        <v>1331.38</v>
      </c>
      <c r="Q1147" s="8" t="n">
        <f aca="false">VLOOKUP(E1147,DIM_PECA!$A$2:$F$501,5,FALSE())</f>
        <v>927.62</v>
      </c>
      <c r="R1147" s="8" t="n">
        <f aca="false">H1147*P1147</f>
        <v>3994.14</v>
      </c>
      <c r="S1147" s="8" t="n">
        <f aca="false">O1147*M1147</f>
        <v>4409.141</v>
      </c>
      <c r="T1147" s="8" t="n">
        <f aca="false">R1147+S1147</f>
        <v>8403.281</v>
      </c>
      <c r="U1147" s="8" t="n">
        <f aca="false">T1147-K1147</f>
        <v>4158.021</v>
      </c>
      <c r="V1147" s="8" t="n">
        <f aca="false">R1147+S1147-U1147</f>
        <v>4245.26</v>
      </c>
      <c r="W1147" s="9" t="str">
        <f aca="false">IF(ROUND(V1147-K1147,2)=0,"OK","ERRO")</f>
        <v>OK</v>
      </c>
      <c r="X1147" s="9" t="str">
        <f aca="false">VLOOKUP(F1147,DIM_SERVICO!$A$2:$D$151,3,FALSE())</f>
        <v>Freios</v>
      </c>
    </row>
    <row r="1148" customFormat="false" ht="15" hidden="false" customHeight="false" outlineLevel="0" collapsed="false">
      <c r="A1148" s="2" t="n">
        <v>1147</v>
      </c>
      <c r="B1148" s="2" t="n">
        <v>92</v>
      </c>
      <c r="C1148" s="2" t="n">
        <v>1421</v>
      </c>
      <c r="D1148" s="2" t="n">
        <v>711</v>
      </c>
      <c r="E1148" s="2" t="n">
        <v>455</v>
      </c>
      <c r="F1148" s="2" t="n">
        <v>84</v>
      </c>
      <c r="G1148" s="2" t="n">
        <v>440</v>
      </c>
      <c r="H1148" s="2" t="n">
        <v>1</v>
      </c>
      <c r="I1148" s="3" t="n">
        <v>516.05</v>
      </c>
      <c r="J1148" s="3" t="n">
        <v>1250.08</v>
      </c>
      <c r="K1148" s="3" t="n">
        <v>2194.76</v>
      </c>
      <c r="L1148" s="3" t="n">
        <v>1205.35</v>
      </c>
      <c r="M1148" s="2" t="n">
        <v>11.5</v>
      </c>
      <c r="N1148" s="2" t="s">
        <v>27</v>
      </c>
      <c r="O1148" s="4" t="n">
        <f aca="false">VLOOKUP(F1148,DIM_SERVICO!$A$2:$D$151,4,FALSE())</f>
        <v>1250.08</v>
      </c>
      <c r="P1148" s="4" t="n">
        <f aca="false">VLOOKUP(E1148,DIM_PECA!$A$2:$F$501,6,FALSE())</f>
        <v>1060.19</v>
      </c>
      <c r="Q1148" s="4" t="n">
        <f aca="false">VLOOKUP(E1148,DIM_PECA!$A$2:$F$501,5,FALSE())</f>
        <v>516.05</v>
      </c>
      <c r="R1148" s="4" t="n">
        <f aca="false">H1148*P1148</f>
        <v>1060.19</v>
      </c>
      <c r="S1148" s="4" t="n">
        <f aca="false">O1148*M1148</f>
        <v>14375.92</v>
      </c>
      <c r="T1148" s="4" t="n">
        <f aca="false">R1148+S1148</f>
        <v>15436.11</v>
      </c>
      <c r="U1148" s="4" t="n">
        <f aca="false">T1148-K1148</f>
        <v>13241.35</v>
      </c>
      <c r="V1148" s="4" t="n">
        <f aca="false">R1148+S1148-U1148</f>
        <v>2194.76</v>
      </c>
      <c r="W1148" s="5" t="str">
        <f aca="false">IF(ROUND(V1148-K1148,2)=0,"OK","ERRO")</f>
        <v>OK</v>
      </c>
      <c r="X1148" s="5" t="str">
        <f aca="false">VLOOKUP(F1148,DIM_SERVICO!$A$2:$D$151,3,FALSE())</f>
        <v>Freios</v>
      </c>
    </row>
    <row r="1149" customFormat="false" ht="15" hidden="false" customHeight="false" outlineLevel="0" collapsed="false">
      <c r="A1149" s="6" t="n">
        <v>1148</v>
      </c>
      <c r="B1149" s="6" t="n">
        <v>206</v>
      </c>
      <c r="C1149" s="6" t="n">
        <v>590</v>
      </c>
      <c r="D1149" s="6" t="n">
        <v>380</v>
      </c>
      <c r="E1149" s="6" t="n">
        <v>10</v>
      </c>
      <c r="F1149" s="6" t="n">
        <v>130</v>
      </c>
      <c r="G1149" s="6" t="n">
        <v>229</v>
      </c>
      <c r="H1149" s="6" t="n">
        <v>2</v>
      </c>
      <c r="I1149" s="7" t="n">
        <v>977.48</v>
      </c>
      <c r="J1149" s="7" t="n">
        <v>170.79</v>
      </c>
      <c r="K1149" s="7" t="n">
        <v>2310.43</v>
      </c>
      <c r="L1149" s="7" t="n">
        <v>1268.05</v>
      </c>
      <c r="M1149" s="6" t="n">
        <v>11.8</v>
      </c>
      <c r="N1149" s="6" t="s">
        <v>24</v>
      </c>
      <c r="O1149" s="8" t="n">
        <f aca="false">VLOOKUP(F1149,DIM_SERVICO!$A$2:$D$151,4,FALSE())</f>
        <v>170.79</v>
      </c>
      <c r="P1149" s="8" t="n">
        <f aca="false">VLOOKUP(E1149,DIM_PECA!$A$2:$F$501,6,FALSE())</f>
        <v>1069.82</v>
      </c>
      <c r="Q1149" s="8" t="n">
        <f aca="false">VLOOKUP(E1149,DIM_PECA!$A$2:$F$501,5,FALSE())</f>
        <v>488.74</v>
      </c>
      <c r="R1149" s="8" t="n">
        <f aca="false">H1149*P1149</f>
        <v>2139.64</v>
      </c>
      <c r="S1149" s="8" t="n">
        <f aca="false">O1149*M1149</f>
        <v>2015.322</v>
      </c>
      <c r="T1149" s="8" t="n">
        <f aca="false">R1149+S1149</f>
        <v>4154.962</v>
      </c>
      <c r="U1149" s="8" t="n">
        <f aca="false">T1149-K1149</f>
        <v>1844.532</v>
      </c>
      <c r="V1149" s="8" t="n">
        <f aca="false">R1149+S1149-U1149</f>
        <v>2310.43</v>
      </c>
      <c r="W1149" s="9" t="str">
        <f aca="false">IF(ROUND(V1149-K1149,2)=0,"OK","ERRO")</f>
        <v>OK</v>
      </c>
      <c r="X1149" s="9" t="str">
        <f aca="false">VLOOKUP(F1149,DIM_SERVICO!$A$2:$D$151,3,FALSE())</f>
        <v>Pintura</v>
      </c>
    </row>
    <row r="1150" customFormat="false" ht="15" hidden="false" customHeight="false" outlineLevel="0" collapsed="false">
      <c r="A1150" s="2" t="n">
        <v>1149</v>
      </c>
      <c r="B1150" s="2" t="n">
        <v>198</v>
      </c>
      <c r="C1150" s="2" t="n">
        <v>760</v>
      </c>
      <c r="D1150" s="2" t="n">
        <v>43</v>
      </c>
      <c r="E1150" s="2" t="n">
        <v>133</v>
      </c>
      <c r="F1150" s="2" t="n">
        <v>20</v>
      </c>
      <c r="G1150" s="2" t="n">
        <v>283</v>
      </c>
      <c r="H1150" s="2" t="n">
        <v>2</v>
      </c>
      <c r="I1150" s="3" t="n">
        <v>845.36</v>
      </c>
      <c r="J1150" s="3" t="n">
        <v>295.88</v>
      </c>
      <c r="K1150" s="3" t="n">
        <v>1941.2</v>
      </c>
      <c r="L1150" s="3" t="n">
        <v>969.01</v>
      </c>
      <c r="M1150" s="2" t="n">
        <v>3.2</v>
      </c>
      <c r="N1150" s="2" t="s">
        <v>26</v>
      </c>
      <c r="O1150" s="4" t="n">
        <f aca="false">VLOOKUP(F1150,DIM_SERVICO!$A$2:$D$151,4,FALSE())</f>
        <v>295.88</v>
      </c>
      <c r="P1150" s="4" t="n">
        <f aca="false">VLOOKUP(E1150,DIM_PECA!$A$2:$F$501,6,FALSE())</f>
        <v>842.47</v>
      </c>
      <c r="Q1150" s="4" t="n">
        <f aca="false">VLOOKUP(E1150,DIM_PECA!$A$2:$F$501,5,FALSE())</f>
        <v>422.68</v>
      </c>
      <c r="R1150" s="4" t="n">
        <f aca="false">H1150*P1150</f>
        <v>1684.94</v>
      </c>
      <c r="S1150" s="4" t="n">
        <f aca="false">O1150*M1150</f>
        <v>946.816</v>
      </c>
      <c r="T1150" s="4" t="n">
        <f aca="false">R1150+S1150</f>
        <v>2631.756</v>
      </c>
      <c r="U1150" s="4" t="n">
        <f aca="false">T1150-K1150</f>
        <v>690.556</v>
      </c>
      <c r="V1150" s="4" t="n">
        <f aca="false">R1150+S1150-U1150</f>
        <v>1941.2</v>
      </c>
      <c r="W1150" s="5" t="str">
        <f aca="false">IF(ROUND(V1150-K1150,2)=0,"OK","ERRO")</f>
        <v>OK</v>
      </c>
      <c r="X1150" s="5" t="str">
        <f aca="false">VLOOKUP(F1150,DIM_SERVICO!$A$2:$D$151,3,FALSE())</f>
        <v>Elétrica</v>
      </c>
    </row>
    <row r="1151" customFormat="false" ht="15" hidden="false" customHeight="false" outlineLevel="0" collapsed="false">
      <c r="A1151" s="6" t="n">
        <v>1150</v>
      </c>
      <c r="B1151" s="6" t="n">
        <v>1228</v>
      </c>
      <c r="C1151" s="6" t="n">
        <v>765</v>
      </c>
      <c r="D1151" s="6" t="n">
        <v>6</v>
      </c>
      <c r="E1151" s="6" t="n">
        <v>293</v>
      </c>
      <c r="F1151" s="6" t="n">
        <v>72</v>
      </c>
      <c r="G1151" s="6" t="n">
        <v>1717</v>
      </c>
      <c r="H1151" s="6" t="n">
        <v>3</v>
      </c>
      <c r="I1151" s="7" t="n">
        <v>3529.92</v>
      </c>
      <c r="J1151" s="7" t="n">
        <v>710.66</v>
      </c>
      <c r="K1151" s="7" t="n">
        <v>6931.07</v>
      </c>
      <c r="L1151" s="7" t="n">
        <v>3014.88</v>
      </c>
      <c r="M1151" s="6" t="n">
        <v>7.9</v>
      </c>
      <c r="N1151" s="6" t="s">
        <v>27</v>
      </c>
      <c r="O1151" s="8" t="n">
        <f aca="false">VLOOKUP(F1151,DIM_SERVICO!$A$2:$D$151,4,FALSE())</f>
        <v>710.66</v>
      </c>
      <c r="P1151" s="8" t="n">
        <f aca="false">VLOOKUP(E1151,DIM_PECA!$A$2:$F$501,6,FALSE())</f>
        <v>2073.47</v>
      </c>
      <c r="Q1151" s="8" t="n">
        <f aca="false">VLOOKUP(E1151,DIM_PECA!$A$2:$F$501,5,FALSE())</f>
        <v>1176.64</v>
      </c>
      <c r="R1151" s="8" t="n">
        <f aca="false">H1151*P1151</f>
        <v>6220.41</v>
      </c>
      <c r="S1151" s="8" t="n">
        <f aca="false">O1151*M1151</f>
        <v>5614.214</v>
      </c>
      <c r="T1151" s="8" t="n">
        <f aca="false">R1151+S1151</f>
        <v>11834.624</v>
      </c>
      <c r="U1151" s="8" t="n">
        <f aca="false">T1151-K1151</f>
        <v>4903.554</v>
      </c>
      <c r="V1151" s="8" t="n">
        <f aca="false">R1151+S1151-U1151</f>
        <v>6931.07</v>
      </c>
      <c r="W1151" s="9" t="str">
        <f aca="false">IF(ROUND(V1151-K1151,2)=0,"OK","ERRO")</f>
        <v>OK</v>
      </c>
      <c r="X1151" s="9" t="str">
        <f aca="false">VLOOKUP(F1151,DIM_SERVICO!$A$2:$D$151,3,FALSE())</f>
        <v>Motor</v>
      </c>
    </row>
    <row r="1152" customFormat="false" ht="15" hidden="false" customHeight="false" outlineLevel="0" collapsed="false">
      <c r="A1152" s="2" t="n">
        <v>1151</v>
      </c>
      <c r="B1152" s="2" t="n">
        <v>279</v>
      </c>
      <c r="C1152" s="2" t="n">
        <v>476</v>
      </c>
      <c r="D1152" s="2" t="n">
        <v>175</v>
      </c>
      <c r="E1152" s="2" t="n">
        <v>147</v>
      </c>
      <c r="F1152" s="2" t="n">
        <v>146</v>
      </c>
      <c r="G1152" s="2" t="n">
        <v>309</v>
      </c>
      <c r="H1152" s="2" t="n">
        <v>4</v>
      </c>
      <c r="I1152" s="3" t="n">
        <v>3691.24</v>
      </c>
      <c r="J1152" s="3" t="n">
        <v>482.6</v>
      </c>
      <c r="K1152" s="3" t="n">
        <v>6476.11</v>
      </c>
      <c r="L1152" s="3" t="n">
        <v>2598.85</v>
      </c>
      <c r="M1152" s="2" t="n">
        <v>8.1</v>
      </c>
      <c r="N1152" s="2" t="s">
        <v>26</v>
      </c>
      <c r="O1152" s="4" t="n">
        <f aca="false">VLOOKUP(F1152,DIM_SERVICO!$A$2:$D$151,4,FALSE())</f>
        <v>482.6</v>
      </c>
      <c r="P1152" s="4" t="n">
        <f aca="false">VLOOKUP(E1152,DIM_PECA!$A$2:$F$501,6,FALSE())</f>
        <v>1531.42</v>
      </c>
      <c r="Q1152" s="4" t="n">
        <f aca="false">VLOOKUP(E1152,DIM_PECA!$A$2:$F$501,5,FALSE())</f>
        <v>922.81</v>
      </c>
      <c r="R1152" s="4" t="n">
        <f aca="false">H1152*P1152</f>
        <v>6125.68</v>
      </c>
      <c r="S1152" s="4" t="n">
        <f aca="false">O1152*M1152</f>
        <v>3909.06</v>
      </c>
      <c r="T1152" s="4" t="n">
        <f aca="false">R1152+S1152</f>
        <v>10034.74</v>
      </c>
      <c r="U1152" s="4" t="n">
        <f aca="false">T1152-K1152</f>
        <v>3558.63</v>
      </c>
      <c r="V1152" s="4" t="n">
        <f aca="false">R1152+S1152-U1152</f>
        <v>6476.11</v>
      </c>
      <c r="W1152" s="5" t="str">
        <f aca="false">IF(ROUND(V1152-K1152,2)=0,"OK","ERRO")</f>
        <v>OK</v>
      </c>
      <c r="X1152" s="5" t="str">
        <f aca="false">VLOOKUP(F1152,DIM_SERVICO!$A$2:$D$151,3,FALSE())</f>
        <v>Funilaria</v>
      </c>
    </row>
    <row r="1153" customFormat="false" ht="15" hidden="false" customHeight="false" outlineLevel="0" collapsed="false">
      <c r="A1153" s="6" t="n">
        <v>1152</v>
      </c>
      <c r="B1153" s="6" t="n">
        <v>418</v>
      </c>
      <c r="C1153" s="6" t="n">
        <v>1007</v>
      </c>
      <c r="D1153" s="6" t="n">
        <v>801</v>
      </c>
      <c r="E1153" s="6" t="n">
        <v>220</v>
      </c>
      <c r="F1153" s="6" t="n">
        <v>1</v>
      </c>
      <c r="G1153" s="6" t="n">
        <v>413</v>
      </c>
      <c r="H1153" s="6" t="n">
        <v>2</v>
      </c>
      <c r="I1153" s="7" t="n">
        <v>2397.38</v>
      </c>
      <c r="J1153" s="7" t="n">
        <v>412.84</v>
      </c>
      <c r="K1153" s="7" t="n">
        <v>4649.08</v>
      </c>
      <c r="L1153" s="7" t="n">
        <v>2051.03</v>
      </c>
      <c r="M1153" s="6" t="n">
        <v>1.2</v>
      </c>
      <c r="N1153" s="6" t="s">
        <v>25</v>
      </c>
      <c r="O1153" s="8" t="n">
        <f aca="false">VLOOKUP(F1153,DIM_SERVICO!$A$2:$D$151,4,FALSE())</f>
        <v>412.84</v>
      </c>
      <c r="P1153" s="8" t="n">
        <f aca="false">VLOOKUP(E1153,DIM_PECA!$A$2:$F$501,6,FALSE())</f>
        <v>2376.4</v>
      </c>
      <c r="Q1153" s="8" t="n">
        <f aca="false">VLOOKUP(E1153,DIM_PECA!$A$2:$F$501,5,FALSE())</f>
        <v>1198.69</v>
      </c>
      <c r="R1153" s="8" t="n">
        <f aca="false">H1153*P1153</f>
        <v>4752.8</v>
      </c>
      <c r="S1153" s="8" t="n">
        <f aca="false">O1153*M1153</f>
        <v>495.408</v>
      </c>
      <c r="T1153" s="8" t="n">
        <f aca="false">R1153+S1153</f>
        <v>5248.208</v>
      </c>
      <c r="U1153" s="8" t="n">
        <f aca="false">T1153-K1153</f>
        <v>599.128000000001</v>
      </c>
      <c r="V1153" s="8" t="n">
        <f aca="false">R1153+S1153-U1153</f>
        <v>4649.08</v>
      </c>
      <c r="W1153" s="9" t="str">
        <f aca="false">IF(ROUND(V1153-K1153,2)=0,"OK","ERRO")</f>
        <v>OK</v>
      </c>
      <c r="X1153" s="9" t="str">
        <f aca="false">VLOOKUP(F1153,DIM_SERVICO!$A$2:$D$151,3,FALSE())</f>
        <v>Elétrica</v>
      </c>
    </row>
    <row r="1154" customFormat="false" ht="15" hidden="false" customHeight="false" outlineLevel="0" collapsed="false">
      <c r="A1154" s="2" t="n">
        <v>1153</v>
      </c>
      <c r="B1154" s="2" t="n">
        <v>1020</v>
      </c>
      <c r="C1154" s="2" t="n">
        <v>144</v>
      </c>
      <c r="D1154" s="2" t="n">
        <v>113</v>
      </c>
      <c r="E1154" s="2" t="n">
        <v>26</v>
      </c>
      <c r="F1154" s="2" t="n">
        <v>37</v>
      </c>
      <c r="G1154" s="2" t="n">
        <v>523</v>
      </c>
      <c r="H1154" s="2" t="n">
        <v>3</v>
      </c>
      <c r="I1154" s="3" t="n">
        <v>1027.35</v>
      </c>
      <c r="J1154" s="3" t="n">
        <v>388.25</v>
      </c>
      <c r="K1154" s="3" t="n">
        <v>2317.35</v>
      </c>
      <c r="L1154" s="3" t="n">
        <v>1094.13</v>
      </c>
      <c r="M1154" s="2" t="n">
        <v>6.6</v>
      </c>
      <c r="N1154" s="2" t="s">
        <v>27</v>
      </c>
      <c r="O1154" s="4" t="n">
        <f aca="false">VLOOKUP(F1154,DIM_SERVICO!$A$2:$D$151,4,FALSE())</f>
        <v>388.25</v>
      </c>
      <c r="P1154" s="4" t="n">
        <f aca="false">VLOOKUP(E1154,DIM_PECA!$A$2:$F$501,6,FALSE())</f>
        <v>683.69</v>
      </c>
      <c r="Q1154" s="4" t="n">
        <f aca="false">VLOOKUP(E1154,DIM_PECA!$A$2:$F$501,5,FALSE())</f>
        <v>342.45</v>
      </c>
      <c r="R1154" s="4" t="n">
        <f aca="false">H1154*P1154</f>
        <v>2051.07</v>
      </c>
      <c r="S1154" s="4" t="n">
        <f aca="false">O1154*M1154</f>
        <v>2562.45</v>
      </c>
      <c r="T1154" s="4" t="n">
        <f aca="false">R1154+S1154</f>
        <v>4613.52</v>
      </c>
      <c r="U1154" s="4" t="n">
        <f aca="false">T1154-K1154</f>
        <v>2296.17</v>
      </c>
      <c r="V1154" s="4" t="n">
        <f aca="false">R1154+S1154-U1154</f>
        <v>2317.35</v>
      </c>
      <c r="W1154" s="5" t="str">
        <f aca="false">IF(ROUND(V1154-K1154,2)=0,"OK","ERRO")</f>
        <v>OK</v>
      </c>
      <c r="X1154" s="5" t="str">
        <f aca="false">VLOOKUP(F1154,DIM_SERVICO!$A$2:$D$151,3,FALSE())</f>
        <v>Freios</v>
      </c>
    </row>
    <row r="1155" customFormat="false" ht="15" hidden="false" customHeight="false" outlineLevel="0" collapsed="false">
      <c r="A1155" s="6" t="n">
        <v>1154</v>
      </c>
      <c r="B1155" s="6" t="n">
        <v>691</v>
      </c>
      <c r="C1155" s="6" t="n">
        <v>878</v>
      </c>
      <c r="D1155" s="6" t="n">
        <v>491</v>
      </c>
      <c r="E1155" s="6" t="n">
        <v>58</v>
      </c>
      <c r="F1155" s="6" t="n">
        <v>118</v>
      </c>
      <c r="G1155" s="6" t="n">
        <v>1342</v>
      </c>
      <c r="H1155" s="6" t="n">
        <v>2</v>
      </c>
      <c r="I1155" s="7" t="n">
        <v>2217.72</v>
      </c>
      <c r="J1155" s="7" t="n">
        <v>114.25</v>
      </c>
      <c r="K1155" s="7" t="n">
        <v>3794.39</v>
      </c>
      <c r="L1155" s="7" t="n">
        <v>1522.9</v>
      </c>
      <c r="M1155" s="6" t="n">
        <v>7.5</v>
      </c>
      <c r="N1155" s="6" t="s">
        <v>24</v>
      </c>
      <c r="O1155" s="8" t="n">
        <f aca="false">VLOOKUP(F1155,DIM_SERVICO!$A$2:$D$151,4,FALSE())</f>
        <v>114.25</v>
      </c>
      <c r="P1155" s="8" t="n">
        <f aca="false">VLOOKUP(E1155,DIM_PECA!$A$2:$F$501,6,FALSE())</f>
        <v>1939.92</v>
      </c>
      <c r="Q1155" s="8" t="n">
        <f aca="false">VLOOKUP(E1155,DIM_PECA!$A$2:$F$501,5,FALSE())</f>
        <v>1108.86</v>
      </c>
      <c r="R1155" s="8" t="n">
        <f aca="false">H1155*P1155</f>
        <v>3879.84</v>
      </c>
      <c r="S1155" s="8" t="n">
        <f aca="false">O1155*M1155</f>
        <v>856.875</v>
      </c>
      <c r="T1155" s="8" t="n">
        <f aca="false">R1155+S1155</f>
        <v>4736.715</v>
      </c>
      <c r="U1155" s="8" t="n">
        <f aca="false">T1155-K1155</f>
        <v>942.325</v>
      </c>
      <c r="V1155" s="8" t="n">
        <f aca="false">R1155+S1155-U1155</f>
        <v>3794.39</v>
      </c>
      <c r="W1155" s="9" t="str">
        <f aca="false">IF(ROUND(V1155-K1155,2)=0,"OK","ERRO")</f>
        <v>OK</v>
      </c>
      <c r="X1155" s="9" t="str">
        <f aca="false">VLOOKUP(F1155,DIM_SERVICO!$A$2:$D$151,3,FALSE())</f>
        <v>Elétrica</v>
      </c>
    </row>
    <row r="1156" customFormat="false" ht="15" hidden="false" customHeight="false" outlineLevel="0" collapsed="false">
      <c r="A1156" s="2" t="n">
        <v>1155</v>
      </c>
      <c r="B1156" s="2" t="n">
        <v>291</v>
      </c>
      <c r="C1156" s="2" t="n">
        <v>1236</v>
      </c>
      <c r="D1156" s="2" t="n">
        <v>445</v>
      </c>
      <c r="E1156" s="2" t="n">
        <v>337</v>
      </c>
      <c r="F1156" s="2" t="n">
        <v>58</v>
      </c>
      <c r="G1156" s="2" t="n">
        <v>1548</v>
      </c>
      <c r="H1156" s="2" t="n">
        <v>2</v>
      </c>
      <c r="I1156" s="3" t="n">
        <v>929.02</v>
      </c>
      <c r="J1156" s="3" t="n">
        <v>1803.6</v>
      </c>
      <c r="K1156" s="3" t="n">
        <v>3513.58</v>
      </c>
      <c r="L1156" s="3" t="n">
        <v>1770.97</v>
      </c>
      <c r="M1156" s="2" t="n">
        <v>2.8</v>
      </c>
      <c r="N1156" s="2" t="s">
        <v>27</v>
      </c>
      <c r="O1156" s="4" t="n">
        <f aca="false">VLOOKUP(F1156,DIM_SERVICO!$A$2:$D$151,4,FALSE())</f>
        <v>1803.6</v>
      </c>
      <c r="P1156" s="4" t="n">
        <f aca="false">VLOOKUP(E1156,DIM_PECA!$A$2:$F$501,6,FALSE())</f>
        <v>854.99</v>
      </c>
      <c r="Q1156" s="4" t="n">
        <f aca="false">VLOOKUP(E1156,DIM_PECA!$A$2:$F$501,5,FALSE())</f>
        <v>464.51</v>
      </c>
      <c r="R1156" s="4" t="n">
        <f aca="false">H1156*P1156</f>
        <v>1709.98</v>
      </c>
      <c r="S1156" s="4" t="n">
        <f aca="false">O1156*M1156</f>
        <v>5050.08</v>
      </c>
      <c r="T1156" s="4" t="n">
        <f aca="false">R1156+S1156</f>
        <v>6760.06</v>
      </c>
      <c r="U1156" s="4" t="n">
        <f aca="false">T1156-K1156</f>
        <v>3246.48</v>
      </c>
      <c r="V1156" s="4" t="n">
        <f aca="false">R1156+S1156-U1156</f>
        <v>3513.58</v>
      </c>
      <c r="W1156" s="5" t="str">
        <f aca="false">IF(ROUND(V1156-K1156,2)=0,"OK","ERRO")</f>
        <v>OK</v>
      </c>
      <c r="X1156" s="5" t="str">
        <f aca="false">VLOOKUP(F1156,DIM_SERVICO!$A$2:$D$151,3,FALSE())</f>
        <v>Freios</v>
      </c>
    </row>
    <row r="1157" customFormat="false" ht="15" hidden="false" customHeight="false" outlineLevel="0" collapsed="false">
      <c r="A1157" s="6" t="n">
        <v>1156</v>
      </c>
      <c r="B1157" s="6" t="n">
        <v>31</v>
      </c>
      <c r="C1157" s="6" t="n">
        <v>914</v>
      </c>
      <c r="D1157" s="6" t="n">
        <v>786</v>
      </c>
      <c r="E1157" s="6" t="n">
        <v>284</v>
      </c>
      <c r="F1157" s="6" t="n">
        <v>132</v>
      </c>
      <c r="G1157" s="6" t="n">
        <v>431</v>
      </c>
      <c r="H1157" s="6" t="n">
        <v>4</v>
      </c>
      <c r="I1157" s="7" t="n">
        <v>2954.32</v>
      </c>
      <c r="J1157" s="7" t="n">
        <v>746.69</v>
      </c>
      <c r="K1157" s="7" t="n">
        <v>5901.79</v>
      </c>
      <c r="L1157" s="7" t="n">
        <v>2599.39</v>
      </c>
      <c r="M1157" s="6" t="n">
        <v>2.2</v>
      </c>
      <c r="N1157" s="6" t="s">
        <v>25</v>
      </c>
      <c r="O1157" s="8" t="n">
        <f aca="false">VLOOKUP(F1157,DIM_SERVICO!$A$2:$D$151,4,FALSE())</f>
        <v>746.69</v>
      </c>
      <c r="P1157" s="8" t="n">
        <f aca="false">VLOOKUP(E1157,DIM_PECA!$A$2:$F$501,6,FALSE())</f>
        <v>1366.43</v>
      </c>
      <c r="Q1157" s="8" t="n">
        <f aca="false">VLOOKUP(E1157,DIM_PECA!$A$2:$F$501,5,FALSE())</f>
        <v>738.58</v>
      </c>
      <c r="R1157" s="8" t="n">
        <f aca="false">H1157*P1157</f>
        <v>5465.72</v>
      </c>
      <c r="S1157" s="8" t="n">
        <f aca="false">O1157*M1157</f>
        <v>1642.718</v>
      </c>
      <c r="T1157" s="8" t="n">
        <f aca="false">R1157+S1157</f>
        <v>7108.438</v>
      </c>
      <c r="U1157" s="8" t="n">
        <f aca="false">T1157-K1157</f>
        <v>1206.648</v>
      </c>
      <c r="V1157" s="8" t="n">
        <f aca="false">R1157+S1157-U1157</f>
        <v>5901.79</v>
      </c>
      <c r="W1157" s="9" t="str">
        <f aca="false">IF(ROUND(V1157-K1157,2)=0,"OK","ERRO")</f>
        <v>OK</v>
      </c>
      <c r="X1157" s="9" t="str">
        <f aca="false">VLOOKUP(F1157,DIM_SERVICO!$A$2:$D$151,3,FALSE())</f>
        <v>Motor</v>
      </c>
    </row>
    <row r="1158" customFormat="false" ht="15" hidden="false" customHeight="false" outlineLevel="0" collapsed="false">
      <c r="A1158" s="2" t="n">
        <v>1157</v>
      </c>
      <c r="B1158" s="2" t="n">
        <v>1472</v>
      </c>
      <c r="C1158" s="2" t="n">
        <v>1051</v>
      </c>
      <c r="D1158" s="2" t="n">
        <v>214</v>
      </c>
      <c r="E1158" s="2" t="n">
        <v>492</v>
      </c>
      <c r="F1158" s="2" t="n">
        <v>115</v>
      </c>
      <c r="G1158" s="2" t="n">
        <v>431</v>
      </c>
      <c r="H1158" s="2" t="n">
        <v>4</v>
      </c>
      <c r="I1158" s="3" t="n">
        <v>4267.16</v>
      </c>
      <c r="J1158" s="3" t="n">
        <v>1374.43</v>
      </c>
      <c r="K1158" s="3" t="n">
        <v>8100.87</v>
      </c>
      <c r="L1158" s="3" t="n">
        <v>3324.48</v>
      </c>
      <c r="M1158" s="2" t="n">
        <v>4.5</v>
      </c>
      <c r="N1158" s="2" t="s">
        <v>24</v>
      </c>
      <c r="O1158" s="4" t="n">
        <f aca="false">VLOOKUP(F1158,DIM_SERVICO!$A$2:$D$151,4,FALSE())</f>
        <v>1374.43</v>
      </c>
      <c r="P1158" s="4" t="n">
        <f aca="false">VLOOKUP(E1158,DIM_PECA!$A$2:$F$501,6,FALSE())</f>
        <v>1788.2</v>
      </c>
      <c r="Q1158" s="4" t="n">
        <f aca="false">VLOOKUP(E1158,DIM_PECA!$A$2:$F$501,5,FALSE())</f>
        <v>1066.79</v>
      </c>
      <c r="R1158" s="4" t="n">
        <f aca="false">H1158*P1158</f>
        <v>7152.8</v>
      </c>
      <c r="S1158" s="4" t="n">
        <f aca="false">O1158*M1158</f>
        <v>6184.935</v>
      </c>
      <c r="T1158" s="4" t="n">
        <f aca="false">R1158+S1158</f>
        <v>13337.735</v>
      </c>
      <c r="U1158" s="4" t="n">
        <f aca="false">T1158-K1158</f>
        <v>5236.865</v>
      </c>
      <c r="V1158" s="4" t="n">
        <f aca="false">R1158+S1158-U1158</f>
        <v>8100.87</v>
      </c>
      <c r="W1158" s="5" t="str">
        <f aca="false">IF(ROUND(V1158-K1158,2)=0,"OK","ERRO")</f>
        <v>OK</v>
      </c>
      <c r="X1158" s="5" t="str">
        <f aca="false">VLOOKUP(F1158,DIM_SERVICO!$A$2:$D$151,3,FALSE())</f>
        <v>Suspensão</v>
      </c>
    </row>
    <row r="1159" customFormat="false" ht="15" hidden="false" customHeight="false" outlineLevel="0" collapsed="false">
      <c r="A1159" s="6" t="n">
        <v>1158</v>
      </c>
      <c r="B1159" s="6" t="n">
        <v>812</v>
      </c>
      <c r="C1159" s="6" t="n">
        <v>291</v>
      </c>
      <c r="D1159" s="6" t="n">
        <v>450</v>
      </c>
      <c r="E1159" s="6" t="n">
        <v>171</v>
      </c>
      <c r="F1159" s="6" t="n">
        <v>10</v>
      </c>
      <c r="G1159" s="6" t="n">
        <v>1006</v>
      </c>
      <c r="H1159" s="6" t="n">
        <v>2</v>
      </c>
      <c r="I1159" s="7" t="n">
        <v>2389.36</v>
      </c>
      <c r="J1159" s="7" t="n">
        <v>338.82</v>
      </c>
      <c r="K1159" s="7" t="n">
        <v>4679.52</v>
      </c>
      <c r="L1159" s="7" t="n">
        <v>2134.75</v>
      </c>
      <c r="M1159" s="6" t="n">
        <v>3.2</v>
      </c>
      <c r="N1159" s="6" t="s">
        <v>24</v>
      </c>
      <c r="O1159" s="8" t="n">
        <f aca="false">VLOOKUP(F1159,DIM_SERVICO!$A$2:$D$151,4,FALSE())</f>
        <v>338.82</v>
      </c>
      <c r="P1159" s="8" t="n">
        <f aca="false">VLOOKUP(E1159,DIM_PECA!$A$2:$F$501,6,FALSE())</f>
        <v>2218.1</v>
      </c>
      <c r="Q1159" s="8" t="n">
        <f aca="false">VLOOKUP(E1159,DIM_PECA!$A$2:$F$501,5,FALSE())</f>
        <v>1194.68</v>
      </c>
      <c r="R1159" s="8" t="n">
        <f aca="false">H1159*P1159</f>
        <v>4436.2</v>
      </c>
      <c r="S1159" s="8" t="n">
        <f aca="false">O1159*M1159</f>
        <v>1084.224</v>
      </c>
      <c r="T1159" s="8" t="n">
        <f aca="false">R1159+S1159</f>
        <v>5520.424</v>
      </c>
      <c r="U1159" s="8" t="n">
        <f aca="false">T1159-K1159</f>
        <v>840.904</v>
      </c>
      <c r="V1159" s="8" t="n">
        <f aca="false">R1159+S1159-U1159</f>
        <v>4679.52</v>
      </c>
      <c r="W1159" s="9" t="str">
        <f aca="false">IF(ROUND(V1159-K1159,2)=0,"OK","ERRO")</f>
        <v>OK</v>
      </c>
      <c r="X1159" s="9" t="str">
        <f aca="false">VLOOKUP(F1159,DIM_SERVICO!$A$2:$D$151,3,FALSE())</f>
        <v>Diagnóstico</v>
      </c>
    </row>
    <row r="1160" customFormat="false" ht="15" hidden="false" customHeight="false" outlineLevel="0" collapsed="false">
      <c r="A1160" s="2" t="n">
        <v>1159</v>
      </c>
      <c r="B1160" s="2" t="n">
        <v>1387</v>
      </c>
      <c r="C1160" s="2" t="n">
        <v>1294</v>
      </c>
      <c r="D1160" s="2" t="n">
        <v>664</v>
      </c>
      <c r="E1160" s="2" t="n">
        <v>69</v>
      </c>
      <c r="F1160" s="2" t="n">
        <v>30</v>
      </c>
      <c r="G1160" s="2" t="n">
        <v>1188</v>
      </c>
      <c r="H1160" s="2" t="n">
        <v>1</v>
      </c>
      <c r="I1160" s="3" t="n">
        <v>554.27</v>
      </c>
      <c r="J1160" s="3" t="n">
        <v>986.98</v>
      </c>
      <c r="K1160" s="3" t="n">
        <v>1714.22</v>
      </c>
      <c r="L1160" s="3" t="n">
        <v>628.56</v>
      </c>
      <c r="M1160" s="2" t="n">
        <v>11.1</v>
      </c>
      <c r="N1160" s="2" t="s">
        <v>24</v>
      </c>
      <c r="O1160" s="4" t="n">
        <f aca="false">VLOOKUP(F1160,DIM_SERVICO!$A$2:$D$151,4,FALSE())</f>
        <v>986.98</v>
      </c>
      <c r="P1160" s="4" t="n">
        <f aca="false">VLOOKUP(E1160,DIM_PECA!$A$2:$F$501,6,FALSE())</f>
        <v>762.22</v>
      </c>
      <c r="Q1160" s="4" t="n">
        <f aca="false">VLOOKUP(E1160,DIM_PECA!$A$2:$F$501,5,FALSE())</f>
        <v>554.27</v>
      </c>
      <c r="R1160" s="4" t="n">
        <f aca="false">H1160*P1160</f>
        <v>762.22</v>
      </c>
      <c r="S1160" s="4" t="n">
        <f aca="false">O1160*M1160</f>
        <v>10955.478</v>
      </c>
      <c r="T1160" s="4" t="n">
        <f aca="false">R1160+S1160</f>
        <v>11717.698</v>
      </c>
      <c r="U1160" s="4" t="n">
        <f aca="false">T1160-K1160</f>
        <v>10003.478</v>
      </c>
      <c r="V1160" s="4" t="n">
        <f aca="false">R1160+S1160-U1160</f>
        <v>1714.22</v>
      </c>
      <c r="W1160" s="5" t="str">
        <f aca="false">IF(ROUND(V1160-K1160,2)=0,"OK","ERRO")</f>
        <v>OK</v>
      </c>
      <c r="X1160" s="5" t="str">
        <f aca="false">VLOOKUP(F1160,DIM_SERVICO!$A$2:$D$151,3,FALSE())</f>
        <v>Freios</v>
      </c>
    </row>
    <row r="1161" customFormat="false" ht="15" hidden="false" customHeight="false" outlineLevel="0" collapsed="false">
      <c r="A1161" s="6" t="n">
        <v>1160</v>
      </c>
      <c r="B1161" s="6" t="n">
        <v>1107</v>
      </c>
      <c r="C1161" s="6" t="n">
        <v>1223</v>
      </c>
      <c r="D1161" s="6" t="n">
        <v>739</v>
      </c>
      <c r="E1161" s="6" t="n">
        <v>16</v>
      </c>
      <c r="F1161" s="6" t="n">
        <v>51</v>
      </c>
      <c r="G1161" s="6" t="n">
        <v>428</v>
      </c>
      <c r="H1161" s="6" t="n">
        <v>3</v>
      </c>
      <c r="I1161" s="7" t="n">
        <v>1622.7</v>
      </c>
      <c r="J1161" s="7" t="n">
        <v>876</v>
      </c>
      <c r="K1161" s="7" t="n">
        <v>3266.37</v>
      </c>
      <c r="L1161" s="7" t="n">
        <v>1232.96</v>
      </c>
      <c r="M1161" s="6" t="n">
        <v>9.5</v>
      </c>
      <c r="N1161" s="6" t="s">
        <v>26</v>
      </c>
      <c r="O1161" s="8" t="n">
        <f aca="false">VLOOKUP(F1161,DIM_SERVICO!$A$2:$D$151,4,FALSE())</f>
        <v>876</v>
      </c>
      <c r="P1161" s="8" t="n">
        <f aca="false">VLOOKUP(E1161,DIM_PECA!$A$2:$F$501,6,FALSE())</f>
        <v>796.79</v>
      </c>
      <c r="Q1161" s="8" t="n">
        <f aca="false">VLOOKUP(E1161,DIM_PECA!$A$2:$F$501,5,FALSE())</f>
        <v>540.9</v>
      </c>
      <c r="R1161" s="8" t="n">
        <f aca="false">H1161*P1161</f>
        <v>2390.37</v>
      </c>
      <c r="S1161" s="8" t="n">
        <f aca="false">O1161*M1161</f>
        <v>8322</v>
      </c>
      <c r="T1161" s="8" t="n">
        <f aca="false">R1161+S1161</f>
        <v>10712.37</v>
      </c>
      <c r="U1161" s="8" t="n">
        <f aca="false">T1161-K1161</f>
        <v>7446</v>
      </c>
      <c r="V1161" s="8" t="n">
        <f aca="false">R1161+S1161-U1161</f>
        <v>3266.37</v>
      </c>
      <c r="W1161" s="9" t="str">
        <f aca="false">IF(ROUND(V1161-K1161,2)=0,"OK","ERRO")</f>
        <v>OK</v>
      </c>
      <c r="X1161" s="9" t="str">
        <f aca="false">VLOOKUP(F1161,DIM_SERVICO!$A$2:$D$151,3,FALSE())</f>
        <v>Revisão</v>
      </c>
    </row>
    <row r="1162" customFormat="false" ht="15" hidden="false" customHeight="false" outlineLevel="0" collapsed="false">
      <c r="A1162" s="2" t="n">
        <v>1161</v>
      </c>
      <c r="B1162" s="2" t="n">
        <v>953</v>
      </c>
      <c r="C1162" s="2" t="n">
        <v>1485</v>
      </c>
      <c r="D1162" s="2" t="n">
        <v>647</v>
      </c>
      <c r="E1162" s="2" t="n">
        <v>30</v>
      </c>
      <c r="F1162" s="2" t="n">
        <v>139</v>
      </c>
      <c r="G1162" s="2" t="n">
        <v>809</v>
      </c>
      <c r="H1162" s="2" t="n">
        <v>4</v>
      </c>
      <c r="I1162" s="3" t="n">
        <v>2187.68</v>
      </c>
      <c r="J1162" s="3" t="n">
        <v>2138.46</v>
      </c>
      <c r="K1162" s="3" t="n">
        <v>6211.38</v>
      </c>
      <c r="L1162" s="3" t="n">
        <v>2848.58</v>
      </c>
      <c r="M1162" s="2" t="n">
        <v>5.2</v>
      </c>
      <c r="N1162" s="2" t="s">
        <v>24</v>
      </c>
      <c r="O1162" s="4" t="n">
        <f aca="false">VLOOKUP(F1162,DIM_SERVICO!$A$2:$D$151,4,FALSE())</f>
        <v>2138.46</v>
      </c>
      <c r="P1162" s="4" t="n">
        <f aca="false">VLOOKUP(E1162,DIM_PECA!$A$2:$F$501,6,FALSE())</f>
        <v>1018.23</v>
      </c>
      <c r="Q1162" s="4" t="n">
        <f aca="false">VLOOKUP(E1162,DIM_PECA!$A$2:$F$501,5,FALSE())</f>
        <v>546.92</v>
      </c>
      <c r="R1162" s="4" t="n">
        <f aca="false">H1162*P1162</f>
        <v>4072.92</v>
      </c>
      <c r="S1162" s="4" t="n">
        <f aca="false">O1162*M1162</f>
        <v>11119.992</v>
      </c>
      <c r="T1162" s="4" t="n">
        <f aca="false">R1162+S1162</f>
        <v>15192.912</v>
      </c>
      <c r="U1162" s="4" t="n">
        <f aca="false">T1162-K1162</f>
        <v>8981.532</v>
      </c>
      <c r="V1162" s="4" t="n">
        <f aca="false">R1162+S1162-U1162</f>
        <v>6211.38</v>
      </c>
      <c r="W1162" s="5" t="str">
        <f aca="false">IF(ROUND(V1162-K1162,2)=0,"OK","ERRO")</f>
        <v>OK</v>
      </c>
      <c r="X1162" s="5" t="str">
        <f aca="false">VLOOKUP(F1162,DIM_SERVICO!$A$2:$D$151,3,FALSE())</f>
        <v>Revisão</v>
      </c>
    </row>
    <row r="1163" customFormat="false" ht="15" hidden="false" customHeight="false" outlineLevel="0" collapsed="false">
      <c r="A1163" s="6" t="n">
        <v>1162</v>
      </c>
      <c r="B1163" s="6" t="n">
        <v>1384</v>
      </c>
      <c r="C1163" s="6" t="n">
        <v>1293</v>
      </c>
      <c r="D1163" s="6" t="n">
        <v>792</v>
      </c>
      <c r="E1163" s="6" t="n">
        <v>95</v>
      </c>
      <c r="F1163" s="6" t="n">
        <v>137</v>
      </c>
      <c r="G1163" s="6" t="n">
        <v>181</v>
      </c>
      <c r="H1163" s="6" t="n">
        <v>1</v>
      </c>
      <c r="I1163" s="7" t="n">
        <v>518.97</v>
      </c>
      <c r="J1163" s="7" t="n">
        <v>1147.35</v>
      </c>
      <c r="K1163" s="7" t="n">
        <v>2193.5</v>
      </c>
      <c r="L1163" s="7" t="n">
        <v>1180.22</v>
      </c>
      <c r="M1163" s="6" t="n">
        <v>9</v>
      </c>
      <c r="N1163" s="6" t="s">
        <v>24</v>
      </c>
      <c r="O1163" s="8" t="n">
        <f aca="false">VLOOKUP(F1163,DIM_SERVICO!$A$2:$D$151,4,FALSE())</f>
        <v>1147.35</v>
      </c>
      <c r="P1163" s="8" t="n">
        <f aca="false">VLOOKUP(E1163,DIM_PECA!$A$2:$F$501,6,FALSE())</f>
        <v>1090.92</v>
      </c>
      <c r="Q1163" s="8" t="n">
        <f aca="false">VLOOKUP(E1163,DIM_PECA!$A$2:$F$501,5,FALSE())</f>
        <v>518.97</v>
      </c>
      <c r="R1163" s="8" t="n">
        <f aca="false">H1163*P1163</f>
        <v>1090.92</v>
      </c>
      <c r="S1163" s="8" t="n">
        <f aca="false">O1163*M1163</f>
        <v>10326.15</v>
      </c>
      <c r="T1163" s="8" t="n">
        <f aca="false">R1163+S1163</f>
        <v>11417.07</v>
      </c>
      <c r="U1163" s="8" t="n">
        <f aca="false">T1163-K1163</f>
        <v>9223.57</v>
      </c>
      <c r="V1163" s="8" t="n">
        <f aca="false">R1163+S1163-U1163</f>
        <v>2193.5</v>
      </c>
      <c r="W1163" s="9" t="str">
        <f aca="false">IF(ROUND(V1163-K1163,2)=0,"OK","ERRO")</f>
        <v>OK</v>
      </c>
      <c r="X1163" s="9" t="str">
        <f aca="false">VLOOKUP(F1163,DIM_SERVICO!$A$2:$D$151,3,FALSE())</f>
        <v>Diagnóstico</v>
      </c>
    </row>
    <row r="1164" customFormat="false" ht="15" hidden="false" customHeight="false" outlineLevel="0" collapsed="false">
      <c r="A1164" s="2" t="n">
        <v>1163</v>
      </c>
      <c r="B1164" s="2" t="n">
        <v>1148</v>
      </c>
      <c r="C1164" s="2" t="n">
        <v>910</v>
      </c>
      <c r="D1164" s="2" t="n">
        <v>970</v>
      </c>
      <c r="E1164" s="2" t="n">
        <v>437</v>
      </c>
      <c r="F1164" s="2" t="n">
        <v>106</v>
      </c>
      <c r="G1164" s="2" t="n">
        <v>908</v>
      </c>
      <c r="H1164" s="2" t="n">
        <v>2</v>
      </c>
      <c r="I1164" s="3" t="n">
        <v>1039.46</v>
      </c>
      <c r="J1164" s="3" t="n">
        <v>590.23</v>
      </c>
      <c r="K1164" s="3" t="n">
        <v>2302.86</v>
      </c>
      <c r="L1164" s="3" t="n">
        <v>985.78</v>
      </c>
      <c r="M1164" s="2" t="n">
        <v>6.6</v>
      </c>
      <c r="N1164" s="2" t="s">
        <v>24</v>
      </c>
      <c r="O1164" s="4" t="n">
        <f aca="false">VLOOKUP(F1164,DIM_SERVICO!$A$2:$D$151,4,FALSE())</f>
        <v>590.23</v>
      </c>
      <c r="P1164" s="4" t="n">
        <f aca="false">VLOOKUP(E1164,DIM_PECA!$A$2:$F$501,6,FALSE())</f>
        <v>956.44</v>
      </c>
      <c r="Q1164" s="4" t="n">
        <f aca="false">VLOOKUP(E1164,DIM_PECA!$A$2:$F$501,5,FALSE())</f>
        <v>519.73</v>
      </c>
      <c r="R1164" s="4" t="n">
        <f aca="false">H1164*P1164</f>
        <v>1912.88</v>
      </c>
      <c r="S1164" s="4" t="n">
        <f aca="false">O1164*M1164</f>
        <v>3895.518</v>
      </c>
      <c r="T1164" s="4" t="n">
        <f aca="false">R1164+S1164</f>
        <v>5808.398</v>
      </c>
      <c r="U1164" s="4" t="n">
        <f aca="false">T1164-K1164</f>
        <v>3505.538</v>
      </c>
      <c r="V1164" s="4" t="n">
        <f aca="false">R1164+S1164-U1164</f>
        <v>2302.86</v>
      </c>
      <c r="W1164" s="5" t="str">
        <f aca="false">IF(ROUND(V1164-K1164,2)=0,"OK","ERRO")</f>
        <v>OK</v>
      </c>
      <c r="X1164" s="5" t="str">
        <f aca="false">VLOOKUP(F1164,DIM_SERVICO!$A$2:$D$151,3,FALSE())</f>
        <v>Revisão</v>
      </c>
    </row>
    <row r="1165" customFormat="false" ht="15" hidden="false" customHeight="false" outlineLevel="0" collapsed="false">
      <c r="A1165" s="6" t="n">
        <v>1164</v>
      </c>
      <c r="B1165" s="6" t="n">
        <v>10</v>
      </c>
      <c r="C1165" s="6" t="n">
        <v>139</v>
      </c>
      <c r="D1165" s="6" t="n">
        <v>1092</v>
      </c>
      <c r="E1165" s="6" t="n">
        <v>24</v>
      </c>
      <c r="F1165" s="6" t="n">
        <v>92</v>
      </c>
      <c r="G1165" s="6" t="n">
        <v>1336</v>
      </c>
      <c r="H1165" s="6" t="n">
        <v>4</v>
      </c>
      <c r="I1165" s="7" t="n">
        <v>4734.68</v>
      </c>
      <c r="J1165" s="7" t="n">
        <v>1754.32</v>
      </c>
      <c r="K1165" s="7" t="n">
        <v>11403.76</v>
      </c>
      <c r="L1165" s="7" t="n">
        <v>5736.7</v>
      </c>
      <c r="M1165" s="6" t="n">
        <v>11.4</v>
      </c>
      <c r="N1165" s="6" t="s">
        <v>25</v>
      </c>
      <c r="O1165" s="8" t="n">
        <f aca="false">VLOOKUP(F1165,DIM_SERVICO!$A$2:$D$151,4,FALSE())</f>
        <v>1754.32</v>
      </c>
      <c r="P1165" s="8" t="n">
        <f aca="false">VLOOKUP(E1165,DIM_PECA!$A$2:$F$501,6,FALSE())</f>
        <v>2412.36</v>
      </c>
      <c r="Q1165" s="8" t="n">
        <f aca="false">VLOOKUP(E1165,DIM_PECA!$A$2:$F$501,5,FALSE())</f>
        <v>1183.67</v>
      </c>
      <c r="R1165" s="8" t="n">
        <f aca="false">H1165*P1165</f>
        <v>9649.44</v>
      </c>
      <c r="S1165" s="8" t="n">
        <f aca="false">O1165*M1165</f>
        <v>19999.248</v>
      </c>
      <c r="T1165" s="8" t="n">
        <f aca="false">R1165+S1165</f>
        <v>29648.688</v>
      </c>
      <c r="U1165" s="8" t="n">
        <f aca="false">T1165-K1165</f>
        <v>18244.928</v>
      </c>
      <c r="V1165" s="8" t="n">
        <f aca="false">R1165+S1165-U1165</f>
        <v>11403.76</v>
      </c>
      <c r="W1165" s="9" t="str">
        <f aca="false">IF(ROUND(V1165-K1165,2)=0,"OK","ERRO")</f>
        <v>OK</v>
      </c>
      <c r="X1165" s="9" t="str">
        <f aca="false">VLOOKUP(F1165,DIM_SERVICO!$A$2:$D$151,3,FALSE())</f>
        <v>Revisão</v>
      </c>
    </row>
    <row r="1166" customFormat="false" ht="15" hidden="false" customHeight="false" outlineLevel="0" collapsed="false">
      <c r="A1166" s="2" t="n">
        <v>1165</v>
      </c>
      <c r="B1166" s="2" t="n">
        <v>1459</v>
      </c>
      <c r="C1166" s="2" t="n">
        <v>1176</v>
      </c>
      <c r="D1166" s="2" t="n">
        <v>1023</v>
      </c>
      <c r="E1166" s="2" t="n">
        <v>117</v>
      </c>
      <c r="F1166" s="2" t="n">
        <v>56</v>
      </c>
      <c r="G1166" s="2" t="n">
        <v>68</v>
      </c>
      <c r="H1166" s="2" t="n">
        <v>3</v>
      </c>
      <c r="I1166" s="3" t="n">
        <v>1830.3</v>
      </c>
      <c r="J1166" s="3" t="n">
        <v>251.62</v>
      </c>
      <c r="K1166" s="3" t="n">
        <v>3548.08</v>
      </c>
      <c r="L1166" s="3" t="n">
        <v>1594.88</v>
      </c>
      <c r="M1166" s="2" t="n">
        <v>1</v>
      </c>
      <c r="N1166" s="2" t="s">
        <v>24</v>
      </c>
      <c r="O1166" s="4" t="n">
        <f aca="false">VLOOKUP(F1166,DIM_SERVICO!$A$2:$D$151,4,FALSE())</f>
        <v>251.62</v>
      </c>
      <c r="P1166" s="4" t="n">
        <f aca="false">VLOOKUP(E1166,DIM_PECA!$A$2:$F$501,6,FALSE())</f>
        <v>1098.82</v>
      </c>
      <c r="Q1166" s="4" t="n">
        <f aca="false">VLOOKUP(E1166,DIM_PECA!$A$2:$F$501,5,FALSE())</f>
        <v>610.1</v>
      </c>
      <c r="R1166" s="4" t="n">
        <f aca="false">H1166*P1166</f>
        <v>3296.46</v>
      </c>
      <c r="S1166" s="4" t="n">
        <f aca="false">O1166*M1166</f>
        <v>251.62</v>
      </c>
      <c r="T1166" s="4" t="n">
        <f aca="false">R1166+S1166</f>
        <v>3548.08</v>
      </c>
      <c r="U1166" s="4" t="n">
        <f aca="false">T1166-K1166</f>
        <v>0</v>
      </c>
      <c r="V1166" s="4" t="n">
        <f aca="false">R1166+S1166-U1166</f>
        <v>3548.08</v>
      </c>
      <c r="W1166" s="5" t="str">
        <f aca="false">IF(ROUND(V1166-K1166,2)=0,"OK","ERRO")</f>
        <v>OK</v>
      </c>
      <c r="X1166" s="5" t="str">
        <f aca="false">VLOOKUP(F1166,DIM_SERVICO!$A$2:$D$151,3,FALSE())</f>
        <v>Revisão</v>
      </c>
    </row>
    <row r="1167" customFormat="false" ht="15" hidden="false" customHeight="false" outlineLevel="0" collapsed="false">
      <c r="A1167" s="6" t="n">
        <v>1166</v>
      </c>
      <c r="B1167" s="6" t="n">
        <v>78</v>
      </c>
      <c r="C1167" s="6" t="n">
        <v>870</v>
      </c>
      <c r="D1167" s="6" t="n">
        <v>290</v>
      </c>
      <c r="E1167" s="6" t="n">
        <v>499</v>
      </c>
      <c r="F1167" s="6" t="n">
        <v>66</v>
      </c>
      <c r="G1167" s="6" t="n">
        <v>288</v>
      </c>
      <c r="H1167" s="6" t="n">
        <v>4</v>
      </c>
      <c r="I1167" s="7" t="n">
        <v>1805.88</v>
      </c>
      <c r="J1167" s="7" t="n">
        <v>1805.9</v>
      </c>
      <c r="K1167" s="7" t="n">
        <v>5775.42</v>
      </c>
      <c r="L1167" s="7" t="n">
        <v>3317.49</v>
      </c>
      <c r="M1167" s="6" t="n">
        <v>3.3</v>
      </c>
      <c r="N1167" s="6" t="s">
        <v>24</v>
      </c>
      <c r="O1167" s="8" t="n">
        <f aca="false">VLOOKUP(F1167,DIM_SERVICO!$A$2:$D$151,4,FALSE())</f>
        <v>1805.9</v>
      </c>
      <c r="P1167" s="8" t="n">
        <f aca="false">VLOOKUP(E1167,DIM_PECA!$A$2:$F$501,6,FALSE())</f>
        <v>992.38</v>
      </c>
      <c r="Q1167" s="8" t="n">
        <f aca="false">VLOOKUP(E1167,DIM_PECA!$A$2:$F$501,5,FALSE())</f>
        <v>451.47</v>
      </c>
      <c r="R1167" s="8" t="n">
        <f aca="false">H1167*P1167</f>
        <v>3969.52</v>
      </c>
      <c r="S1167" s="8" t="n">
        <f aca="false">O1167*M1167</f>
        <v>5959.47</v>
      </c>
      <c r="T1167" s="8" t="n">
        <f aca="false">R1167+S1167</f>
        <v>9928.99</v>
      </c>
      <c r="U1167" s="8" t="n">
        <f aca="false">T1167-K1167</f>
        <v>4153.57</v>
      </c>
      <c r="V1167" s="8" t="n">
        <f aca="false">R1167+S1167-U1167</f>
        <v>5775.42</v>
      </c>
      <c r="W1167" s="9" t="str">
        <f aca="false">IF(ROUND(V1167-K1167,2)=0,"OK","ERRO")</f>
        <v>OK</v>
      </c>
      <c r="X1167" s="9" t="str">
        <f aca="false">VLOOKUP(F1167,DIM_SERVICO!$A$2:$D$151,3,FALSE())</f>
        <v>Pintura</v>
      </c>
    </row>
    <row r="1168" customFormat="false" ht="15" hidden="false" customHeight="false" outlineLevel="0" collapsed="false">
      <c r="A1168" s="2" t="n">
        <v>1167</v>
      </c>
      <c r="B1168" s="2" t="n">
        <v>93</v>
      </c>
      <c r="C1168" s="2" t="n">
        <v>573</v>
      </c>
      <c r="D1168" s="2" t="n">
        <v>996</v>
      </c>
      <c r="E1168" s="2" t="n">
        <v>355</v>
      </c>
      <c r="F1168" s="2" t="n">
        <v>121</v>
      </c>
      <c r="G1168" s="2" t="n">
        <v>1021</v>
      </c>
      <c r="H1168" s="2" t="n">
        <v>2</v>
      </c>
      <c r="I1168" s="3" t="n">
        <v>2101.86</v>
      </c>
      <c r="J1168" s="3" t="n">
        <v>599.74</v>
      </c>
      <c r="K1168" s="3" t="n">
        <v>4199.99</v>
      </c>
      <c r="L1168" s="3" t="n">
        <v>1846.22</v>
      </c>
      <c r="M1168" s="2" t="n">
        <v>6.7</v>
      </c>
      <c r="N1168" s="2" t="s">
        <v>25</v>
      </c>
      <c r="O1168" s="4" t="n">
        <f aca="false">VLOOKUP(F1168,DIM_SERVICO!$A$2:$D$151,4,FALSE())</f>
        <v>599.74</v>
      </c>
      <c r="P1168" s="4" t="n">
        <f aca="false">VLOOKUP(E1168,DIM_PECA!$A$2:$F$501,6,FALSE())</f>
        <v>1842.98</v>
      </c>
      <c r="Q1168" s="4" t="n">
        <f aca="false">VLOOKUP(E1168,DIM_PECA!$A$2:$F$501,5,FALSE())</f>
        <v>1050.93</v>
      </c>
      <c r="R1168" s="4" t="n">
        <f aca="false">H1168*P1168</f>
        <v>3685.96</v>
      </c>
      <c r="S1168" s="4" t="n">
        <f aca="false">O1168*M1168</f>
        <v>4018.258</v>
      </c>
      <c r="T1168" s="4" t="n">
        <f aca="false">R1168+S1168</f>
        <v>7704.218</v>
      </c>
      <c r="U1168" s="4" t="n">
        <f aca="false">T1168-K1168</f>
        <v>3504.228</v>
      </c>
      <c r="V1168" s="4" t="n">
        <f aca="false">R1168+S1168-U1168</f>
        <v>4199.99</v>
      </c>
      <c r="W1168" s="5" t="str">
        <f aca="false">IF(ROUND(V1168-K1168,2)=0,"OK","ERRO")</f>
        <v>OK</v>
      </c>
      <c r="X1168" s="5" t="str">
        <f aca="false">VLOOKUP(F1168,DIM_SERVICO!$A$2:$D$151,3,FALSE())</f>
        <v>Revisão</v>
      </c>
    </row>
    <row r="1169" customFormat="false" ht="15" hidden="false" customHeight="false" outlineLevel="0" collapsed="false">
      <c r="A1169" s="6" t="n">
        <v>1168</v>
      </c>
      <c r="B1169" s="6" t="n">
        <v>238</v>
      </c>
      <c r="C1169" s="6" t="n">
        <v>1241</v>
      </c>
      <c r="D1169" s="6" t="n">
        <v>200</v>
      </c>
      <c r="E1169" s="6" t="n">
        <v>315</v>
      </c>
      <c r="F1169" s="6" t="n">
        <v>138</v>
      </c>
      <c r="G1169" s="6" t="n">
        <v>1688</v>
      </c>
      <c r="H1169" s="6" t="n">
        <v>4</v>
      </c>
      <c r="I1169" s="7" t="n">
        <v>3117.84</v>
      </c>
      <c r="J1169" s="7" t="n">
        <v>836.68</v>
      </c>
      <c r="K1169" s="7" t="n">
        <v>5558.15</v>
      </c>
      <c r="L1169" s="7" t="n">
        <v>2081.63</v>
      </c>
      <c r="M1169" s="6" t="n">
        <v>2.1</v>
      </c>
      <c r="N1169" s="6" t="s">
        <v>24</v>
      </c>
      <c r="O1169" s="8" t="n">
        <f aca="false">VLOOKUP(F1169,DIM_SERVICO!$A$2:$D$151,4,FALSE())</f>
        <v>836.68</v>
      </c>
      <c r="P1169" s="8" t="n">
        <f aca="false">VLOOKUP(E1169,DIM_PECA!$A$2:$F$501,6,FALSE())</f>
        <v>1334.76</v>
      </c>
      <c r="Q1169" s="8" t="n">
        <f aca="false">VLOOKUP(E1169,DIM_PECA!$A$2:$F$501,5,FALSE())</f>
        <v>779.46</v>
      </c>
      <c r="R1169" s="8" t="n">
        <f aca="false">H1169*P1169</f>
        <v>5339.04</v>
      </c>
      <c r="S1169" s="8" t="n">
        <f aca="false">O1169*M1169</f>
        <v>1757.028</v>
      </c>
      <c r="T1169" s="8" t="n">
        <f aca="false">R1169+S1169</f>
        <v>7096.068</v>
      </c>
      <c r="U1169" s="8" t="n">
        <f aca="false">T1169-K1169</f>
        <v>1537.918</v>
      </c>
      <c r="V1169" s="8" t="n">
        <f aca="false">R1169+S1169-U1169</f>
        <v>5558.15</v>
      </c>
      <c r="W1169" s="9" t="str">
        <f aca="false">IF(ROUND(V1169-K1169,2)=0,"OK","ERRO")</f>
        <v>OK</v>
      </c>
      <c r="X1169" s="9" t="str">
        <f aca="false">VLOOKUP(F1169,DIM_SERVICO!$A$2:$D$151,3,FALSE())</f>
        <v>Funilaria</v>
      </c>
    </row>
    <row r="1170" customFormat="false" ht="15" hidden="false" customHeight="false" outlineLevel="0" collapsed="false">
      <c r="A1170" s="2" t="n">
        <v>1169</v>
      </c>
      <c r="B1170" s="2" t="n">
        <v>182</v>
      </c>
      <c r="C1170" s="2" t="n">
        <v>617</v>
      </c>
      <c r="D1170" s="2" t="n">
        <v>45</v>
      </c>
      <c r="E1170" s="2" t="n">
        <v>205</v>
      </c>
      <c r="F1170" s="2" t="n">
        <v>61</v>
      </c>
      <c r="G1170" s="2" t="n">
        <v>747</v>
      </c>
      <c r="H1170" s="2" t="n">
        <v>4</v>
      </c>
      <c r="I1170" s="3" t="n">
        <v>674.24</v>
      </c>
      <c r="J1170" s="3" t="n">
        <v>1372.66</v>
      </c>
      <c r="K1170" s="3" t="n">
        <v>2556.14</v>
      </c>
      <c r="L1170" s="3" t="n">
        <v>1328.88</v>
      </c>
      <c r="M1170" s="2" t="n">
        <v>10.3</v>
      </c>
      <c r="N1170" s="2" t="s">
        <v>24</v>
      </c>
      <c r="O1170" s="4" t="n">
        <f aca="false">VLOOKUP(F1170,DIM_SERVICO!$A$2:$D$151,4,FALSE())</f>
        <v>1372.66</v>
      </c>
      <c r="P1170" s="4" t="n">
        <f aca="false">VLOOKUP(E1170,DIM_PECA!$A$2:$F$501,6,FALSE())</f>
        <v>295.87</v>
      </c>
      <c r="Q1170" s="4" t="n">
        <f aca="false">VLOOKUP(E1170,DIM_PECA!$A$2:$F$501,5,FALSE())</f>
        <v>168.56</v>
      </c>
      <c r="R1170" s="4" t="n">
        <f aca="false">H1170*P1170</f>
        <v>1183.48</v>
      </c>
      <c r="S1170" s="4" t="n">
        <f aca="false">O1170*M1170</f>
        <v>14138.398</v>
      </c>
      <c r="T1170" s="4" t="n">
        <f aca="false">R1170+S1170</f>
        <v>15321.878</v>
      </c>
      <c r="U1170" s="4" t="n">
        <f aca="false">T1170-K1170</f>
        <v>12765.738</v>
      </c>
      <c r="V1170" s="4" t="n">
        <f aca="false">R1170+S1170-U1170</f>
        <v>2556.14</v>
      </c>
      <c r="W1170" s="5" t="str">
        <f aca="false">IF(ROUND(V1170-K1170,2)=0,"OK","ERRO")</f>
        <v>OK</v>
      </c>
      <c r="X1170" s="5" t="str">
        <f aca="false">VLOOKUP(F1170,DIM_SERVICO!$A$2:$D$151,3,FALSE())</f>
        <v>Funilaria</v>
      </c>
    </row>
    <row r="1171" customFormat="false" ht="15" hidden="false" customHeight="false" outlineLevel="0" collapsed="false">
      <c r="A1171" s="6" t="n">
        <v>1170</v>
      </c>
      <c r="B1171" s="6" t="n">
        <v>1043</v>
      </c>
      <c r="C1171" s="6" t="n">
        <v>1228</v>
      </c>
      <c r="D1171" s="6" t="n">
        <v>987</v>
      </c>
      <c r="E1171" s="6" t="n">
        <v>179</v>
      </c>
      <c r="F1171" s="6" t="n">
        <v>122</v>
      </c>
      <c r="G1171" s="6" t="n">
        <v>1568</v>
      </c>
      <c r="H1171" s="6" t="n">
        <v>2</v>
      </c>
      <c r="I1171" s="7" t="n">
        <v>430.64</v>
      </c>
      <c r="J1171" s="7" t="n">
        <v>1850.29</v>
      </c>
      <c r="K1171" s="7" t="n">
        <v>2465.97</v>
      </c>
      <c r="L1171" s="7" t="n">
        <v>1240.91</v>
      </c>
      <c r="M1171" s="6" t="n">
        <v>6.5</v>
      </c>
      <c r="N1171" s="6" t="s">
        <v>27</v>
      </c>
      <c r="O1171" s="8" t="n">
        <f aca="false">VLOOKUP(F1171,DIM_SERVICO!$A$2:$D$151,4,FALSE())</f>
        <v>1850.29</v>
      </c>
      <c r="P1171" s="8" t="n">
        <f aca="false">VLOOKUP(E1171,DIM_PECA!$A$2:$F$501,6,FALSE())</f>
        <v>444.84</v>
      </c>
      <c r="Q1171" s="8" t="n">
        <f aca="false">VLOOKUP(E1171,DIM_PECA!$A$2:$F$501,5,FALSE())</f>
        <v>215.32</v>
      </c>
      <c r="R1171" s="8" t="n">
        <f aca="false">H1171*P1171</f>
        <v>889.68</v>
      </c>
      <c r="S1171" s="8" t="n">
        <f aca="false">O1171*M1171</f>
        <v>12026.885</v>
      </c>
      <c r="T1171" s="8" t="n">
        <f aca="false">R1171+S1171</f>
        <v>12916.565</v>
      </c>
      <c r="U1171" s="8" t="n">
        <f aca="false">T1171-K1171</f>
        <v>10450.595</v>
      </c>
      <c r="V1171" s="8" t="n">
        <f aca="false">R1171+S1171-U1171</f>
        <v>2465.97</v>
      </c>
      <c r="W1171" s="9" t="str">
        <f aca="false">IF(ROUND(V1171-K1171,2)=0,"OK","ERRO")</f>
        <v>OK</v>
      </c>
      <c r="X1171" s="9" t="str">
        <f aca="false">VLOOKUP(F1171,DIM_SERVICO!$A$2:$D$151,3,FALSE())</f>
        <v>Freios</v>
      </c>
    </row>
    <row r="1172" customFormat="false" ht="15" hidden="false" customHeight="false" outlineLevel="0" collapsed="false">
      <c r="A1172" s="2" t="n">
        <v>1171</v>
      </c>
      <c r="B1172" s="2" t="n">
        <v>304</v>
      </c>
      <c r="C1172" s="2" t="n">
        <v>71</v>
      </c>
      <c r="D1172" s="2" t="n">
        <v>25</v>
      </c>
      <c r="E1172" s="2" t="n">
        <v>239</v>
      </c>
      <c r="F1172" s="2" t="n">
        <v>36</v>
      </c>
      <c r="G1172" s="2" t="n">
        <v>1133</v>
      </c>
      <c r="H1172" s="2" t="n">
        <v>3</v>
      </c>
      <c r="I1172" s="3" t="n">
        <v>650.76</v>
      </c>
      <c r="J1172" s="3" t="n">
        <v>1564.33</v>
      </c>
      <c r="K1172" s="3" t="n">
        <v>2400.82</v>
      </c>
      <c r="L1172" s="3" t="n">
        <v>1131.64</v>
      </c>
      <c r="M1172" s="2" t="n">
        <v>8.7</v>
      </c>
      <c r="N1172" s="2" t="s">
        <v>27</v>
      </c>
      <c r="O1172" s="4" t="n">
        <f aca="false">VLOOKUP(F1172,DIM_SERVICO!$A$2:$D$151,4,FALSE())</f>
        <v>1564.33</v>
      </c>
      <c r="P1172" s="4" t="n">
        <f aca="false">VLOOKUP(E1172,DIM_PECA!$A$2:$F$501,6,FALSE())</f>
        <v>367.75</v>
      </c>
      <c r="Q1172" s="4" t="n">
        <f aca="false">VLOOKUP(E1172,DIM_PECA!$A$2:$F$501,5,FALSE())</f>
        <v>216.92</v>
      </c>
      <c r="R1172" s="4" t="n">
        <f aca="false">H1172*P1172</f>
        <v>1103.25</v>
      </c>
      <c r="S1172" s="4" t="n">
        <f aca="false">O1172*M1172</f>
        <v>13609.671</v>
      </c>
      <c r="T1172" s="4" t="n">
        <f aca="false">R1172+S1172</f>
        <v>14712.921</v>
      </c>
      <c r="U1172" s="4" t="n">
        <f aca="false">T1172-K1172</f>
        <v>12312.101</v>
      </c>
      <c r="V1172" s="4" t="n">
        <f aca="false">R1172+S1172-U1172</f>
        <v>2400.82</v>
      </c>
      <c r="W1172" s="5" t="str">
        <f aca="false">IF(ROUND(V1172-K1172,2)=0,"OK","ERRO")</f>
        <v>OK</v>
      </c>
      <c r="X1172" s="5" t="str">
        <f aca="false">VLOOKUP(F1172,DIM_SERVICO!$A$2:$D$151,3,FALSE())</f>
        <v>Pintura</v>
      </c>
    </row>
    <row r="1173" customFormat="false" ht="15" hidden="false" customHeight="false" outlineLevel="0" collapsed="false">
      <c r="A1173" s="6" t="n">
        <v>1172</v>
      </c>
      <c r="B1173" s="6" t="n">
        <v>335</v>
      </c>
      <c r="C1173" s="6" t="n">
        <v>727</v>
      </c>
      <c r="D1173" s="6" t="n">
        <v>943</v>
      </c>
      <c r="E1173" s="6" t="n">
        <v>397</v>
      </c>
      <c r="F1173" s="6" t="n">
        <v>3</v>
      </c>
      <c r="G1173" s="6" t="n">
        <v>56</v>
      </c>
      <c r="H1173" s="6" t="n">
        <v>4</v>
      </c>
      <c r="I1173" s="7" t="n">
        <v>426.6</v>
      </c>
      <c r="J1173" s="7" t="n">
        <v>274.77</v>
      </c>
      <c r="K1173" s="7" t="n">
        <v>1019.95</v>
      </c>
      <c r="L1173" s="7" t="n">
        <v>447.76</v>
      </c>
      <c r="M1173" s="6" t="n">
        <v>7</v>
      </c>
      <c r="N1173" s="6" t="s">
        <v>27</v>
      </c>
      <c r="O1173" s="8" t="n">
        <f aca="false">VLOOKUP(F1173,DIM_SERVICO!$A$2:$D$151,4,FALSE())</f>
        <v>274.77</v>
      </c>
      <c r="P1173" s="8" t="n">
        <f aca="false">VLOOKUP(E1173,DIM_PECA!$A$2:$F$501,6,FALSE())</f>
        <v>191.5</v>
      </c>
      <c r="Q1173" s="8" t="n">
        <f aca="false">VLOOKUP(E1173,DIM_PECA!$A$2:$F$501,5,FALSE())</f>
        <v>106.65</v>
      </c>
      <c r="R1173" s="8" t="n">
        <f aca="false">H1173*P1173</f>
        <v>766</v>
      </c>
      <c r="S1173" s="8" t="n">
        <f aca="false">O1173*M1173</f>
        <v>1923.39</v>
      </c>
      <c r="T1173" s="8" t="n">
        <f aca="false">R1173+S1173</f>
        <v>2689.39</v>
      </c>
      <c r="U1173" s="8" t="n">
        <f aca="false">T1173-K1173</f>
        <v>1669.44</v>
      </c>
      <c r="V1173" s="8" t="n">
        <f aca="false">R1173+S1173-U1173</f>
        <v>1019.95</v>
      </c>
      <c r="W1173" s="9" t="str">
        <f aca="false">IF(ROUND(V1173-K1173,2)=0,"OK","ERRO")</f>
        <v>OK</v>
      </c>
      <c r="X1173" s="9" t="str">
        <f aca="false">VLOOKUP(F1173,DIM_SERVICO!$A$2:$D$151,3,FALSE())</f>
        <v>Pintura</v>
      </c>
    </row>
    <row r="1174" customFormat="false" ht="15" hidden="false" customHeight="false" outlineLevel="0" collapsed="false">
      <c r="A1174" s="2" t="n">
        <v>1173</v>
      </c>
      <c r="B1174" s="2" t="n">
        <v>346</v>
      </c>
      <c r="C1174" s="2" t="n">
        <v>1429</v>
      </c>
      <c r="D1174" s="2" t="n">
        <v>479</v>
      </c>
      <c r="E1174" s="2" t="n">
        <v>331</v>
      </c>
      <c r="F1174" s="2" t="n">
        <v>81</v>
      </c>
      <c r="G1174" s="2" t="n">
        <v>1414</v>
      </c>
      <c r="H1174" s="2" t="n">
        <v>1</v>
      </c>
      <c r="I1174" s="3" t="n">
        <v>808.82</v>
      </c>
      <c r="J1174" s="3" t="n">
        <v>2146.9</v>
      </c>
      <c r="K1174" s="3" t="n">
        <v>3253.34</v>
      </c>
      <c r="L1174" s="3" t="n">
        <v>1665.28</v>
      </c>
      <c r="M1174" s="2" t="n">
        <v>7.6</v>
      </c>
      <c r="N1174" s="2" t="s">
        <v>24</v>
      </c>
      <c r="O1174" s="4" t="n">
        <f aca="false">VLOOKUP(F1174,DIM_SERVICO!$A$2:$D$151,4,FALSE())</f>
        <v>2146.9</v>
      </c>
      <c r="P1174" s="4" t="n">
        <f aca="false">VLOOKUP(E1174,DIM_PECA!$A$2:$F$501,6,FALSE())</f>
        <v>1106.44</v>
      </c>
      <c r="Q1174" s="4" t="n">
        <f aca="false">VLOOKUP(E1174,DIM_PECA!$A$2:$F$501,5,FALSE())</f>
        <v>808.82</v>
      </c>
      <c r="R1174" s="4" t="n">
        <f aca="false">H1174*P1174</f>
        <v>1106.44</v>
      </c>
      <c r="S1174" s="4" t="n">
        <f aca="false">O1174*M1174</f>
        <v>16316.44</v>
      </c>
      <c r="T1174" s="4" t="n">
        <f aca="false">R1174+S1174</f>
        <v>17422.88</v>
      </c>
      <c r="U1174" s="4" t="n">
        <f aca="false">T1174-K1174</f>
        <v>14169.54</v>
      </c>
      <c r="V1174" s="4" t="n">
        <f aca="false">R1174+S1174-U1174</f>
        <v>3253.34</v>
      </c>
      <c r="W1174" s="5" t="str">
        <f aca="false">IF(ROUND(V1174-K1174,2)=0,"OK","ERRO")</f>
        <v>OK</v>
      </c>
      <c r="X1174" s="5" t="str">
        <f aca="false">VLOOKUP(F1174,DIM_SERVICO!$A$2:$D$151,3,FALSE())</f>
        <v>Revisão</v>
      </c>
    </row>
    <row r="1175" customFormat="false" ht="15" hidden="false" customHeight="false" outlineLevel="0" collapsed="false">
      <c r="A1175" s="6" t="n">
        <v>1174</v>
      </c>
      <c r="B1175" s="6" t="n">
        <v>492</v>
      </c>
      <c r="C1175" s="6" t="n">
        <v>636</v>
      </c>
      <c r="D1175" s="6" t="n">
        <v>903</v>
      </c>
      <c r="E1175" s="6" t="n">
        <v>387</v>
      </c>
      <c r="F1175" s="6" t="n">
        <v>120</v>
      </c>
      <c r="G1175" s="6" t="n">
        <v>1532</v>
      </c>
      <c r="H1175" s="6" t="n">
        <v>2</v>
      </c>
      <c r="I1175" s="7" t="n">
        <v>2284.08</v>
      </c>
      <c r="J1175" s="7" t="n">
        <v>1729.81</v>
      </c>
      <c r="K1175" s="7" t="n">
        <v>5511.19</v>
      </c>
      <c r="L1175" s="7" t="n">
        <v>2372.29</v>
      </c>
      <c r="M1175" s="6" t="n">
        <v>4.8</v>
      </c>
      <c r="N1175" s="6" t="s">
        <v>24</v>
      </c>
      <c r="O1175" s="8" t="n">
        <f aca="false">VLOOKUP(F1175,DIM_SERVICO!$A$2:$D$151,4,FALSE())</f>
        <v>1729.81</v>
      </c>
      <c r="P1175" s="8" t="n">
        <f aca="false">VLOOKUP(E1175,DIM_PECA!$A$2:$F$501,6,FALSE())</f>
        <v>1890.69</v>
      </c>
      <c r="Q1175" s="8" t="n">
        <f aca="false">VLOOKUP(E1175,DIM_PECA!$A$2:$F$501,5,FALSE())</f>
        <v>1142.04</v>
      </c>
      <c r="R1175" s="8" t="n">
        <f aca="false">H1175*P1175</f>
        <v>3781.38</v>
      </c>
      <c r="S1175" s="8" t="n">
        <f aca="false">O1175*M1175</f>
        <v>8303.088</v>
      </c>
      <c r="T1175" s="8" t="n">
        <f aca="false">R1175+S1175</f>
        <v>12084.468</v>
      </c>
      <c r="U1175" s="8" t="n">
        <f aca="false">T1175-K1175</f>
        <v>6573.278</v>
      </c>
      <c r="V1175" s="8" t="n">
        <f aca="false">R1175+S1175-U1175</f>
        <v>5511.19</v>
      </c>
      <c r="W1175" s="9" t="str">
        <f aca="false">IF(ROUND(V1175-K1175,2)=0,"OK","ERRO")</f>
        <v>OK</v>
      </c>
      <c r="X1175" s="9" t="str">
        <f aca="false">VLOOKUP(F1175,DIM_SERVICO!$A$2:$D$151,3,FALSE())</f>
        <v>Suspensão</v>
      </c>
    </row>
    <row r="1176" customFormat="false" ht="15" hidden="false" customHeight="false" outlineLevel="0" collapsed="false">
      <c r="A1176" s="2" t="n">
        <v>1175</v>
      </c>
      <c r="B1176" s="2" t="n">
        <v>670</v>
      </c>
      <c r="C1176" s="2" t="n">
        <v>463</v>
      </c>
      <c r="D1176" s="2" t="n">
        <v>521</v>
      </c>
      <c r="E1176" s="2" t="n">
        <v>488</v>
      </c>
      <c r="F1176" s="2" t="n">
        <v>83</v>
      </c>
      <c r="G1176" s="2" t="n">
        <v>481</v>
      </c>
      <c r="H1176" s="2" t="n">
        <v>4</v>
      </c>
      <c r="I1176" s="3" t="n">
        <v>4585.08</v>
      </c>
      <c r="J1176" s="3" t="n">
        <v>2098.93</v>
      </c>
      <c r="K1176" s="3" t="n">
        <v>10113.27</v>
      </c>
      <c r="L1176" s="3" t="n">
        <v>4670.28</v>
      </c>
      <c r="M1176" s="2" t="n">
        <v>5</v>
      </c>
      <c r="N1176" s="2" t="s">
        <v>25</v>
      </c>
      <c r="O1176" s="4" t="n">
        <f aca="false">VLOOKUP(F1176,DIM_SERVICO!$A$2:$D$151,4,FALSE())</f>
        <v>2098.93</v>
      </c>
      <c r="P1176" s="4" t="n">
        <f aca="false">VLOOKUP(E1176,DIM_PECA!$A$2:$F$501,6,FALSE())</f>
        <v>2284.51</v>
      </c>
      <c r="Q1176" s="4" t="n">
        <f aca="false">VLOOKUP(E1176,DIM_PECA!$A$2:$F$501,5,FALSE())</f>
        <v>1146.27</v>
      </c>
      <c r="R1176" s="4" t="n">
        <f aca="false">H1176*P1176</f>
        <v>9138.04</v>
      </c>
      <c r="S1176" s="4" t="n">
        <f aca="false">O1176*M1176</f>
        <v>10494.65</v>
      </c>
      <c r="T1176" s="4" t="n">
        <f aca="false">R1176+S1176</f>
        <v>19632.69</v>
      </c>
      <c r="U1176" s="4" t="n">
        <f aca="false">T1176-K1176</f>
        <v>9519.42</v>
      </c>
      <c r="V1176" s="4" t="n">
        <f aca="false">R1176+S1176-U1176</f>
        <v>10113.27</v>
      </c>
      <c r="W1176" s="5" t="str">
        <f aca="false">IF(ROUND(V1176-K1176,2)=0,"OK","ERRO")</f>
        <v>OK</v>
      </c>
      <c r="X1176" s="5" t="str">
        <f aca="false">VLOOKUP(F1176,DIM_SERVICO!$A$2:$D$151,3,FALSE())</f>
        <v>Pintura</v>
      </c>
    </row>
    <row r="1177" customFormat="false" ht="15" hidden="false" customHeight="false" outlineLevel="0" collapsed="false">
      <c r="A1177" s="6" t="n">
        <v>1176</v>
      </c>
      <c r="B1177" s="6" t="n">
        <v>764</v>
      </c>
      <c r="C1177" s="6" t="n">
        <v>1466</v>
      </c>
      <c r="D1177" s="6" t="n">
        <v>113</v>
      </c>
      <c r="E1177" s="6" t="n">
        <v>250</v>
      </c>
      <c r="F1177" s="6" t="n">
        <v>128</v>
      </c>
      <c r="G1177" s="6" t="n">
        <v>1478</v>
      </c>
      <c r="H1177" s="6" t="n">
        <v>4</v>
      </c>
      <c r="I1177" s="7" t="n">
        <v>2417</v>
      </c>
      <c r="J1177" s="7" t="n">
        <v>1139.25</v>
      </c>
      <c r="K1177" s="7" t="n">
        <v>4457.4</v>
      </c>
      <c r="L1177" s="7" t="n">
        <v>1609.21</v>
      </c>
      <c r="M1177" s="6" t="n">
        <v>2.1</v>
      </c>
      <c r="N1177" s="6" t="s">
        <v>24</v>
      </c>
      <c r="O1177" s="8" t="n">
        <f aca="false">VLOOKUP(F1177,DIM_SERVICO!$A$2:$D$151,4,FALSE())</f>
        <v>1139.25</v>
      </c>
      <c r="P1177" s="8" t="n">
        <f aca="false">VLOOKUP(E1177,DIM_PECA!$A$2:$F$501,6,FALSE())</f>
        <v>852.28</v>
      </c>
      <c r="Q1177" s="8" t="n">
        <f aca="false">VLOOKUP(E1177,DIM_PECA!$A$2:$F$501,5,FALSE())</f>
        <v>604.25</v>
      </c>
      <c r="R1177" s="8" t="n">
        <f aca="false">H1177*P1177</f>
        <v>3409.12</v>
      </c>
      <c r="S1177" s="8" t="n">
        <f aca="false">O1177*M1177</f>
        <v>2392.425</v>
      </c>
      <c r="T1177" s="8" t="n">
        <f aca="false">R1177+S1177</f>
        <v>5801.545</v>
      </c>
      <c r="U1177" s="8" t="n">
        <f aca="false">T1177-K1177</f>
        <v>1344.145</v>
      </c>
      <c r="V1177" s="8" t="n">
        <f aca="false">R1177+S1177-U1177</f>
        <v>4457.4</v>
      </c>
      <c r="W1177" s="9" t="str">
        <f aca="false">IF(ROUND(V1177-K1177,2)=0,"OK","ERRO")</f>
        <v>OK</v>
      </c>
      <c r="X1177" s="9" t="str">
        <f aca="false">VLOOKUP(F1177,DIM_SERVICO!$A$2:$D$151,3,FALSE())</f>
        <v>Revisão</v>
      </c>
    </row>
    <row r="1178" customFormat="false" ht="15" hidden="false" customHeight="false" outlineLevel="0" collapsed="false">
      <c r="A1178" s="2" t="n">
        <v>1177</v>
      </c>
      <c r="B1178" s="2" t="n">
        <v>466</v>
      </c>
      <c r="C1178" s="2" t="n">
        <v>880</v>
      </c>
      <c r="D1178" s="2" t="n">
        <v>551</v>
      </c>
      <c r="E1178" s="2" t="n">
        <v>446</v>
      </c>
      <c r="F1178" s="2" t="n">
        <v>97</v>
      </c>
      <c r="G1178" s="2" t="n">
        <v>1496</v>
      </c>
      <c r="H1178" s="2" t="n">
        <v>1</v>
      </c>
      <c r="I1178" s="3" t="n">
        <v>1169.09</v>
      </c>
      <c r="J1178" s="3" t="n">
        <v>1095.32</v>
      </c>
      <c r="K1178" s="3" t="n">
        <v>2730.52</v>
      </c>
      <c r="L1178" s="3" t="n">
        <v>961.19</v>
      </c>
      <c r="M1178" s="2" t="n">
        <v>3.2</v>
      </c>
      <c r="N1178" s="2" t="s">
        <v>24</v>
      </c>
      <c r="O1178" s="4" t="n">
        <f aca="false">VLOOKUP(F1178,DIM_SERVICO!$A$2:$D$151,4,FALSE())</f>
        <v>1095.32</v>
      </c>
      <c r="P1178" s="4" t="n">
        <f aca="false">VLOOKUP(E1178,DIM_PECA!$A$2:$F$501,6,FALSE())</f>
        <v>1938.59</v>
      </c>
      <c r="Q1178" s="4" t="n">
        <f aca="false">VLOOKUP(E1178,DIM_PECA!$A$2:$F$501,5,FALSE())</f>
        <v>1169.09</v>
      </c>
      <c r="R1178" s="4" t="n">
        <f aca="false">H1178*P1178</f>
        <v>1938.59</v>
      </c>
      <c r="S1178" s="4" t="n">
        <f aca="false">O1178*M1178</f>
        <v>3505.024</v>
      </c>
      <c r="T1178" s="4" t="n">
        <f aca="false">R1178+S1178</f>
        <v>5443.614</v>
      </c>
      <c r="U1178" s="4" t="n">
        <f aca="false">T1178-K1178</f>
        <v>2713.094</v>
      </c>
      <c r="V1178" s="4" t="n">
        <f aca="false">R1178+S1178-U1178</f>
        <v>2730.52</v>
      </c>
      <c r="W1178" s="5" t="str">
        <f aca="false">IF(ROUND(V1178-K1178,2)=0,"OK","ERRO")</f>
        <v>OK</v>
      </c>
      <c r="X1178" s="5" t="str">
        <f aca="false">VLOOKUP(F1178,DIM_SERVICO!$A$2:$D$151,3,FALSE())</f>
        <v>Pintura</v>
      </c>
    </row>
    <row r="1179" customFormat="false" ht="15" hidden="false" customHeight="false" outlineLevel="0" collapsed="false">
      <c r="A1179" s="6" t="n">
        <v>1178</v>
      </c>
      <c r="B1179" s="6" t="n">
        <v>1382</v>
      </c>
      <c r="C1179" s="6" t="n">
        <v>70</v>
      </c>
      <c r="D1179" s="6" t="n">
        <v>18</v>
      </c>
      <c r="E1179" s="6" t="n">
        <v>76</v>
      </c>
      <c r="F1179" s="6" t="n">
        <v>128</v>
      </c>
      <c r="G1179" s="6" t="n">
        <v>23</v>
      </c>
      <c r="H1179" s="6" t="n">
        <v>2</v>
      </c>
      <c r="I1179" s="7" t="n">
        <v>321.44</v>
      </c>
      <c r="J1179" s="7" t="n">
        <v>1139.25</v>
      </c>
      <c r="K1179" s="7" t="n">
        <v>1774.69</v>
      </c>
      <c r="L1179" s="7" t="n">
        <v>877.89</v>
      </c>
      <c r="M1179" s="6" t="n">
        <v>1.2</v>
      </c>
      <c r="N1179" s="6" t="s">
        <v>27</v>
      </c>
      <c r="O1179" s="8" t="n">
        <f aca="false">VLOOKUP(F1179,DIM_SERVICO!$A$2:$D$151,4,FALSE())</f>
        <v>1139.25</v>
      </c>
      <c r="P1179" s="8" t="n">
        <f aca="false">VLOOKUP(E1179,DIM_PECA!$A$2:$F$501,6,FALSE())</f>
        <v>335.83</v>
      </c>
      <c r="Q1179" s="8" t="n">
        <f aca="false">VLOOKUP(E1179,DIM_PECA!$A$2:$F$501,5,FALSE())</f>
        <v>160.72</v>
      </c>
      <c r="R1179" s="8" t="n">
        <f aca="false">H1179*P1179</f>
        <v>671.66</v>
      </c>
      <c r="S1179" s="8" t="n">
        <f aca="false">O1179*M1179</f>
        <v>1367.1</v>
      </c>
      <c r="T1179" s="8" t="n">
        <f aca="false">R1179+S1179</f>
        <v>2038.76</v>
      </c>
      <c r="U1179" s="8" t="n">
        <f aca="false">T1179-K1179</f>
        <v>264.07</v>
      </c>
      <c r="V1179" s="8" t="n">
        <f aca="false">R1179+S1179-U1179</f>
        <v>1774.69</v>
      </c>
      <c r="W1179" s="9" t="str">
        <f aca="false">IF(ROUND(V1179-K1179,2)=0,"OK","ERRO")</f>
        <v>OK</v>
      </c>
      <c r="X1179" s="9" t="str">
        <f aca="false">VLOOKUP(F1179,DIM_SERVICO!$A$2:$D$151,3,FALSE())</f>
        <v>Revisão</v>
      </c>
    </row>
    <row r="1180" customFormat="false" ht="15" hidden="false" customHeight="false" outlineLevel="0" collapsed="false">
      <c r="A1180" s="2" t="n">
        <v>1179</v>
      </c>
      <c r="B1180" s="2" t="n">
        <v>769</v>
      </c>
      <c r="C1180" s="2" t="n">
        <v>976</v>
      </c>
      <c r="D1180" s="2" t="n">
        <v>769</v>
      </c>
      <c r="E1180" s="2" t="n">
        <v>413</v>
      </c>
      <c r="F1180" s="2" t="n">
        <v>121</v>
      </c>
      <c r="G1180" s="2" t="n">
        <v>1565</v>
      </c>
      <c r="H1180" s="2" t="n">
        <v>4</v>
      </c>
      <c r="I1180" s="3" t="n">
        <v>1296.84</v>
      </c>
      <c r="J1180" s="3" t="n">
        <v>599.74</v>
      </c>
      <c r="K1180" s="3" t="n">
        <v>2220.13</v>
      </c>
      <c r="L1180" s="3" t="n">
        <v>645.85</v>
      </c>
      <c r="M1180" s="2" t="n">
        <v>6.7</v>
      </c>
      <c r="N1180" s="2" t="s">
        <v>26</v>
      </c>
      <c r="O1180" s="4" t="n">
        <f aca="false">VLOOKUP(F1180,DIM_SERVICO!$A$2:$D$151,4,FALSE())</f>
        <v>599.74</v>
      </c>
      <c r="P1180" s="4" t="n">
        <f aca="false">VLOOKUP(E1180,DIM_PECA!$A$2:$F$501,6,FALSE())</f>
        <v>453.36</v>
      </c>
      <c r="Q1180" s="4" t="n">
        <f aca="false">VLOOKUP(E1180,DIM_PECA!$A$2:$F$501,5,FALSE())</f>
        <v>324.21</v>
      </c>
      <c r="R1180" s="4" t="n">
        <f aca="false">H1180*P1180</f>
        <v>1813.44</v>
      </c>
      <c r="S1180" s="4" t="n">
        <f aca="false">O1180*M1180</f>
        <v>4018.258</v>
      </c>
      <c r="T1180" s="4" t="n">
        <f aca="false">R1180+S1180</f>
        <v>5831.698</v>
      </c>
      <c r="U1180" s="4" t="n">
        <f aca="false">T1180-K1180</f>
        <v>3611.568</v>
      </c>
      <c r="V1180" s="4" t="n">
        <f aca="false">R1180+S1180-U1180</f>
        <v>2220.13</v>
      </c>
      <c r="W1180" s="5" t="str">
        <f aca="false">IF(ROUND(V1180-K1180,2)=0,"OK","ERRO")</f>
        <v>OK</v>
      </c>
      <c r="X1180" s="5" t="str">
        <f aca="false">VLOOKUP(F1180,DIM_SERVICO!$A$2:$D$151,3,FALSE())</f>
        <v>Revisão</v>
      </c>
    </row>
    <row r="1181" customFormat="false" ht="15" hidden="false" customHeight="false" outlineLevel="0" collapsed="false">
      <c r="A1181" s="6" t="n">
        <v>1180</v>
      </c>
      <c r="B1181" s="6" t="n">
        <v>333</v>
      </c>
      <c r="C1181" s="6" t="n">
        <v>80</v>
      </c>
      <c r="D1181" s="6" t="n">
        <v>580</v>
      </c>
      <c r="E1181" s="6" t="n">
        <v>56</v>
      </c>
      <c r="F1181" s="6" t="n">
        <v>65</v>
      </c>
      <c r="G1181" s="6" t="n">
        <v>734</v>
      </c>
      <c r="H1181" s="6" t="n">
        <v>2</v>
      </c>
      <c r="I1181" s="7" t="n">
        <v>753.68</v>
      </c>
      <c r="J1181" s="7" t="n">
        <v>1214.63</v>
      </c>
      <c r="K1181" s="7" t="n">
        <v>2249</v>
      </c>
      <c r="L1181" s="7" t="n">
        <v>935.6</v>
      </c>
      <c r="M1181" s="6" t="n">
        <v>7.3</v>
      </c>
      <c r="N1181" s="6" t="s">
        <v>27</v>
      </c>
      <c r="O1181" s="8" t="n">
        <f aca="false">VLOOKUP(F1181,DIM_SERVICO!$A$2:$D$151,4,FALSE())</f>
        <v>1214.63</v>
      </c>
      <c r="P1181" s="8" t="n">
        <f aca="false">VLOOKUP(E1181,DIM_PECA!$A$2:$F$501,6,FALSE())</f>
        <v>642.13</v>
      </c>
      <c r="Q1181" s="8" t="n">
        <f aca="false">VLOOKUP(E1181,DIM_PECA!$A$2:$F$501,5,FALSE())</f>
        <v>376.84</v>
      </c>
      <c r="R1181" s="8" t="n">
        <f aca="false">H1181*P1181</f>
        <v>1284.26</v>
      </c>
      <c r="S1181" s="8" t="n">
        <f aca="false">O1181*M1181</f>
        <v>8866.799</v>
      </c>
      <c r="T1181" s="8" t="n">
        <f aca="false">R1181+S1181</f>
        <v>10151.059</v>
      </c>
      <c r="U1181" s="8" t="n">
        <f aca="false">T1181-K1181</f>
        <v>7902.059</v>
      </c>
      <c r="V1181" s="8" t="n">
        <f aca="false">R1181+S1181-U1181</f>
        <v>2249</v>
      </c>
      <c r="W1181" s="9" t="str">
        <f aca="false">IF(ROUND(V1181-K1181,2)=0,"OK","ERRO")</f>
        <v>OK</v>
      </c>
      <c r="X1181" s="9" t="str">
        <f aca="false">VLOOKUP(F1181,DIM_SERVICO!$A$2:$D$151,3,FALSE())</f>
        <v>Elétrica</v>
      </c>
    </row>
    <row r="1182" customFormat="false" ht="15" hidden="false" customHeight="false" outlineLevel="0" collapsed="false">
      <c r="A1182" s="2" t="n">
        <v>1181</v>
      </c>
      <c r="B1182" s="2" t="n">
        <v>547</v>
      </c>
      <c r="C1182" s="2" t="n">
        <v>21</v>
      </c>
      <c r="D1182" s="2" t="n">
        <v>208</v>
      </c>
      <c r="E1182" s="2" t="n">
        <v>477</v>
      </c>
      <c r="F1182" s="2" t="n">
        <v>112</v>
      </c>
      <c r="G1182" s="2" t="n">
        <v>1057</v>
      </c>
      <c r="H1182" s="2" t="n">
        <v>1</v>
      </c>
      <c r="I1182" s="3" t="n">
        <v>190.58</v>
      </c>
      <c r="J1182" s="3" t="n">
        <v>899.56</v>
      </c>
      <c r="K1182" s="3" t="n">
        <v>1209.69</v>
      </c>
      <c r="L1182" s="3" t="n">
        <v>567.23</v>
      </c>
      <c r="M1182" s="2" t="n">
        <v>6.2</v>
      </c>
      <c r="N1182" s="2" t="s">
        <v>24</v>
      </c>
      <c r="O1182" s="4" t="n">
        <f aca="false">VLOOKUP(F1182,DIM_SERVICO!$A$2:$D$151,4,FALSE())</f>
        <v>899.56</v>
      </c>
      <c r="P1182" s="4" t="n">
        <f aca="false">VLOOKUP(E1182,DIM_PECA!$A$2:$F$501,6,FALSE())</f>
        <v>310.13</v>
      </c>
      <c r="Q1182" s="4" t="n">
        <f aca="false">VLOOKUP(E1182,DIM_PECA!$A$2:$F$501,5,FALSE())</f>
        <v>190.58</v>
      </c>
      <c r="R1182" s="4" t="n">
        <f aca="false">H1182*P1182</f>
        <v>310.13</v>
      </c>
      <c r="S1182" s="4" t="n">
        <f aca="false">O1182*M1182</f>
        <v>5577.272</v>
      </c>
      <c r="T1182" s="4" t="n">
        <f aca="false">R1182+S1182</f>
        <v>5887.402</v>
      </c>
      <c r="U1182" s="4" t="n">
        <f aca="false">T1182-K1182</f>
        <v>4677.712</v>
      </c>
      <c r="V1182" s="4" t="n">
        <f aca="false">R1182+S1182-U1182</f>
        <v>1209.69</v>
      </c>
      <c r="W1182" s="5" t="str">
        <f aca="false">IF(ROUND(V1182-K1182,2)=0,"OK","ERRO")</f>
        <v>OK</v>
      </c>
      <c r="X1182" s="5" t="str">
        <f aca="false">VLOOKUP(F1182,DIM_SERVICO!$A$2:$D$151,3,FALSE())</f>
        <v>Elétrica</v>
      </c>
    </row>
    <row r="1183" customFormat="false" ht="15" hidden="false" customHeight="false" outlineLevel="0" collapsed="false">
      <c r="A1183" s="6" t="n">
        <v>1182</v>
      </c>
      <c r="B1183" s="6" t="n">
        <v>752</v>
      </c>
      <c r="C1183" s="6" t="n">
        <v>14</v>
      </c>
      <c r="D1183" s="6" t="n">
        <v>98</v>
      </c>
      <c r="E1183" s="6" t="n">
        <v>13</v>
      </c>
      <c r="F1183" s="6" t="n">
        <v>104</v>
      </c>
      <c r="G1183" s="6" t="n">
        <v>1254</v>
      </c>
      <c r="H1183" s="6" t="n">
        <v>1</v>
      </c>
      <c r="I1183" s="7" t="n">
        <v>304.15</v>
      </c>
      <c r="J1183" s="7" t="n">
        <v>409.99</v>
      </c>
      <c r="K1183" s="7" t="n">
        <v>948</v>
      </c>
      <c r="L1183" s="7" t="n">
        <v>470.35</v>
      </c>
      <c r="M1183" s="6" t="n">
        <v>11.2</v>
      </c>
      <c r="N1183" s="6" t="s">
        <v>24</v>
      </c>
      <c r="O1183" s="8" t="n">
        <f aca="false">VLOOKUP(F1183,DIM_SERVICO!$A$2:$D$151,4,FALSE())</f>
        <v>409.99</v>
      </c>
      <c r="P1183" s="8" t="n">
        <f aca="false">VLOOKUP(E1183,DIM_PECA!$A$2:$F$501,6,FALSE())</f>
        <v>538.01</v>
      </c>
      <c r="Q1183" s="8" t="n">
        <f aca="false">VLOOKUP(E1183,DIM_PECA!$A$2:$F$501,5,FALSE())</f>
        <v>304.15</v>
      </c>
      <c r="R1183" s="8" t="n">
        <f aca="false">H1183*P1183</f>
        <v>538.01</v>
      </c>
      <c r="S1183" s="8" t="n">
        <f aca="false">O1183*M1183</f>
        <v>4591.888</v>
      </c>
      <c r="T1183" s="8" t="n">
        <f aca="false">R1183+S1183</f>
        <v>5129.898</v>
      </c>
      <c r="U1183" s="8" t="n">
        <f aca="false">T1183-K1183</f>
        <v>4181.898</v>
      </c>
      <c r="V1183" s="8" t="n">
        <f aca="false">R1183+S1183-U1183</f>
        <v>948</v>
      </c>
      <c r="W1183" s="9" t="str">
        <f aca="false">IF(ROUND(V1183-K1183,2)=0,"OK","ERRO")</f>
        <v>OK</v>
      </c>
      <c r="X1183" s="9" t="str">
        <f aca="false">VLOOKUP(F1183,DIM_SERVICO!$A$2:$D$151,3,FALSE())</f>
        <v>Diagnóstico</v>
      </c>
    </row>
    <row r="1184" customFormat="false" ht="15" hidden="false" customHeight="false" outlineLevel="0" collapsed="false">
      <c r="A1184" s="2" t="n">
        <v>1183</v>
      </c>
      <c r="B1184" s="2" t="n">
        <v>573</v>
      </c>
      <c r="C1184" s="2" t="n">
        <v>449</v>
      </c>
      <c r="D1184" s="2" t="n">
        <v>1056</v>
      </c>
      <c r="E1184" s="2" t="n">
        <v>458</v>
      </c>
      <c r="F1184" s="2" t="n">
        <v>41</v>
      </c>
      <c r="G1184" s="2" t="n">
        <v>1772</v>
      </c>
      <c r="H1184" s="2" t="n">
        <v>2</v>
      </c>
      <c r="I1184" s="3" t="n">
        <v>1435.44</v>
      </c>
      <c r="J1184" s="3" t="n">
        <v>1317.9</v>
      </c>
      <c r="K1184" s="3" t="n">
        <v>3817.89</v>
      </c>
      <c r="L1184" s="3" t="n">
        <v>1853.09</v>
      </c>
      <c r="M1184" s="2" t="n">
        <v>4.6</v>
      </c>
      <c r="N1184" s="2" t="s">
        <v>24</v>
      </c>
      <c r="O1184" s="4" t="n">
        <f aca="false">VLOOKUP(F1184,DIM_SERVICO!$A$2:$D$151,4,FALSE())</f>
        <v>1317.9</v>
      </c>
      <c r="P1184" s="4" t="n">
        <f aca="false">VLOOKUP(E1184,DIM_PECA!$A$2:$F$501,6,FALSE())</f>
        <v>1462.1</v>
      </c>
      <c r="Q1184" s="4" t="n">
        <f aca="false">VLOOKUP(E1184,DIM_PECA!$A$2:$F$501,5,FALSE())</f>
        <v>717.72</v>
      </c>
      <c r="R1184" s="4" t="n">
        <f aca="false">H1184*P1184</f>
        <v>2924.2</v>
      </c>
      <c r="S1184" s="4" t="n">
        <f aca="false">O1184*M1184</f>
        <v>6062.34</v>
      </c>
      <c r="T1184" s="4" t="n">
        <f aca="false">R1184+S1184</f>
        <v>8986.54</v>
      </c>
      <c r="U1184" s="4" t="n">
        <f aca="false">T1184-K1184</f>
        <v>5168.65</v>
      </c>
      <c r="V1184" s="4" t="n">
        <f aca="false">R1184+S1184-U1184</f>
        <v>3817.89</v>
      </c>
      <c r="W1184" s="5" t="str">
        <f aca="false">IF(ROUND(V1184-K1184,2)=0,"OK","ERRO")</f>
        <v>OK</v>
      </c>
      <c r="X1184" s="5" t="str">
        <f aca="false">VLOOKUP(F1184,DIM_SERVICO!$A$2:$D$151,3,FALSE())</f>
        <v>Motor</v>
      </c>
    </row>
    <row r="1185" customFormat="false" ht="15" hidden="false" customHeight="false" outlineLevel="0" collapsed="false">
      <c r="A1185" s="6" t="n">
        <v>1184</v>
      </c>
      <c r="B1185" s="6" t="n">
        <v>219</v>
      </c>
      <c r="C1185" s="6" t="n">
        <v>894</v>
      </c>
      <c r="D1185" s="6" t="n">
        <v>611</v>
      </c>
      <c r="E1185" s="6" t="n">
        <v>94</v>
      </c>
      <c r="F1185" s="6" t="n">
        <v>55</v>
      </c>
      <c r="G1185" s="6" t="n">
        <v>372</v>
      </c>
      <c r="H1185" s="6" t="n">
        <v>2</v>
      </c>
      <c r="I1185" s="7" t="n">
        <v>2237.3</v>
      </c>
      <c r="J1185" s="7" t="n">
        <v>176.18</v>
      </c>
      <c r="K1185" s="7" t="n">
        <v>4417.16</v>
      </c>
      <c r="L1185" s="7" t="n">
        <v>2107.5</v>
      </c>
      <c r="M1185" s="6" t="n">
        <v>11.8</v>
      </c>
      <c r="N1185" s="6" t="s">
        <v>25</v>
      </c>
      <c r="O1185" s="8" t="n">
        <f aca="false">VLOOKUP(F1185,DIM_SERVICO!$A$2:$D$151,4,FALSE())</f>
        <v>176.18</v>
      </c>
      <c r="P1185" s="8" t="n">
        <f aca="false">VLOOKUP(E1185,DIM_PECA!$A$2:$F$501,6,FALSE())</f>
        <v>2120.49</v>
      </c>
      <c r="Q1185" s="8" t="n">
        <f aca="false">VLOOKUP(E1185,DIM_PECA!$A$2:$F$501,5,FALSE())</f>
        <v>1118.65</v>
      </c>
      <c r="R1185" s="8" t="n">
        <f aca="false">H1185*P1185</f>
        <v>4240.98</v>
      </c>
      <c r="S1185" s="8" t="n">
        <f aca="false">O1185*M1185</f>
        <v>2078.924</v>
      </c>
      <c r="T1185" s="8" t="n">
        <f aca="false">R1185+S1185</f>
        <v>6319.904</v>
      </c>
      <c r="U1185" s="8" t="n">
        <f aca="false">T1185-K1185</f>
        <v>1902.744</v>
      </c>
      <c r="V1185" s="8" t="n">
        <f aca="false">R1185+S1185-U1185</f>
        <v>4417.16</v>
      </c>
      <c r="W1185" s="9" t="str">
        <f aca="false">IF(ROUND(V1185-K1185,2)=0,"OK","ERRO")</f>
        <v>OK</v>
      </c>
      <c r="X1185" s="9" t="str">
        <f aca="false">VLOOKUP(F1185,DIM_SERVICO!$A$2:$D$151,3,FALSE())</f>
        <v>Motor</v>
      </c>
    </row>
    <row r="1186" customFormat="false" ht="15" hidden="false" customHeight="false" outlineLevel="0" collapsed="false">
      <c r="A1186" s="2" t="n">
        <v>1185</v>
      </c>
      <c r="B1186" s="2" t="n">
        <v>1447</v>
      </c>
      <c r="C1186" s="2" t="n">
        <v>634</v>
      </c>
      <c r="D1186" s="2" t="n">
        <v>506</v>
      </c>
      <c r="E1186" s="2" t="n">
        <v>393</v>
      </c>
      <c r="F1186" s="2" t="n">
        <v>22</v>
      </c>
      <c r="G1186" s="2" t="n">
        <v>389</v>
      </c>
      <c r="H1186" s="2" t="n">
        <v>3</v>
      </c>
      <c r="I1186" s="3" t="n">
        <v>3401.25</v>
      </c>
      <c r="J1186" s="3" t="n">
        <v>1591.95</v>
      </c>
      <c r="K1186" s="3" t="n">
        <v>7193.53</v>
      </c>
      <c r="L1186" s="3" t="n">
        <v>3207.91</v>
      </c>
      <c r="M1186" s="2" t="n">
        <v>5.1</v>
      </c>
      <c r="N1186" s="2" t="s">
        <v>24</v>
      </c>
      <c r="O1186" s="4" t="n">
        <f aca="false">VLOOKUP(F1186,DIM_SERVICO!$A$2:$D$151,4,FALSE())</f>
        <v>1591.95</v>
      </c>
      <c r="P1186" s="4" t="n">
        <f aca="false">VLOOKUP(E1186,DIM_PECA!$A$2:$F$501,6,FALSE())</f>
        <v>2075.7</v>
      </c>
      <c r="Q1186" s="4" t="n">
        <f aca="false">VLOOKUP(E1186,DIM_PECA!$A$2:$F$501,5,FALSE())</f>
        <v>1133.75</v>
      </c>
      <c r="R1186" s="4" t="n">
        <f aca="false">H1186*P1186</f>
        <v>6227.1</v>
      </c>
      <c r="S1186" s="4" t="n">
        <f aca="false">O1186*M1186</f>
        <v>8118.945</v>
      </c>
      <c r="T1186" s="4" t="n">
        <f aca="false">R1186+S1186</f>
        <v>14346.045</v>
      </c>
      <c r="U1186" s="4" t="n">
        <f aca="false">T1186-K1186</f>
        <v>7152.515</v>
      </c>
      <c r="V1186" s="4" t="n">
        <f aca="false">R1186+S1186-U1186</f>
        <v>7193.53</v>
      </c>
      <c r="W1186" s="5" t="str">
        <f aca="false">IF(ROUND(V1186-K1186,2)=0,"OK","ERRO")</f>
        <v>OK</v>
      </c>
      <c r="X1186" s="5" t="str">
        <f aca="false">VLOOKUP(F1186,DIM_SERVICO!$A$2:$D$151,3,FALSE())</f>
        <v>Motor</v>
      </c>
    </row>
    <row r="1187" customFormat="false" ht="15" hidden="false" customHeight="false" outlineLevel="0" collapsed="false">
      <c r="A1187" s="6" t="n">
        <v>1186</v>
      </c>
      <c r="B1187" s="6" t="n">
        <v>636</v>
      </c>
      <c r="C1187" s="6" t="n">
        <v>1229</v>
      </c>
      <c r="D1187" s="6" t="n">
        <v>369</v>
      </c>
      <c r="E1187" s="6" t="n">
        <v>107</v>
      </c>
      <c r="F1187" s="6" t="n">
        <v>14</v>
      </c>
      <c r="G1187" s="6" t="n">
        <v>489</v>
      </c>
      <c r="H1187" s="6" t="n">
        <v>1</v>
      </c>
      <c r="I1187" s="7" t="n">
        <v>520.49</v>
      </c>
      <c r="J1187" s="7" t="n">
        <v>1939.75</v>
      </c>
      <c r="K1187" s="7" t="n">
        <v>2983.85</v>
      </c>
      <c r="L1187" s="7" t="n">
        <v>1616.1</v>
      </c>
      <c r="M1187" s="6" t="n">
        <v>7.3</v>
      </c>
      <c r="N1187" s="6" t="s">
        <v>24</v>
      </c>
      <c r="O1187" s="8" t="n">
        <f aca="false">VLOOKUP(F1187,DIM_SERVICO!$A$2:$D$151,4,FALSE())</f>
        <v>1939.75</v>
      </c>
      <c r="P1187" s="8" t="n">
        <f aca="false">VLOOKUP(E1187,DIM_PECA!$A$2:$F$501,6,FALSE())</f>
        <v>1044.1</v>
      </c>
      <c r="Q1187" s="8" t="n">
        <f aca="false">VLOOKUP(E1187,DIM_PECA!$A$2:$F$501,5,FALSE())</f>
        <v>520.49</v>
      </c>
      <c r="R1187" s="8" t="n">
        <f aca="false">H1187*P1187</f>
        <v>1044.1</v>
      </c>
      <c r="S1187" s="8" t="n">
        <f aca="false">O1187*M1187</f>
        <v>14160.175</v>
      </c>
      <c r="T1187" s="8" t="n">
        <f aca="false">R1187+S1187</f>
        <v>15204.275</v>
      </c>
      <c r="U1187" s="8" t="n">
        <f aca="false">T1187-K1187</f>
        <v>12220.425</v>
      </c>
      <c r="V1187" s="8" t="n">
        <f aca="false">R1187+S1187-U1187</f>
        <v>2983.85</v>
      </c>
      <c r="W1187" s="9" t="str">
        <f aca="false">IF(ROUND(V1187-K1187,2)=0,"OK","ERRO")</f>
        <v>OK</v>
      </c>
      <c r="X1187" s="9" t="str">
        <f aca="false">VLOOKUP(F1187,DIM_SERVICO!$A$2:$D$151,3,FALSE())</f>
        <v>Funilaria</v>
      </c>
    </row>
    <row r="1188" customFormat="false" ht="15" hidden="false" customHeight="false" outlineLevel="0" collapsed="false">
      <c r="A1188" s="2" t="n">
        <v>1187</v>
      </c>
      <c r="B1188" s="2" t="n">
        <v>1183</v>
      </c>
      <c r="C1188" s="2" t="n">
        <v>86</v>
      </c>
      <c r="D1188" s="2" t="n">
        <v>869</v>
      </c>
      <c r="E1188" s="2" t="n">
        <v>7</v>
      </c>
      <c r="F1188" s="2" t="n">
        <v>90</v>
      </c>
      <c r="G1188" s="2" t="n">
        <v>1512</v>
      </c>
      <c r="H1188" s="2" t="n">
        <v>4</v>
      </c>
      <c r="I1188" s="3" t="n">
        <v>2904.72</v>
      </c>
      <c r="J1188" s="3" t="n">
        <v>702.32</v>
      </c>
      <c r="K1188" s="3" t="n">
        <v>5458.62</v>
      </c>
      <c r="L1188" s="3" t="n">
        <v>2256.21</v>
      </c>
      <c r="M1188" s="2" t="n">
        <v>0.6</v>
      </c>
      <c r="N1188" s="2" t="s">
        <v>24</v>
      </c>
      <c r="O1188" s="4" t="n">
        <f aca="false">VLOOKUP(F1188,DIM_SERVICO!$A$2:$D$151,4,FALSE())</f>
        <v>702.32</v>
      </c>
      <c r="P1188" s="4" t="n">
        <f aca="false">VLOOKUP(E1188,DIM_PECA!$A$2:$F$501,6,FALSE())</f>
        <v>1260.9</v>
      </c>
      <c r="Q1188" s="4" t="n">
        <f aca="false">VLOOKUP(E1188,DIM_PECA!$A$2:$F$501,5,FALSE())</f>
        <v>726.18</v>
      </c>
      <c r="R1188" s="4" t="n">
        <f aca="false">H1188*P1188</f>
        <v>5043.6</v>
      </c>
      <c r="S1188" s="4" t="n">
        <f aca="false">O1188*M1188</f>
        <v>421.392</v>
      </c>
      <c r="T1188" s="4" t="n">
        <f aca="false">R1188+S1188</f>
        <v>5464.992</v>
      </c>
      <c r="U1188" s="4" t="n">
        <f aca="false">T1188-K1188</f>
        <v>6.3720000000003</v>
      </c>
      <c r="V1188" s="4" t="n">
        <f aca="false">R1188+S1188-U1188</f>
        <v>5458.62</v>
      </c>
      <c r="W1188" s="5" t="str">
        <f aca="false">IF(ROUND(V1188-K1188,2)=0,"OK","ERRO")</f>
        <v>OK</v>
      </c>
      <c r="X1188" s="5" t="str">
        <f aca="false">VLOOKUP(F1188,DIM_SERVICO!$A$2:$D$151,3,FALSE())</f>
        <v>Diagnóstico</v>
      </c>
    </row>
    <row r="1189" customFormat="false" ht="15" hidden="false" customHeight="false" outlineLevel="0" collapsed="false">
      <c r="A1189" s="6" t="n">
        <v>1188</v>
      </c>
      <c r="B1189" s="6" t="n">
        <v>103</v>
      </c>
      <c r="C1189" s="6" t="n">
        <v>884</v>
      </c>
      <c r="D1189" s="6" t="n">
        <v>389</v>
      </c>
      <c r="E1189" s="6" t="n">
        <v>211</v>
      </c>
      <c r="F1189" s="6" t="n">
        <v>29</v>
      </c>
      <c r="G1189" s="6" t="n">
        <v>1333</v>
      </c>
      <c r="H1189" s="6" t="n">
        <v>1</v>
      </c>
      <c r="I1189" s="7" t="n">
        <v>274.33</v>
      </c>
      <c r="J1189" s="7" t="n">
        <v>223.62</v>
      </c>
      <c r="K1189" s="7" t="n">
        <v>703.94</v>
      </c>
      <c r="L1189" s="7" t="n">
        <v>345.07</v>
      </c>
      <c r="M1189" s="6" t="n">
        <v>6.1</v>
      </c>
      <c r="N1189" s="6" t="s">
        <v>26</v>
      </c>
      <c r="O1189" s="8" t="n">
        <f aca="false">VLOOKUP(F1189,DIM_SERVICO!$A$2:$D$151,4,FALSE())</f>
        <v>223.62</v>
      </c>
      <c r="P1189" s="8" t="n">
        <f aca="false">VLOOKUP(E1189,DIM_PECA!$A$2:$F$501,6,FALSE())</f>
        <v>558.54</v>
      </c>
      <c r="Q1189" s="8" t="n">
        <f aca="false">VLOOKUP(E1189,DIM_PECA!$A$2:$F$501,5,FALSE())</f>
        <v>274.33</v>
      </c>
      <c r="R1189" s="8" t="n">
        <f aca="false">H1189*P1189</f>
        <v>558.54</v>
      </c>
      <c r="S1189" s="8" t="n">
        <f aca="false">O1189*M1189</f>
        <v>1364.082</v>
      </c>
      <c r="T1189" s="8" t="n">
        <f aca="false">R1189+S1189</f>
        <v>1922.622</v>
      </c>
      <c r="U1189" s="8" t="n">
        <f aca="false">T1189-K1189</f>
        <v>1218.682</v>
      </c>
      <c r="V1189" s="8" t="n">
        <f aca="false">R1189+S1189-U1189</f>
        <v>703.94</v>
      </c>
      <c r="W1189" s="9" t="str">
        <f aca="false">IF(ROUND(V1189-K1189,2)=0,"OK","ERRO")</f>
        <v>OK</v>
      </c>
      <c r="X1189" s="9" t="str">
        <f aca="false">VLOOKUP(F1189,DIM_SERVICO!$A$2:$D$151,3,FALSE())</f>
        <v>Diagnóstico</v>
      </c>
    </row>
    <row r="1190" customFormat="false" ht="15" hidden="false" customHeight="false" outlineLevel="0" collapsed="false">
      <c r="A1190" s="2" t="n">
        <v>1189</v>
      </c>
      <c r="B1190" s="2" t="n">
        <v>1260</v>
      </c>
      <c r="C1190" s="2" t="n">
        <v>85</v>
      </c>
      <c r="D1190" s="2" t="n">
        <v>901</v>
      </c>
      <c r="E1190" s="2" t="n">
        <v>332</v>
      </c>
      <c r="F1190" s="2" t="n">
        <v>29</v>
      </c>
      <c r="G1190" s="2" t="n">
        <v>131</v>
      </c>
      <c r="H1190" s="2" t="n">
        <v>4</v>
      </c>
      <c r="I1190" s="3" t="n">
        <v>1082.68</v>
      </c>
      <c r="J1190" s="3" t="n">
        <v>223.62</v>
      </c>
      <c r="K1190" s="3" t="n">
        <v>2220.71</v>
      </c>
      <c r="L1190" s="3" t="n">
        <v>1051.23</v>
      </c>
      <c r="M1190" s="2" t="n">
        <v>8.4</v>
      </c>
      <c r="N1190" s="2" t="s">
        <v>24</v>
      </c>
      <c r="O1190" s="4" t="n">
        <f aca="false">VLOOKUP(F1190,DIM_SERVICO!$A$2:$D$151,4,FALSE())</f>
        <v>223.62</v>
      </c>
      <c r="P1190" s="4" t="n">
        <f aca="false">VLOOKUP(E1190,DIM_PECA!$A$2:$F$501,6,FALSE())</f>
        <v>560.96</v>
      </c>
      <c r="Q1190" s="4" t="n">
        <f aca="false">VLOOKUP(E1190,DIM_PECA!$A$2:$F$501,5,FALSE())</f>
        <v>270.67</v>
      </c>
      <c r="R1190" s="4" t="n">
        <f aca="false">H1190*P1190</f>
        <v>2243.84</v>
      </c>
      <c r="S1190" s="4" t="n">
        <f aca="false">O1190*M1190</f>
        <v>1878.408</v>
      </c>
      <c r="T1190" s="4" t="n">
        <f aca="false">R1190+S1190</f>
        <v>4122.248</v>
      </c>
      <c r="U1190" s="4" t="n">
        <f aca="false">T1190-K1190</f>
        <v>1901.538</v>
      </c>
      <c r="V1190" s="4" t="n">
        <f aca="false">R1190+S1190-U1190</f>
        <v>2220.71</v>
      </c>
      <c r="W1190" s="5" t="str">
        <f aca="false">IF(ROUND(V1190-K1190,2)=0,"OK","ERRO")</f>
        <v>OK</v>
      </c>
      <c r="X1190" s="5" t="str">
        <f aca="false">VLOOKUP(F1190,DIM_SERVICO!$A$2:$D$151,3,FALSE())</f>
        <v>Diagnóstico</v>
      </c>
    </row>
    <row r="1191" customFormat="false" ht="15" hidden="false" customHeight="false" outlineLevel="0" collapsed="false">
      <c r="A1191" s="6" t="n">
        <v>1190</v>
      </c>
      <c r="B1191" s="6" t="n">
        <v>613</v>
      </c>
      <c r="C1191" s="6" t="n">
        <v>1184</v>
      </c>
      <c r="D1191" s="6" t="n">
        <v>1080</v>
      </c>
      <c r="E1191" s="6" t="n">
        <v>118</v>
      </c>
      <c r="F1191" s="6" t="n">
        <v>136</v>
      </c>
      <c r="G1191" s="6" t="n">
        <v>298</v>
      </c>
      <c r="H1191" s="6" t="n">
        <v>1</v>
      </c>
      <c r="I1191" s="7" t="n">
        <v>196.68</v>
      </c>
      <c r="J1191" s="7" t="n">
        <v>509.38</v>
      </c>
      <c r="K1191" s="7" t="n">
        <v>841.47</v>
      </c>
      <c r="L1191" s="7" t="n">
        <v>434.52</v>
      </c>
      <c r="M1191" s="6" t="n">
        <v>5.6</v>
      </c>
      <c r="N1191" s="6" t="s">
        <v>25</v>
      </c>
      <c r="O1191" s="8" t="n">
        <f aca="false">VLOOKUP(F1191,DIM_SERVICO!$A$2:$D$151,4,FALSE())</f>
        <v>509.38</v>
      </c>
      <c r="P1191" s="8" t="n">
        <f aca="false">VLOOKUP(E1191,DIM_PECA!$A$2:$F$501,6,FALSE())</f>
        <v>332.09</v>
      </c>
      <c r="Q1191" s="8" t="n">
        <f aca="false">VLOOKUP(E1191,DIM_PECA!$A$2:$F$501,5,FALSE())</f>
        <v>196.68</v>
      </c>
      <c r="R1191" s="8" t="n">
        <f aca="false">H1191*P1191</f>
        <v>332.09</v>
      </c>
      <c r="S1191" s="8" t="n">
        <f aca="false">O1191*M1191</f>
        <v>2852.528</v>
      </c>
      <c r="T1191" s="8" t="n">
        <f aca="false">R1191+S1191</f>
        <v>3184.618</v>
      </c>
      <c r="U1191" s="8" t="n">
        <f aca="false">T1191-K1191</f>
        <v>2343.148</v>
      </c>
      <c r="V1191" s="8" t="n">
        <f aca="false">R1191+S1191-U1191</f>
        <v>841.47</v>
      </c>
      <c r="W1191" s="9" t="str">
        <f aca="false">IF(ROUND(V1191-K1191,2)=0,"OK","ERRO")</f>
        <v>OK</v>
      </c>
      <c r="X1191" s="9" t="str">
        <f aca="false">VLOOKUP(F1191,DIM_SERVICO!$A$2:$D$151,3,FALSE())</f>
        <v>Elétrica</v>
      </c>
    </row>
    <row r="1192" customFormat="false" ht="15" hidden="false" customHeight="false" outlineLevel="0" collapsed="false">
      <c r="A1192" s="2" t="n">
        <v>1191</v>
      </c>
      <c r="B1192" s="2" t="n">
        <v>503</v>
      </c>
      <c r="C1192" s="2" t="n">
        <v>1064</v>
      </c>
      <c r="D1192" s="2" t="n">
        <v>1048</v>
      </c>
      <c r="E1192" s="2" t="n">
        <v>309</v>
      </c>
      <c r="F1192" s="2" t="n">
        <v>149</v>
      </c>
      <c r="G1192" s="2" t="n">
        <v>1821</v>
      </c>
      <c r="H1192" s="2" t="n">
        <v>4</v>
      </c>
      <c r="I1192" s="3" t="n">
        <v>106.76</v>
      </c>
      <c r="J1192" s="3" t="n">
        <v>142.63</v>
      </c>
      <c r="K1192" s="3" t="n">
        <v>327.51</v>
      </c>
      <c r="L1192" s="3" t="n">
        <v>156.41</v>
      </c>
      <c r="M1192" s="2" t="n">
        <v>0.6</v>
      </c>
      <c r="N1192" s="2" t="s">
        <v>24</v>
      </c>
      <c r="O1192" s="4" t="n">
        <f aca="false">VLOOKUP(F1192,DIM_SERVICO!$A$2:$D$151,4,FALSE())</f>
        <v>142.63</v>
      </c>
      <c r="P1192" s="4" t="n">
        <f aca="false">VLOOKUP(E1192,DIM_PECA!$A$2:$F$501,6,FALSE())</f>
        <v>46.22</v>
      </c>
      <c r="Q1192" s="4" t="n">
        <f aca="false">VLOOKUP(E1192,DIM_PECA!$A$2:$F$501,5,FALSE())</f>
        <v>26.69</v>
      </c>
      <c r="R1192" s="4" t="n">
        <f aca="false">H1192*P1192</f>
        <v>184.88</v>
      </c>
      <c r="S1192" s="4" t="n">
        <f aca="false">O1192*M1192</f>
        <v>85.578</v>
      </c>
      <c r="T1192" s="4" t="n">
        <f aca="false">R1192+S1192</f>
        <v>270.458</v>
      </c>
      <c r="U1192" s="4" t="n">
        <f aca="false">T1192-K1192</f>
        <v>-57.052</v>
      </c>
      <c r="V1192" s="4" t="n">
        <f aca="false">R1192+S1192-U1192</f>
        <v>327.51</v>
      </c>
      <c r="W1192" s="5" t="str">
        <f aca="false">IF(ROUND(V1192-K1192,2)=0,"OK","ERRO")</f>
        <v>OK</v>
      </c>
      <c r="X1192" s="5" t="str">
        <f aca="false">VLOOKUP(F1192,DIM_SERVICO!$A$2:$D$151,3,FALSE())</f>
        <v>Motor</v>
      </c>
    </row>
    <row r="1193" customFormat="false" ht="15" hidden="false" customHeight="false" outlineLevel="0" collapsed="false">
      <c r="A1193" s="6" t="n">
        <v>1192</v>
      </c>
      <c r="B1193" s="6" t="n">
        <v>869</v>
      </c>
      <c r="C1193" s="6" t="n">
        <v>1315</v>
      </c>
      <c r="D1193" s="6" t="n">
        <v>346</v>
      </c>
      <c r="E1193" s="6" t="n">
        <v>283</v>
      </c>
      <c r="F1193" s="6" t="n">
        <v>74</v>
      </c>
      <c r="G1193" s="6" t="n">
        <v>116</v>
      </c>
      <c r="H1193" s="6" t="n">
        <v>3</v>
      </c>
      <c r="I1193" s="7" t="n">
        <v>2512.89</v>
      </c>
      <c r="J1193" s="7" t="n">
        <v>821.88</v>
      </c>
      <c r="K1193" s="7" t="n">
        <v>5069.25</v>
      </c>
      <c r="L1193" s="7" t="n">
        <v>2256.42</v>
      </c>
      <c r="M1193" s="6" t="n">
        <v>1</v>
      </c>
      <c r="N1193" s="6" t="s">
        <v>24</v>
      </c>
      <c r="O1193" s="8" t="n">
        <f aca="false">VLOOKUP(F1193,DIM_SERVICO!$A$2:$D$151,4,FALSE())</f>
        <v>821.88</v>
      </c>
      <c r="P1193" s="8" t="n">
        <f aca="false">VLOOKUP(E1193,DIM_PECA!$A$2:$F$501,6,FALSE())</f>
        <v>1415.79</v>
      </c>
      <c r="Q1193" s="8" t="n">
        <f aca="false">VLOOKUP(E1193,DIM_PECA!$A$2:$F$501,5,FALSE())</f>
        <v>837.63</v>
      </c>
      <c r="R1193" s="8" t="n">
        <f aca="false">H1193*P1193</f>
        <v>4247.37</v>
      </c>
      <c r="S1193" s="8" t="n">
        <f aca="false">O1193*M1193</f>
        <v>821.88</v>
      </c>
      <c r="T1193" s="8" t="n">
        <f aca="false">R1193+S1193</f>
        <v>5069.25</v>
      </c>
      <c r="U1193" s="8" t="n">
        <f aca="false">T1193-K1193</f>
        <v>0</v>
      </c>
      <c r="V1193" s="8" t="n">
        <f aca="false">R1193+S1193-U1193</f>
        <v>5069.25</v>
      </c>
      <c r="W1193" s="9" t="str">
        <f aca="false">IF(ROUND(V1193-K1193,2)=0,"OK","ERRO")</f>
        <v>OK</v>
      </c>
      <c r="X1193" s="9" t="str">
        <f aca="false">VLOOKUP(F1193,DIM_SERVICO!$A$2:$D$151,3,FALSE())</f>
        <v>Revisão</v>
      </c>
    </row>
    <row r="1194" customFormat="false" ht="15" hidden="false" customHeight="false" outlineLevel="0" collapsed="false">
      <c r="A1194" s="2" t="n">
        <v>1193</v>
      </c>
      <c r="B1194" s="2" t="n">
        <v>1175</v>
      </c>
      <c r="C1194" s="2" t="n">
        <v>786</v>
      </c>
      <c r="D1194" s="2" t="n">
        <v>95</v>
      </c>
      <c r="E1194" s="2" t="n">
        <v>287</v>
      </c>
      <c r="F1194" s="2" t="n">
        <v>49</v>
      </c>
      <c r="G1194" s="2" t="n">
        <v>1524</v>
      </c>
      <c r="H1194" s="2" t="n">
        <v>1</v>
      </c>
      <c r="I1194" s="3" t="n">
        <v>149.17</v>
      </c>
      <c r="J1194" s="3" t="n">
        <v>1883.63</v>
      </c>
      <c r="K1194" s="3" t="n">
        <v>2033.18</v>
      </c>
      <c r="L1194" s="3" t="n">
        <v>1188.59</v>
      </c>
      <c r="M1194" s="2" t="n">
        <v>5.2</v>
      </c>
      <c r="N1194" s="2" t="s">
        <v>27</v>
      </c>
      <c r="O1194" s="4" t="n">
        <f aca="false">VLOOKUP(F1194,DIM_SERVICO!$A$2:$D$151,4,FALSE())</f>
        <v>1883.63</v>
      </c>
      <c r="P1194" s="4" t="n">
        <f aca="false">VLOOKUP(E1194,DIM_PECA!$A$2:$F$501,6,FALSE())</f>
        <v>256.56</v>
      </c>
      <c r="Q1194" s="4" t="n">
        <f aca="false">VLOOKUP(E1194,DIM_PECA!$A$2:$F$501,5,FALSE())</f>
        <v>149.17</v>
      </c>
      <c r="R1194" s="4" t="n">
        <f aca="false">H1194*P1194</f>
        <v>256.56</v>
      </c>
      <c r="S1194" s="4" t="n">
        <f aca="false">O1194*M1194</f>
        <v>9794.876</v>
      </c>
      <c r="T1194" s="4" t="n">
        <f aca="false">R1194+S1194</f>
        <v>10051.436</v>
      </c>
      <c r="U1194" s="4" t="n">
        <f aca="false">T1194-K1194</f>
        <v>8018.256</v>
      </c>
      <c r="V1194" s="4" t="n">
        <f aca="false">R1194+S1194-U1194</f>
        <v>2033.18</v>
      </c>
      <c r="W1194" s="5" t="str">
        <f aca="false">IF(ROUND(V1194-K1194,2)=0,"OK","ERRO")</f>
        <v>OK</v>
      </c>
      <c r="X1194" s="5" t="str">
        <f aca="false">VLOOKUP(F1194,DIM_SERVICO!$A$2:$D$151,3,FALSE())</f>
        <v>Suspensão</v>
      </c>
    </row>
    <row r="1195" customFormat="false" ht="15" hidden="false" customHeight="false" outlineLevel="0" collapsed="false">
      <c r="A1195" s="6" t="n">
        <v>1194</v>
      </c>
      <c r="B1195" s="6" t="n">
        <v>28</v>
      </c>
      <c r="C1195" s="6" t="n">
        <v>538</v>
      </c>
      <c r="D1195" s="6" t="n">
        <v>983</v>
      </c>
      <c r="E1195" s="6" t="n">
        <v>182</v>
      </c>
      <c r="F1195" s="6" t="n">
        <v>136</v>
      </c>
      <c r="G1195" s="6" t="n">
        <v>1162</v>
      </c>
      <c r="H1195" s="6" t="n">
        <v>4</v>
      </c>
      <c r="I1195" s="7" t="n">
        <v>3141.04</v>
      </c>
      <c r="J1195" s="7" t="n">
        <v>509.38</v>
      </c>
      <c r="K1195" s="7" t="n">
        <v>6105.3</v>
      </c>
      <c r="L1195" s="7" t="n">
        <v>2759.14</v>
      </c>
      <c r="M1195" s="6" t="n">
        <v>1.3</v>
      </c>
      <c r="N1195" s="6" t="s">
        <v>25</v>
      </c>
      <c r="O1195" s="8" t="n">
        <f aca="false">VLOOKUP(F1195,DIM_SERVICO!$A$2:$D$151,4,FALSE())</f>
        <v>509.38</v>
      </c>
      <c r="P1195" s="8" t="n">
        <f aca="false">VLOOKUP(E1195,DIM_PECA!$A$2:$F$501,6,FALSE())</f>
        <v>1398.98</v>
      </c>
      <c r="Q1195" s="8" t="n">
        <f aca="false">VLOOKUP(E1195,DIM_PECA!$A$2:$F$501,5,FALSE())</f>
        <v>785.26</v>
      </c>
      <c r="R1195" s="8" t="n">
        <f aca="false">H1195*P1195</f>
        <v>5595.92</v>
      </c>
      <c r="S1195" s="8" t="n">
        <f aca="false">O1195*M1195</f>
        <v>662.194</v>
      </c>
      <c r="T1195" s="8" t="n">
        <f aca="false">R1195+S1195</f>
        <v>6258.114</v>
      </c>
      <c r="U1195" s="8" t="n">
        <f aca="false">T1195-K1195</f>
        <v>152.813999999999</v>
      </c>
      <c r="V1195" s="8" t="n">
        <f aca="false">R1195+S1195-U1195</f>
        <v>6105.3</v>
      </c>
      <c r="W1195" s="9" t="str">
        <f aca="false">IF(ROUND(V1195-K1195,2)=0,"OK","ERRO")</f>
        <v>OK</v>
      </c>
      <c r="X1195" s="9" t="str">
        <f aca="false">VLOOKUP(F1195,DIM_SERVICO!$A$2:$D$151,3,FALSE())</f>
        <v>Elétrica</v>
      </c>
    </row>
    <row r="1196" customFormat="false" ht="15" hidden="false" customHeight="false" outlineLevel="0" collapsed="false">
      <c r="A1196" s="2" t="n">
        <v>1195</v>
      </c>
      <c r="B1196" s="2" t="n">
        <v>1144</v>
      </c>
      <c r="C1196" s="2" t="n">
        <v>557</v>
      </c>
      <c r="D1196" s="2" t="n">
        <v>488</v>
      </c>
      <c r="E1196" s="2" t="n">
        <v>493</v>
      </c>
      <c r="F1196" s="2" t="n">
        <v>4</v>
      </c>
      <c r="G1196" s="2" t="n">
        <v>1217</v>
      </c>
      <c r="H1196" s="2" t="n">
        <v>2</v>
      </c>
      <c r="I1196" s="3" t="n">
        <v>2042.42</v>
      </c>
      <c r="J1196" s="3" t="n">
        <v>1007.95</v>
      </c>
      <c r="K1196" s="3" t="n">
        <v>3980.98</v>
      </c>
      <c r="L1196" s="3" t="n">
        <v>1395.52</v>
      </c>
      <c r="M1196" s="2" t="n">
        <v>5.4</v>
      </c>
      <c r="N1196" s="2" t="s">
        <v>26</v>
      </c>
      <c r="O1196" s="4" t="n">
        <f aca="false">VLOOKUP(F1196,DIM_SERVICO!$A$2:$D$151,4,FALSE())</f>
        <v>1007.95</v>
      </c>
      <c r="P1196" s="4" t="n">
        <f aca="false">VLOOKUP(E1196,DIM_PECA!$A$2:$F$501,6,FALSE())</f>
        <v>1591.28</v>
      </c>
      <c r="Q1196" s="4" t="n">
        <f aca="false">VLOOKUP(E1196,DIM_PECA!$A$2:$F$501,5,FALSE())</f>
        <v>1021.21</v>
      </c>
      <c r="R1196" s="4" t="n">
        <f aca="false">H1196*P1196</f>
        <v>3182.56</v>
      </c>
      <c r="S1196" s="4" t="n">
        <f aca="false">O1196*M1196</f>
        <v>5442.93</v>
      </c>
      <c r="T1196" s="4" t="n">
        <f aca="false">R1196+S1196</f>
        <v>8625.49</v>
      </c>
      <c r="U1196" s="4" t="n">
        <f aca="false">T1196-K1196</f>
        <v>4644.51</v>
      </c>
      <c r="V1196" s="4" t="n">
        <f aca="false">R1196+S1196-U1196</f>
        <v>3980.98</v>
      </c>
      <c r="W1196" s="5" t="str">
        <f aca="false">IF(ROUND(V1196-K1196,2)=0,"OK","ERRO")</f>
        <v>OK</v>
      </c>
      <c r="X1196" s="5" t="str">
        <f aca="false">VLOOKUP(F1196,DIM_SERVICO!$A$2:$D$151,3,FALSE())</f>
        <v>Revisão</v>
      </c>
    </row>
    <row r="1197" customFormat="false" ht="15" hidden="false" customHeight="false" outlineLevel="0" collapsed="false">
      <c r="A1197" s="6" t="n">
        <v>1196</v>
      </c>
      <c r="B1197" s="6" t="n">
        <v>1266</v>
      </c>
      <c r="C1197" s="6" t="n">
        <v>631</v>
      </c>
      <c r="D1197" s="6" t="n">
        <v>834</v>
      </c>
      <c r="E1197" s="6" t="n">
        <v>36</v>
      </c>
      <c r="F1197" s="6" t="n">
        <v>48</v>
      </c>
      <c r="G1197" s="6" t="n">
        <v>1024</v>
      </c>
      <c r="H1197" s="6" t="n">
        <v>1</v>
      </c>
      <c r="I1197" s="7" t="n">
        <v>439.36</v>
      </c>
      <c r="J1197" s="7" t="n">
        <v>863.62</v>
      </c>
      <c r="K1197" s="7" t="n">
        <v>1615.96</v>
      </c>
      <c r="L1197" s="7" t="n">
        <v>709.74</v>
      </c>
      <c r="M1197" s="6" t="n">
        <v>6.4</v>
      </c>
      <c r="N1197" s="6" t="s">
        <v>24</v>
      </c>
      <c r="O1197" s="8" t="n">
        <f aca="false">VLOOKUP(F1197,DIM_SERVICO!$A$2:$D$151,4,FALSE())</f>
        <v>863.62</v>
      </c>
      <c r="P1197" s="8" t="n">
        <f aca="false">VLOOKUP(E1197,DIM_PECA!$A$2:$F$501,6,FALSE())</f>
        <v>892.86</v>
      </c>
      <c r="Q1197" s="8" t="n">
        <f aca="false">VLOOKUP(E1197,DIM_PECA!$A$2:$F$501,5,FALSE())</f>
        <v>439.36</v>
      </c>
      <c r="R1197" s="8" t="n">
        <f aca="false">H1197*P1197</f>
        <v>892.86</v>
      </c>
      <c r="S1197" s="8" t="n">
        <f aca="false">O1197*M1197</f>
        <v>5527.168</v>
      </c>
      <c r="T1197" s="8" t="n">
        <f aca="false">R1197+S1197</f>
        <v>6420.028</v>
      </c>
      <c r="U1197" s="8" t="n">
        <f aca="false">T1197-K1197</f>
        <v>4804.068</v>
      </c>
      <c r="V1197" s="8" t="n">
        <f aca="false">R1197+S1197-U1197</f>
        <v>1615.96</v>
      </c>
      <c r="W1197" s="9" t="str">
        <f aca="false">IF(ROUND(V1197-K1197,2)=0,"OK","ERRO")</f>
        <v>OK</v>
      </c>
      <c r="X1197" s="9" t="str">
        <f aca="false">VLOOKUP(F1197,DIM_SERVICO!$A$2:$D$151,3,FALSE())</f>
        <v>Elétrica</v>
      </c>
    </row>
    <row r="1198" customFormat="false" ht="15" hidden="false" customHeight="false" outlineLevel="0" collapsed="false">
      <c r="A1198" s="2" t="n">
        <v>1197</v>
      </c>
      <c r="B1198" s="2" t="n">
        <v>1344</v>
      </c>
      <c r="C1198" s="2" t="n">
        <v>627</v>
      </c>
      <c r="D1198" s="2" t="n">
        <v>956</v>
      </c>
      <c r="E1198" s="2" t="n">
        <v>242</v>
      </c>
      <c r="F1198" s="2" t="n">
        <v>10</v>
      </c>
      <c r="G1198" s="2" t="n">
        <v>689</v>
      </c>
      <c r="H1198" s="2" t="n">
        <v>4</v>
      </c>
      <c r="I1198" s="3" t="n">
        <v>454.16</v>
      </c>
      <c r="J1198" s="3" t="n">
        <v>338.82</v>
      </c>
      <c r="K1198" s="3" t="n">
        <v>1005.7</v>
      </c>
      <c r="L1198" s="3" t="n">
        <v>422.57</v>
      </c>
      <c r="M1198" s="2" t="n">
        <v>10.4</v>
      </c>
      <c r="N1198" s="2" t="s">
        <v>24</v>
      </c>
      <c r="O1198" s="4" t="n">
        <f aca="false">VLOOKUP(F1198,DIM_SERVICO!$A$2:$D$151,4,FALSE())</f>
        <v>338.82</v>
      </c>
      <c r="P1198" s="4" t="n">
        <f aca="false">VLOOKUP(E1198,DIM_PECA!$A$2:$F$501,6,FALSE())</f>
        <v>171.85</v>
      </c>
      <c r="Q1198" s="4" t="n">
        <f aca="false">VLOOKUP(E1198,DIM_PECA!$A$2:$F$501,5,FALSE())</f>
        <v>113.54</v>
      </c>
      <c r="R1198" s="4" t="n">
        <f aca="false">H1198*P1198</f>
        <v>687.4</v>
      </c>
      <c r="S1198" s="4" t="n">
        <f aca="false">O1198*M1198</f>
        <v>3523.728</v>
      </c>
      <c r="T1198" s="4" t="n">
        <f aca="false">R1198+S1198</f>
        <v>4211.128</v>
      </c>
      <c r="U1198" s="4" t="n">
        <f aca="false">T1198-K1198</f>
        <v>3205.428</v>
      </c>
      <c r="V1198" s="4" t="n">
        <f aca="false">R1198+S1198-U1198</f>
        <v>1005.7</v>
      </c>
      <c r="W1198" s="5" t="str">
        <f aca="false">IF(ROUND(V1198-K1198,2)=0,"OK","ERRO")</f>
        <v>OK</v>
      </c>
      <c r="X1198" s="5" t="str">
        <f aca="false">VLOOKUP(F1198,DIM_SERVICO!$A$2:$D$151,3,FALSE())</f>
        <v>Diagnóstico</v>
      </c>
    </row>
    <row r="1199" customFormat="false" ht="15" hidden="false" customHeight="false" outlineLevel="0" collapsed="false">
      <c r="A1199" s="6" t="n">
        <v>1198</v>
      </c>
      <c r="B1199" s="6" t="n">
        <v>513</v>
      </c>
      <c r="C1199" s="6" t="n">
        <v>1489</v>
      </c>
      <c r="D1199" s="6" t="n">
        <v>85</v>
      </c>
      <c r="E1199" s="6" t="n">
        <v>427</v>
      </c>
      <c r="F1199" s="6" t="n">
        <v>96</v>
      </c>
      <c r="G1199" s="6" t="n">
        <v>804</v>
      </c>
      <c r="H1199" s="6" t="n">
        <v>1</v>
      </c>
      <c r="I1199" s="7" t="n">
        <v>643.09</v>
      </c>
      <c r="J1199" s="7" t="n">
        <v>1247.25</v>
      </c>
      <c r="K1199" s="7" t="n">
        <v>2041.11</v>
      </c>
      <c r="L1199" s="7" t="n">
        <v>799.66</v>
      </c>
      <c r="M1199" s="6" t="n">
        <v>3.6</v>
      </c>
      <c r="N1199" s="6" t="s">
        <v>24</v>
      </c>
      <c r="O1199" s="8" t="n">
        <f aca="false">VLOOKUP(F1199,DIM_SERVICO!$A$2:$D$151,4,FALSE())</f>
        <v>1247.25</v>
      </c>
      <c r="P1199" s="8" t="n">
        <f aca="false">VLOOKUP(E1199,DIM_PECA!$A$2:$F$501,6,FALSE())</f>
        <v>901.29</v>
      </c>
      <c r="Q1199" s="8" t="n">
        <f aca="false">VLOOKUP(E1199,DIM_PECA!$A$2:$F$501,5,FALSE())</f>
        <v>643.09</v>
      </c>
      <c r="R1199" s="8" t="n">
        <f aca="false">H1199*P1199</f>
        <v>901.29</v>
      </c>
      <c r="S1199" s="8" t="n">
        <f aca="false">O1199*M1199</f>
        <v>4490.1</v>
      </c>
      <c r="T1199" s="8" t="n">
        <f aca="false">R1199+S1199</f>
        <v>5391.39</v>
      </c>
      <c r="U1199" s="8" t="n">
        <f aca="false">T1199-K1199</f>
        <v>3350.28</v>
      </c>
      <c r="V1199" s="8" t="n">
        <f aca="false">R1199+S1199-U1199</f>
        <v>2041.11</v>
      </c>
      <c r="W1199" s="9" t="str">
        <f aca="false">IF(ROUND(V1199-K1199,2)=0,"OK","ERRO")</f>
        <v>OK</v>
      </c>
      <c r="X1199" s="9" t="str">
        <f aca="false">VLOOKUP(F1199,DIM_SERVICO!$A$2:$D$151,3,FALSE())</f>
        <v>Suspensão</v>
      </c>
    </row>
    <row r="1200" customFormat="false" ht="15" hidden="false" customHeight="false" outlineLevel="0" collapsed="false">
      <c r="A1200" s="2" t="n">
        <v>1199</v>
      </c>
      <c r="B1200" s="2" t="n">
        <v>829</v>
      </c>
      <c r="C1200" s="2" t="n">
        <v>802</v>
      </c>
      <c r="D1200" s="2" t="n">
        <v>194</v>
      </c>
      <c r="E1200" s="2" t="n">
        <v>185</v>
      </c>
      <c r="F1200" s="2" t="n">
        <v>3</v>
      </c>
      <c r="G1200" s="2" t="n">
        <v>1760</v>
      </c>
      <c r="H1200" s="2" t="n">
        <v>1</v>
      </c>
      <c r="I1200" s="3" t="n">
        <v>673.16</v>
      </c>
      <c r="J1200" s="3" t="n">
        <v>274.77</v>
      </c>
      <c r="K1200" s="3" t="n">
        <v>1286.07</v>
      </c>
      <c r="L1200" s="3" t="n">
        <v>470.58</v>
      </c>
      <c r="M1200" s="2" t="n">
        <v>8.2</v>
      </c>
      <c r="N1200" s="2" t="s">
        <v>26</v>
      </c>
      <c r="O1200" s="4" t="n">
        <f aca="false">VLOOKUP(F1200,DIM_SERVICO!$A$2:$D$151,4,FALSE())</f>
        <v>274.77</v>
      </c>
      <c r="P1200" s="4" t="n">
        <f aca="false">VLOOKUP(E1200,DIM_PECA!$A$2:$F$501,6,FALSE())</f>
        <v>1011.3</v>
      </c>
      <c r="Q1200" s="4" t="n">
        <f aca="false">VLOOKUP(E1200,DIM_PECA!$A$2:$F$501,5,FALSE())</f>
        <v>673.16</v>
      </c>
      <c r="R1200" s="4" t="n">
        <f aca="false">H1200*P1200</f>
        <v>1011.3</v>
      </c>
      <c r="S1200" s="4" t="n">
        <f aca="false">O1200*M1200</f>
        <v>2253.114</v>
      </c>
      <c r="T1200" s="4" t="n">
        <f aca="false">R1200+S1200</f>
        <v>3264.414</v>
      </c>
      <c r="U1200" s="4" t="n">
        <f aca="false">T1200-K1200</f>
        <v>1978.344</v>
      </c>
      <c r="V1200" s="4" t="n">
        <f aca="false">R1200+S1200-U1200</f>
        <v>1286.07</v>
      </c>
      <c r="W1200" s="5" t="str">
        <f aca="false">IF(ROUND(V1200-K1200,2)=0,"OK","ERRO")</f>
        <v>OK</v>
      </c>
      <c r="X1200" s="5" t="str">
        <f aca="false">VLOOKUP(F1200,DIM_SERVICO!$A$2:$D$151,3,FALSE())</f>
        <v>Pintura</v>
      </c>
    </row>
    <row r="1201" customFormat="false" ht="15" hidden="false" customHeight="false" outlineLevel="0" collapsed="false">
      <c r="A1201" s="6" t="n">
        <v>1200</v>
      </c>
      <c r="B1201" s="6" t="n">
        <v>1177</v>
      </c>
      <c r="C1201" s="6" t="n">
        <v>1487</v>
      </c>
      <c r="D1201" s="6" t="n">
        <v>408</v>
      </c>
      <c r="E1201" s="6" t="n">
        <v>470</v>
      </c>
      <c r="F1201" s="6" t="n">
        <v>86</v>
      </c>
      <c r="G1201" s="6" t="n">
        <v>108</v>
      </c>
      <c r="H1201" s="6" t="n">
        <v>4</v>
      </c>
      <c r="I1201" s="7" t="n">
        <v>644.2</v>
      </c>
      <c r="J1201" s="7" t="n">
        <v>147.26</v>
      </c>
      <c r="K1201" s="7" t="n">
        <v>1231.68</v>
      </c>
      <c r="L1201" s="7" t="n">
        <v>517.43</v>
      </c>
      <c r="M1201" s="6" t="n">
        <v>4.8</v>
      </c>
      <c r="N1201" s="6" t="s">
        <v>26</v>
      </c>
      <c r="O1201" s="8" t="n">
        <f aca="false">VLOOKUP(F1201,DIM_SERVICO!$A$2:$D$151,4,FALSE())</f>
        <v>147.26</v>
      </c>
      <c r="P1201" s="8" t="n">
        <f aca="false">VLOOKUP(E1201,DIM_PECA!$A$2:$F$501,6,FALSE())</f>
        <v>277.39</v>
      </c>
      <c r="Q1201" s="8" t="n">
        <f aca="false">VLOOKUP(E1201,DIM_PECA!$A$2:$F$501,5,FALSE())</f>
        <v>161.05</v>
      </c>
      <c r="R1201" s="8" t="n">
        <f aca="false">H1201*P1201</f>
        <v>1109.56</v>
      </c>
      <c r="S1201" s="8" t="n">
        <f aca="false">O1201*M1201</f>
        <v>706.848</v>
      </c>
      <c r="T1201" s="8" t="n">
        <f aca="false">R1201+S1201</f>
        <v>1816.408</v>
      </c>
      <c r="U1201" s="8" t="n">
        <f aca="false">T1201-K1201</f>
        <v>584.728</v>
      </c>
      <c r="V1201" s="8" t="n">
        <f aca="false">R1201+S1201-U1201</f>
        <v>1231.68</v>
      </c>
      <c r="W1201" s="9" t="str">
        <f aca="false">IF(ROUND(V1201-K1201,2)=0,"OK","ERRO")</f>
        <v>OK</v>
      </c>
      <c r="X1201" s="9" t="str">
        <f aca="false">VLOOKUP(F1201,DIM_SERVICO!$A$2:$D$151,3,FALSE())</f>
        <v>Suspensão</v>
      </c>
    </row>
  </sheetData>
  <conditionalFormatting sqref="W2:W1201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8">
      <formula>"ERRO"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0" t="s">
        <v>5</v>
      </c>
      <c r="B1" s="10" t="s">
        <v>28</v>
      </c>
      <c r="C1" s="10" t="s">
        <v>29</v>
      </c>
      <c r="D1" s="10" t="s">
        <v>30</v>
      </c>
    </row>
    <row r="2" customFormat="false" ht="15" hidden="false" customHeight="false" outlineLevel="0" collapsed="false">
      <c r="A2" s="11" t="n">
        <v>1</v>
      </c>
      <c r="B2" s="11" t="s">
        <v>31</v>
      </c>
      <c r="C2" s="11" t="s">
        <v>32</v>
      </c>
      <c r="D2" s="12" t="n">
        <v>412.84</v>
      </c>
    </row>
    <row r="3" customFormat="false" ht="15" hidden="false" customHeight="false" outlineLevel="0" collapsed="false">
      <c r="A3" s="13" t="n">
        <v>2</v>
      </c>
      <c r="B3" s="13" t="s">
        <v>33</v>
      </c>
      <c r="C3" s="13" t="s">
        <v>34</v>
      </c>
      <c r="D3" s="14" t="n">
        <v>1072.4</v>
      </c>
    </row>
    <row r="4" customFormat="false" ht="15" hidden="false" customHeight="false" outlineLevel="0" collapsed="false">
      <c r="A4" s="11" t="n">
        <v>3</v>
      </c>
      <c r="B4" s="11" t="s">
        <v>35</v>
      </c>
      <c r="C4" s="11" t="s">
        <v>36</v>
      </c>
      <c r="D4" s="12" t="n">
        <v>274.77</v>
      </c>
    </row>
    <row r="5" customFormat="false" ht="15" hidden="false" customHeight="false" outlineLevel="0" collapsed="false">
      <c r="A5" s="13" t="n">
        <v>4</v>
      </c>
      <c r="B5" s="13" t="s">
        <v>37</v>
      </c>
      <c r="C5" s="13" t="s">
        <v>38</v>
      </c>
      <c r="D5" s="14" t="n">
        <v>1007.95</v>
      </c>
    </row>
    <row r="6" customFormat="false" ht="15" hidden="false" customHeight="false" outlineLevel="0" collapsed="false">
      <c r="A6" s="11" t="n">
        <v>5</v>
      </c>
      <c r="B6" s="11" t="s">
        <v>39</v>
      </c>
      <c r="C6" s="11" t="s">
        <v>40</v>
      </c>
      <c r="D6" s="12" t="n">
        <v>1161.51</v>
      </c>
    </row>
    <row r="7" customFormat="false" ht="15" hidden="false" customHeight="false" outlineLevel="0" collapsed="false">
      <c r="A7" s="13" t="n">
        <v>6</v>
      </c>
      <c r="B7" s="13" t="s">
        <v>41</v>
      </c>
      <c r="C7" s="13" t="s">
        <v>42</v>
      </c>
      <c r="D7" s="14" t="n">
        <v>1505.67</v>
      </c>
    </row>
    <row r="8" customFormat="false" ht="15" hidden="false" customHeight="false" outlineLevel="0" collapsed="false">
      <c r="A8" s="11" t="n">
        <v>7</v>
      </c>
      <c r="B8" s="11" t="s">
        <v>43</v>
      </c>
      <c r="C8" s="11" t="s">
        <v>38</v>
      </c>
      <c r="D8" s="12" t="n">
        <v>2158.23</v>
      </c>
    </row>
    <row r="9" customFormat="false" ht="15" hidden="false" customHeight="false" outlineLevel="0" collapsed="false">
      <c r="A9" s="13" t="n">
        <v>8</v>
      </c>
      <c r="B9" s="13" t="s">
        <v>44</v>
      </c>
      <c r="C9" s="13" t="s">
        <v>42</v>
      </c>
      <c r="D9" s="14" t="n">
        <v>812.52</v>
      </c>
    </row>
    <row r="10" customFormat="false" ht="15" hidden="false" customHeight="false" outlineLevel="0" collapsed="false">
      <c r="A10" s="11" t="n">
        <v>9</v>
      </c>
      <c r="B10" s="11" t="s">
        <v>45</v>
      </c>
      <c r="C10" s="11" t="s">
        <v>38</v>
      </c>
      <c r="D10" s="12" t="n">
        <v>1605.45</v>
      </c>
    </row>
    <row r="11" customFormat="false" ht="15" hidden="false" customHeight="false" outlineLevel="0" collapsed="false">
      <c r="A11" s="13" t="n">
        <v>10</v>
      </c>
      <c r="B11" s="13" t="s">
        <v>46</v>
      </c>
      <c r="C11" s="13" t="s">
        <v>47</v>
      </c>
      <c r="D11" s="14" t="n">
        <v>338.82</v>
      </c>
    </row>
    <row r="12" customFormat="false" ht="15" hidden="false" customHeight="false" outlineLevel="0" collapsed="false">
      <c r="A12" s="11" t="n">
        <v>11</v>
      </c>
      <c r="B12" s="11" t="s">
        <v>48</v>
      </c>
      <c r="C12" s="11" t="s">
        <v>49</v>
      </c>
      <c r="D12" s="12" t="n">
        <v>2164.78</v>
      </c>
    </row>
    <row r="13" customFormat="false" ht="15" hidden="false" customHeight="false" outlineLevel="0" collapsed="false">
      <c r="A13" s="13" t="n">
        <v>12</v>
      </c>
      <c r="B13" s="13" t="s">
        <v>50</v>
      </c>
      <c r="C13" s="13" t="s">
        <v>38</v>
      </c>
      <c r="D13" s="14" t="n">
        <v>1399.41</v>
      </c>
    </row>
    <row r="14" customFormat="false" ht="15" hidden="false" customHeight="false" outlineLevel="0" collapsed="false">
      <c r="A14" s="11" t="n">
        <v>13</v>
      </c>
      <c r="B14" s="11" t="s">
        <v>51</v>
      </c>
      <c r="C14" s="11" t="s">
        <v>47</v>
      </c>
      <c r="D14" s="12" t="n">
        <v>1546.25</v>
      </c>
    </row>
    <row r="15" customFormat="false" ht="15" hidden="false" customHeight="false" outlineLevel="0" collapsed="false">
      <c r="A15" s="13" t="n">
        <v>14</v>
      </c>
      <c r="B15" s="13" t="s">
        <v>52</v>
      </c>
      <c r="C15" s="13" t="s">
        <v>40</v>
      </c>
      <c r="D15" s="14" t="n">
        <v>1939.75</v>
      </c>
    </row>
    <row r="16" customFormat="false" ht="15" hidden="false" customHeight="false" outlineLevel="0" collapsed="false">
      <c r="A16" s="11" t="n">
        <v>15</v>
      </c>
      <c r="B16" s="11" t="s">
        <v>53</v>
      </c>
      <c r="C16" s="11" t="s">
        <v>36</v>
      </c>
      <c r="D16" s="12" t="n">
        <v>1426.42</v>
      </c>
    </row>
    <row r="17" customFormat="false" ht="15" hidden="false" customHeight="false" outlineLevel="0" collapsed="false">
      <c r="A17" s="13" t="n">
        <v>16</v>
      </c>
      <c r="B17" s="13" t="s">
        <v>54</v>
      </c>
      <c r="C17" s="13" t="s">
        <v>40</v>
      </c>
      <c r="D17" s="14" t="n">
        <v>266.12</v>
      </c>
    </row>
    <row r="18" customFormat="false" ht="15" hidden="false" customHeight="false" outlineLevel="0" collapsed="false">
      <c r="A18" s="11" t="n">
        <v>17</v>
      </c>
      <c r="B18" s="11" t="s">
        <v>55</v>
      </c>
      <c r="C18" s="11" t="s">
        <v>36</v>
      </c>
      <c r="D18" s="12" t="n">
        <v>131.97</v>
      </c>
    </row>
    <row r="19" customFormat="false" ht="15" hidden="false" customHeight="false" outlineLevel="0" collapsed="false">
      <c r="A19" s="13" t="n">
        <v>18</v>
      </c>
      <c r="B19" s="13" t="s">
        <v>56</v>
      </c>
      <c r="C19" s="13" t="s">
        <v>32</v>
      </c>
      <c r="D19" s="14" t="n">
        <v>1667.15</v>
      </c>
    </row>
    <row r="20" customFormat="false" ht="15" hidden="false" customHeight="false" outlineLevel="0" collapsed="false">
      <c r="A20" s="11" t="n">
        <v>19</v>
      </c>
      <c r="B20" s="11" t="s">
        <v>57</v>
      </c>
      <c r="C20" s="11" t="s">
        <v>36</v>
      </c>
      <c r="D20" s="12" t="n">
        <v>1822.04</v>
      </c>
    </row>
    <row r="21" customFormat="false" ht="15" hidden="false" customHeight="false" outlineLevel="0" collapsed="false">
      <c r="A21" s="13" t="n">
        <v>20</v>
      </c>
      <c r="B21" s="13" t="s">
        <v>58</v>
      </c>
      <c r="C21" s="13" t="s">
        <v>32</v>
      </c>
      <c r="D21" s="14" t="n">
        <v>295.88</v>
      </c>
    </row>
    <row r="22" customFormat="false" ht="15" hidden="false" customHeight="false" outlineLevel="0" collapsed="false">
      <c r="A22" s="11" t="n">
        <v>21</v>
      </c>
      <c r="B22" s="11" t="s">
        <v>59</v>
      </c>
      <c r="C22" s="11" t="s">
        <v>34</v>
      </c>
      <c r="D22" s="12" t="n">
        <v>126.78</v>
      </c>
    </row>
    <row r="23" customFormat="false" ht="15" hidden="false" customHeight="false" outlineLevel="0" collapsed="false">
      <c r="A23" s="13" t="n">
        <v>22</v>
      </c>
      <c r="B23" s="13" t="s">
        <v>60</v>
      </c>
      <c r="C23" s="13" t="s">
        <v>42</v>
      </c>
      <c r="D23" s="14" t="n">
        <v>1591.95</v>
      </c>
    </row>
    <row r="24" customFormat="false" ht="15" hidden="false" customHeight="false" outlineLevel="0" collapsed="false">
      <c r="A24" s="11" t="n">
        <v>23</v>
      </c>
      <c r="B24" s="11" t="s">
        <v>61</v>
      </c>
      <c r="C24" s="11" t="s">
        <v>49</v>
      </c>
      <c r="D24" s="12" t="n">
        <v>1828.61</v>
      </c>
    </row>
    <row r="25" customFormat="false" ht="15" hidden="false" customHeight="false" outlineLevel="0" collapsed="false">
      <c r="A25" s="13" t="n">
        <v>24</v>
      </c>
      <c r="B25" s="13" t="s">
        <v>62</v>
      </c>
      <c r="C25" s="13" t="s">
        <v>32</v>
      </c>
      <c r="D25" s="14" t="n">
        <v>1124.34</v>
      </c>
    </row>
    <row r="26" customFormat="false" ht="15" hidden="false" customHeight="false" outlineLevel="0" collapsed="false">
      <c r="A26" s="11" t="n">
        <v>25</v>
      </c>
      <c r="B26" s="11" t="s">
        <v>63</v>
      </c>
      <c r="C26" s="11" t="s">
        <v>42</v>
      </c>
      <c r="D26" s="12" t="n">
        <v>1419.73</v>
      </c>
    </row>
    <row r="27" customFormat="false" ht="15" hidden="false" customHeight="false" outlineLevel="0" collapsed="false">
      <c r="A27" s="13" t="n">
        <v>26</v>
      </c>
      <c r="B27" s="13" t="s">
        <v>64</v>
      </c>
      <c r="C27" s="13" t="s">
        <v>34</v>
      </c>
      <c r="D27" s="14" t="n">
        <v>168.44</v>
      </c>
    </row>
    <row r="28" customFormat="false" ht="15" hidden="false" customHeight="false" outlineLevel="0" collapsed="false">
      <c r="A28" s="11" t="n">
        <v>27</v>
      </c>
      <c r="B28" s="11" t="s">
        <v>65</v>
      </c>
      <c r="C28" s="11" t="s">
        <v>38</v>
      </c>
      <c r="D28" s="12" t="n">
        <v>662.68</v>
      </c>
    </row>
    <row r="29" customFormat="false" ht="15" hidden="false" customHeight="false" outlineLevel="0" collapsed="false">
      <c r="A29" s="13" t="n">
        <v>28</v>
      </c>
      <c r="B29" s="13" t="s">
        <v>66</v>
      </c>
      <c r="C29" s="13" t="s">
        <v>49</v>
      </c>
      <c r="D29" s="14" t="n">
        <v>2152.12</v>
      </c>
    </row>
    <row r="30" customFormat="false" ht="15" hidden="false" customHeight="false" outlineLevel="0" collapsed="false">
      <c r="A30" s="11" t="n">
        <v>29</v>
      </c>
      <c r="B30" s="11" t="s">
        <v>67</v>
      </c>
      <c r="C30" s="11" t="s">
        <v>47</v>
      </c>
      <c r="D30" s="12" t="n">
        <v>223.62</v>
      </c>
    </row>
    <row r="31" customFormat="false" ht="15" hidden="false" customHeight="false" outlineLevel="0" collapsed="false">
      <c r="A31" s="13" t="n">
        <v>30</v>
      </c>
      <c r="B31" s="13" t="s">
        <v>68</v>
      </c>
      <c r="C31" s="13" t="s">
        <v>49</v>
      </c>
      <c r="D31" s="14" t="n">
        <v>986.98</v>
      </c>
    </row>
    <row r="32" customFormat="false" ht="15" hidden="false" customHeight="false" outlineLevel="0" collapsed="false">
      <c r="A32" s="11" t="n">
        <v>31</v>
      </c>
      <c r="B32" s="11" t="s">
        <v>69</v>
      </c>
      <c r="C32" s="11" t="s">
        <v>34</v>
      </c>
      <c r="D32" s="12" t="n">
        <v>1359.86</v>
      </c>
    </row>
    <row r="33" customFormat="false" ht="15" hidden="false" customHeight="false" outlineLevel="0" collapsed="false">
      <c r="A33" s="13" t="n">
        <v>32</v>
      </c>
      <c r="B33" s="13" t="s">
        <v>70</v>
      </c>
      <c r="C33" s="13" t="s">
        <v>49</v>
      </c>
      <c r="D33" s="14" t="n">
        <v>1856.26</v>
      </c>
    </row>
    <row r="34" customFormat="false" ht="15" hidden="false" customHeight="false" outlineLevel="0" collapsed="false">
      <c r="A34" s="11" t="n">
        <v>33</v>
      </c>
      <c r="B34" s="11" t="s">
        <v>71</v>
      </c>
      <c r="C34" s="11" t="s">
        <v>34</v>
      </c>
      <c r="D34" s="12" t="n">
        <v>538.49</v>
      </c>
    </row>
    <row r="35" customFormat="false" ht="15" hidden="false" customHeight="false" outlineLevel="0" collapsed="false">
      <c r="A35" s="13" t="n">
        <v>34</v>
      </c>
      <c r="B35" s="13" t="s">
        <v>72</v>
      </c>
      <c r="C35" s="13" t="s">
        <v>38</v>
      </c>
      <c r="D35" s="14" t="n">
        <v>1715.98</v>
      </c>
    </row>
    <row r="36" customFormat="false" ht="15" hidden="false" customHeight="false" outlineLevel="0" collapsed="false">
      <c r="A36" s="11" t="n">
        <v>35</v>
      </c>
      <c r="B36" s="11" t="s">
        <v>73</v>
      </c>
      <c r="C36" s="11" t="s">
        <v>47</v>
      </c>
      <c r="D36" s="12" t="n">
        <v>1082.38</v>
      </c>
    </row>
    <row r="37" customFormat="false" ht="15" hidden="false" customHeight="false" outlineLevel="0" collapsed="false">
      <c r="A37" s="13" t="n">
        <v>36</v>
      </c>
      <c r="B37" s="13" t="s">
        <v>74</v>
      </c>
      <c r="C37" s="13" t="s">
        <v>36</v>
      </c>
      <c r="D37" s="14" t="n">
        <v>1564.33</v>
      </c>
    </row>
    <row r="38" customFormat="false" ht="15" hidden="false" customHeight="false" outlineLevel="0" collapsed="false">
      <c r="A38" s="11" t="n">
        <v>37</v>
      </c>
      <c r="B38" s="11" t="s">
        <v>75</v>
      </c>
      <c r="C38" s="11" t="s">
        <v>49</v>
      </c>
      <c r="D38" s="12" t="n">
        <v>388.25</v>
      </c>
    </row>
    <row r="39" customFormat="false" ht="15" hidden="false" customHeight="false" outlineLevel="0" collapsed="false">
      <c r="A39" s="13" t="n">
        <v>38</v>
      </c>
      <c r="B39" s="13" t="s">
        <v>76</v>
      </c>
      <c r="C39" s="13" t="s">
        <v>42</v>
      </c>
      <c r="D39" s="14" t="n">
        <v>1721.52</v>
      </c>
    </row>
    <row r="40" customFormat="false" ht="15" hidden="false" customHeight="false" outlineLevel="0" collapsed="false">
      <c r="A40" s="11" t="n">
        <v>39</v>
      </c>
      <c r="B40" s="11" t="s">
        <v>77</v>
      </c>
      <c r="C40" s="11" t="s">
        <v>34</v>
      </c>
      <c r="D40" s="12" t="n">
        <v>1270.92</v>
      </c>
    </row>
    <row r="41" customFormat="false" ht="15" hidden="false" customHeight="false" outlineLevel="0" collapsed="false">
      <c r="A41" s="13" t="n">
        <v>40</v>
      </c>
      <c r="B41" s="13" t="s">
        <v>78</v>
      </c>
      <c r="C41" s="13" t="s">
        <v>32</v>
      </c>
      <c r="D41" s="14" t="n">
        <v>1973.77</v>
      </c>
    </row>
    <row r="42" customFormat="false" ht="15" hidden="false" customHeight="false" outlineLevel="0" collapsed="false">
      <c r="A42" s="11" t="n">
        <v>41</v>
      </c>
      <c r="B42" s="11" t="s">
        <v>79</v>
      </c>
      <c r="C42" s="11" t="s">
        <v>42</v>
      </c>
      <c r="D42" s="12" t="n">
        <v>1317.9</v>
      </c>
    </row>
    <row r="43" customFormat="false" ht="15" hidden="false" customHeight="false" outlineLevel="0" collapsed="false">
      <c r="A43" s="13" t="n">
        <v>42</v>
      </c>
      <c r="B43" s="13" t="s">
        <v>80</v>
      </c>
      <c r="C43" s="13" t="s">
        <v>32</v>
      </c>
      <c r="D43" s="14" t="n">
        <v>1029.92</v>
      </c>
    </row>
    <row r="44" customFormat="false" ht="15" hidden="false" customHeight="false" outlineLevel="0" collapsed="false">
      <c r="A44" s="11" t="n">
        <v>43</v>
      </c>
      <c r="B44" s="11" t="s">
        <v>81</v>
      </c>
      <c r="C44" s="11" t="s">
        <v>47</v>
      </c>
      <c r="D44" s="12" t="n">
        <v>1163.17</v>
      </c>
    </row>
    <row r="45" customFormat="false" ht="15" hidden="false" customHeight="false" outlineLevel="0" collapsed="false">
      <c r="A45" s="13" t="n">
        <v>44</v>
      </c>
      <c r="B45" s="13" t="s">
        <v>82</v>
      </c>
      <c r="C45" s="13" t="s">
        <v>40</v>
      </c>
      <c r="D45" s="14" t="n">
        <v>1855.21</v>
      </c>
    </row>
    <row r="46" customFormat="false" ht="15" hidden="false" customHeight="false" outlineLevel="0" collapsed="false">
      <c r="A46" s="11" t="n">
        <v>45</v>
      </c>
      <c r="B46" s="11" t="s">
        <v>83</v>
      </c>
      <c r="C46" s="11" t="s">
        <v>38</v>
      </c>
      <c r="D46" s="12" t="n">
        <v>510.5</v>
      </c>
    </row>
    <row r="47" customFormat="false" ht="15" hidden="false" customHeight="false" outlineLevel="0" collapsed="false">
      <c r="A47" s="13" t="n">
        <v>46</v>
      </c>
      <c r="B47" s="13" t="s">
        <v>84</v>
      </c>
      <c r="C47" s="13" t="s">
        <v>38</v>
      </c>
      <c r="D47" s="14" t="n">
        <v>1282.78</v>
      </c>
    </row>
    <row r="48" customFormat="false" ht="15" hidden="false" customHeight="false" outlineLevel="0" collapsed="false">
      <c r="A48" s="11" t="n">
        <v>47</v>
      </c>
      <c r="B48" s="11" t="s">
        <v>85</v>
      </c>
      <c r="C48" s="11" t="s">
        <v>40</v>
      </c>
      <c r="D48" s="12" t="n">
        <v>399.81</v>
      </c>
    </row>
    <row r="49" customFormat="false" ht="15" hidden="false" customHeight="false" outlineLevel="0" collapsed="false">
      <c r="A49" s="13" t="n">
        <v>48</v>
      </c>
      <c r="B49" s="13" t="s">
        <v>31</v>
      </c>
      <c r="C49" s="13" t="s">
        <v>32</v>
      </c>
      <c r="D49" s="14" t="n">
        <v>863.62</v>
      </c>
    </row>
    <row r="50" customFormat="false" ht="15" hidden="false" customHeight="false" outlineLevel="0" collapsed="false">
      <c r="A50" s="11" t="n">
        <v>49</v>
      </c>
      <c r="B50" s="11" t="s">
        <v>33</v>
      </c>
      <c r="C50" s="11" t="s">
        <v>34</v>
      </c>
      <c r="D50" s="12" t="n">
        <v>1883.63</v>
      </c>
    </row>
    <row r="51" customFormat="false" ht="15" hidden="false" customHeight="false" outlineLevel="0" collapsed="false">
      <c r="A51" s="13" t="n">
        <v>50</v>
      </c>
      <c r="B51" s="13" t="s">
        <v>35</v>
      </c>
      <c r="C51" s="13" t="s">
        <v>36</v>
      </c>
      <c r="D51" s="14" t="n">
        <v>1357.79</v>
      </c>
    </row>
    <row r="52" customFormat="false" ht="15" hidden="false" customHeight="false" outlineLevel="0" collapsed="false">
      <c r="A52" s="11" t="n">
        <v>51</v>
      </c>
      <c r="B52" s="11" t="s">
        <v>37</v>
      </c>
      <c r="C52" s="11" t="s">
        <v>38</v>
      </c>
      <c r="D52" s="12" t="n">
        <v>876</v>
      </c>
    </row>
    <row r="53" customFormat="false" ht="15" hidden="false" customHeight="false" outlineLevel="0" collapsed="false">
      <c r="A53" s="13" t="n">
        <v>52</v>
      </c>
      <c r="B53" s="13" t="s">
        <v>39</v>
      </c>
      <c r="C53" s="13" t="s">
        <v>40</v>
      </c>
      <c r="D53" s="14" t="n">
        <v>188.62</v>
      </c>
    </row>
    <row r="54" customFormat="false" ht="15" hidden="false" customHeight="false" outlineLevel="0" collapsed="false">
      <c r="A54" s="11" t="n">
        <v>53</v>
      </c>
      <c r="B54" s="11" t="s">
        <v>41</v>
      </c>
      <c r="C54" s="11" t="s">
        <v>42</v>
      </c>
      <c r="D54" s="12" t="n">
        <v>955.09</v>
      </c>
    </row>
    <row r="55" customFormat="false" ht="15" hidden="false" customHeight="false" outlineLevel="0" collapsed="false">
      <c r="A55" s="13" t="n">
        <v>54</v>
      </c>
      <c r="B55" s="13" t="s">
        <v>43</v>
      </c>
      <c r="C55" s="13" t="s">
        <v>38</v>
      </c>
      <c r="D55" s="14" t="n">
        <v>952.31</v>
      </c>
    </row>
    <row r="56" customFormat="false" ht="15" hidden="false" customHeight="false" outlineLevel="0" collapsed="false">
      <c r="A56" s="11" t="n">
        <v>55</v>
      </c>
      <c r="B56" s="11" t="s">
        <v>44</v>
      </c>
      <c r="C56" s="11" t="s">
        <v>42</v>
      </c>
      <c r="D56" s="12" t="n">
        <v>176.18</v>
      </c>
    </row>
    <row r="57" customFormat="false" ht="15" hidden="false" customHeight="false" outlineLevel="0" collapsed="false">
      <c r="A57" s="13" t="n">
        <v>56</v>
      </c>
      <c r="B57" s="13" t="s">
        <v>45</v>
      </c>
      <c r="C57" s="13" t="s">
        <v>38</v>
      </c>
      <c r="D57" s="14" t="n">
        <v>251.62</v>
      </c>
    </row>
    <row r="58" customFormat="false" ht="15" hidden="false" customHeight="false" outlineLevel="0" collapsed="false">
      <c r="A58" s="11" t="n">
        <v>57</v>
      </c>
      <c r="B58" s="11" t="s">
        <v>46</v>
      </c>
      <c r="C58" s="11" t="s">
        <v>47</v>
      </c>
      <c r="D58" s="12" t="n">
        <v>719.54</v>
      </c>
    </row>
    <row r="59" customFormat="false" ht="15" hidden="false" customHeight="false" outlineLevel="0" collapsed="false">
      <c r="A59" s="13" t="n">
        <v>58</v>
      </c>
      <c r="B59" s="13" t="s">
        <v>48</v>
      </c>
      <c r="C59" s="13" t="s">
        <v>49</v>
      </c>
      <c r="D59" s="14" t="n">
        <v>1803.6</v>
      </c>
    </row>
    <row r="60" customFormat="false" ht="15" hidden="false" customHeight="false" outlineLevel="0" collapsed="false">
      <c r="A60" s="11" t="n">
        <v>59</v>
      </c>
      <c r="B60" s="11" t="s">
        <v>50</v>
      </c>
      <c r="C60" s="11" t="s">
        <v>38</v>
      </c>
      <c r="D60" s="12" t="n">
        <v>340.97</v>
      </c>
    </row>
    <row r="61" customFormat="false" ht="15" hidden="false" customHeight="false" outlineLevel="0" collapsed="false">
      <c r="A61" s="13" t="n">
        <v>60</v>
      </c>
      <c r="B61" s="13" t="s">
        <v>51</v>
      </c>
      <c r="C61" s="13" t="s">
        <v>47</v>
      </c>
      <c r="D61" s="14" t="n">
        <v>1091.63</v>
      </c>
    </row>
    <row r="62" customFormat="false" ht="15" hidden="false" customHeight="false" outlineLevel="0" collapsed="false">
      <c r="A62" s="11" t="n">
        <v>61</v>
      </c>
      <c r="B62" s="11" t="s">
        <v>52</v>
      </c>
      <c r="C62" s="11" t="s">
        <v>40</v>
      </c>
      <c r="D62" s="12" t="n">
        <v>1372.66</v>
      </c>
    </row>
    <row r="63" customFormat="false" ht="15" hidden="false" customHeight="false" outlineLevel="0" collapsed="false">
      <c r="A63" s="13" t="n">
        <v>62</v>
      </c>
      <c r="B63" s="13" t="s">
        <v>53</v>
      </c>
      <c r="C63" s="13" t="s">
        <v>36</v>
      </c>
      <c r="D63" s="14" t="n">
        <v>709.8</v>
      </c>
    </row>
    <row r="64" customFormat="false" ht="15" hidden="false" customHeight="false" outlineLevel="0" collapsed="false">
      <c r="A64" s="11" t="n">
        <v>63</v>
      </c>
      <c r="B64" s="11" t="s">
        <v>54</v>
      </c>
      <c r="C64" s="11" t="s">
        <v>40</v>
      </c>
      <c r="D64" s="12" t="n">
        <v>263.48</v>
      </c>
    </row>
    <row r="65" customFormat="false" ht="15" hidden="false" customHeight="false" outlineLevel="0" collapsed="false">
      <c r="A65" s="13" t="n">
        <v>64</v>
      </c>
      <c r="B65" s="13" t="s">
        <v>55</v>
      </c>
      <c r="C65" s="13" t="s">
        <v>36</v>
      </c>
      <c r="D65" s="14" t="n">
        <v>1447.78</v>
      </c>
    </row>
    <row r="66" customFormat="false" ht="15" hidden="false" customHeight="false" outlineLevel="0" collapsed="false">
      <c r="A66" s="11" t="n">
        <v>65</v>
      </c>
      <c r="B66" s="11" t="s">
        <v>56</v>
      </c>
      <c r="C66" s="11" t="s">
        <v>32</v>
      </c>
      <c r="D66" s="12" t="n">
        <v>1214.63</v>
      </c>
    </row>
    <row r="67" customFormat="false" ht="15" hidden="false" customHeight="false" outlineLevel="0" collapsed="false">
      <c r="A67" s="13" t="n">
        <v>66</v>
      </c>
      <c r="B67" s="13" t="s">
        <v>57</v>
      </c>
      <c r="C67" s="13" t="s">
        <v>36</v>
      </c>
      <c r="D67" s="14" t="n">
        <v>1805.9</v>
      </c>
    </row>
    <row r="68" customFormat="false" ht="15" hidden="false" customHeight="false" outlineLevel="0" collapsed="false">
      <c r="A68" s="11" t="n">
        <v>67</v>
      </c>
      <c r="B68" s="11" t="s">
        <v>58</v>
      </c>
      <c r="C68" s="11" t="s">
        <v>32</v>
      </c>
      <c r="D68" s="12" t="n">
        <v>1283.08</v>
      </c>
    </row>
    <row r="69" customFormat="false" ht="15" hidden="false" customHeight="false" outlineLevel="0" collapsed="false">
      <c r="A69" s="13" t="n">
        <v>68</v>
      </c>
      <c r="B69" s="13" t="s">
        <v>59</v>
      </c>
      <c r="C69" s="13" t="s">
        <v>34</v>
      </c>
      <c r="D69" s="14" t="n">
        <v>1974.4</v>
      </c>
    </row>
    <row r="70" customFormat="false" ht="15" hidden="false" customHeight="false" outlineLevel="0" collapsed="false">
      <c r="A70" s="11" t="n">
        <v>69</v>
      </c>
      <c r="B70" s="11" t="s">
        <v>60</v>
      </c>
      <c r="C70" s="11" t="s">
        <v>42</v>
      </c>
      <c r="D70" s="12" t="n">
        <v>905.47</v>
      </c>
    </row>
    <row r="71" customFormat="false" ht="15" hidden="false" customHeight="false" outlineLevel="0" collapsed="false">
      <c r="A71" s="13" t="n">
        <v>70</v>
      </c>
      <c r="B71" s="13" t="s">
        <v>61</v>
      </c>
      <c r="C71" s="13" t="s">
        <v>49</v>
      </c>
      <c r="D71" s="14" t="n">
        <v>688.79</v>
      </c>
    </row>
    <row r="72" customFormat="false" ht="15" hidden="false" customHeight="false" outlineLevel="0" collapsed="false">
      <c r="A72" s="11" t="n">
        <v>71</v>
      </c>
      <c r="B72" s="11" t="s">
        <v>62</v>
      </c>
      <c r="C72" s="11" t="s">
        <v>32</v>
      </c>
      <c r="D72" s="12" t="n">
        <v>482.15</v>
      </c>
    </row>
    <row r="73" customFormat="false" ht="15" hidden="false" customHeight="false" outlineLevel="0" collapsed="false">
      <c r="A73" s="13" t="n">
        <v>72</v>
      </c>
      <c r="B73" s="13" t="s">
        <v>63</v>
      </c>
      <c r="C73" s="13" t="s">
        <v>42</v>
      </c>
      <c r="D73" s="14" t="n">
        <v>710.66</v>
      </c>
    </row>
    <row r="74" customFormat="false" ht="15" hidden="false" customHeight="false" outlineLevel="0" collapsed="false">
      <c r="A74" s="11" t="n">
        <v>73</v>
      </c>
      <c r="B74" s="11" t="s">
        <v>64</v>
      </c>
      <c r="C74" s="11" t="s">
        <v>34</v>
      </c>
      <c r="D74" s="12" t="n">
        <v>2131.99</v>
      </c>
    </row>
    <row r="75" customFormat="false" ht="15" hidden="false" customHeight="false" outlineLevel="0" collapsed="false">
      <c r="A75" s="13" t="n">
        <v>74</v>
      </c>
      <c r="B75" s="13" t="s">
        <v>65</v>
      </c>
      <c r="C75" s="13" t="s">
        <v>38</v>
      </c>
      <c r="D75" s="14" t="n">
        <v>821.88</v>
      </c>
    </row>
    <row r="76" customFormat="false" ht="15" hidden="false" customHeight="false" outlineLevel="0" collapsed="false">
      <c r="A76" s="11" t="n">
        <v>75</v>
      </c>
      <c r="B76" s="11" t="s">
        <v>66</v>
      </c>
      <c r="C76" s="11" t="s">
        <v>49</v>
      </c>
      <c r="D76" s="12" t="n">
        <v>1549.88</v>
      </c>
    </row>
    <row r="77" customFormat="false" ht="15" hidden="false" customHeight="false" outlineLevel="0" collapsed="false">
      <c r="A77" s="13" t="n">
        <v>76</v>
      </c>
      <c r="B77" s="13" t="s">
        <v>67</v>
      </c>
      <c r="C77" s="13" t="s">
        <v>47</v>
      </c>
      <c r="D77" s="14" t="n">
        <v>258.16</v>
      </c>
    </row>
    <row r="78" customFormat="false" ht="15" hidden="false" customHeight="false" outlineLevel="0" collapsed="false">
      <c r="A78" s="11" t="n">
        <v>77</v>
      </c>
      <c r="B78" s="11" t="s">
        <v>68</v>
      </c>
      <c r="C78" s="11" t="s">
        <v>49</v>
      </c>
      <c r="D78" s="12" t="n">
        <v>729.21</v>
      </c>
    </row>
    <row r="79" customFormat="false" ht="15" hidden="false" customHeight="false" outlineLevel="0" collapsed="false">
      <c r="A79" s="13" t="n">
        <v>78</v>
      </c>
      <c r="B79" s="13" t="s">
        <v>69</v>
      </c>
      <c r="C79" s="13" t="s">
        <v>34</v>
      </c>
      <c r="D79" s="14" t="n">
        <v>1647.18</v>
      </c>
    </row>
    <row r="80" customFormat="false" ht="15" hidden="false" customHeight="false" outlineLevel="0" collapsed="false">
      <c r="A80" s="11" t="n">
        <v>79</v>
      </c>
      <c r="B80" s="11" t="s">
        <v>70</v>
      </c>
      <c r="C80" s="11" t="s">
        <v>49</v>
      </c>
      <c r="D80" s="12" t="n">
        <v>748.05</v>
      </c>
    </row>
    <row r="81" customFormat="false" ht="15" hidden="false" customHeight="false" outlineLevel="0" collapsed="false">
      <c r="A81" s="13" t="n">
        <v>80</v>
      </c>
      <c r="B81" s="13" t="s">
        <v>71</v>
      </c>
      <c r="C81" s="13" t="s">
        <v>34</v>
      </c>
      <c r="D81" s="14" t="n">
        <v>2134.39</v>
      </c>
    </row>
    <row r="82" customFormat="false" ht="15" hidden="false" customHeight="false" outlineLevel="0" collapsed="false">
      <c r="A82" s="11" t="n">
        <v>81</v>
      </c>
      <c r="B82" s="11" t="s">
        <v>72</v>
      </c>
      <c r="C82" s="11" t="s">
        <v>38</v>
      </c>
      <c r="D82" s="12" t="n">
        <v>2146.9</v>
      </c>
    </row>
    <row r="83" customFormat="false" ht="15" hidden="false" customHeight="false" outlineLevel="0" collapsed="false">
      <c r="A83" s="13" t="n">
        <v>82</v>
      </c>
      <c r="B83" s="13" t="s">
        <v>73</v>
      </c>
      <c r="C83" s="13" t="s">
        <v>47</v>
      </c>
      <c r="D83" s="14" t="n">
        <v>673.49</v>
      </c>
    </row>
    <row r="84" customFormat="false" ht="15" hidden="false" customHeight="false" outlineLevel="0" collapsed="false">
      <c r="A84" s="11" t="n">
        <v>83</v>
      </c>
      <c r="B84" s="11" t="s">
        <v>74</v>
      </c>
      <c r="C84" s="11" t="s">
        <v>36</v>
      </c>
      <c r="D84" s="12" t="n">
        <v>2098.93</v>
      </c>
    </row>
    <row r="85" customFormat="false" ht="15" hidden="false" customHeight="false" outlineLevel="0" collapsed="false">
      <c r="A85" s="13" t="n">
        <v>84</v>
      </c>
      <c r="B85" s="13" t="s">
        <v>75</v>
      </c>
      <c r="C85" s="13" t="s">
        <v>49</v>
      </c>
      <c r="D85" s="14" t="n">
        <v>1250.08</v>
      </c>
    </row>
    <row r="86" customFormat="false" ht="15" hidden="false" customHeight="false" outlineLevel="0" collapsed="false">
      <c r="A86" s="11" t="n">
        <v>85</v>
      </c>
      <c r="B86" s="11" t="s">
        <v>76</v>
      </c>
      <c r="C86" s="11" t="s">
        <v>42</v>
      </c>
      <c r="D86" s="12" t="n">
        <v>328.76</v>
      </c>
    </row>
    <row r="87" customFormat="false" ht="15" hidden="false" customHeight="false" outlineLevel="0" collapsed="false">
      <c r="A87" s="13" t="n">
        <v>86</v>
      </c>
      <c r="B87" s="13" t="s">
        <v>77</v>
      </c>
      <c r="C87" s="13" t="s">
        <v>34</v>
      </c>
      <c r="D87" s="14" t="n">
        <v>147.26</v>
      </c>
    </row>
    <row r="88" customFormat="false" ht="15" hidden="false" customHeight="false" outlineLevel="0" collapsed="false">
      <c r="A88" s="11" t="n">
        <v>87</v>
      </c>
      <c r="B88" s="11" t="s">
        <v>78</v>
      </c>
      <c r="C88" s="11" t="s">
        <v>32</v>
      </c>
      <c r="D88" s="12" t="n">
        <v>1231.26</v>
      </c>
    </row>
    <row r="89" customFormat="false" ht="15" hidden="false" customHeight="false" outlineLevel="0" collapsed="false">
      <c r="A89" s="13" t="n">
        <v>88</v>
      </c>
      <c r="B89" s="13" t="s">
        <v>79</v>
      </c>
      <c r="C89" s="13" t="s">
        <v>42</v>
      </c>
      <c r="D89" s="14" t="n">
        <v>757.58</v>
      </c>
    </row>
    <row r="90" customFormat="false" ht="15" hidden="false" customHeight="false" outlineLevel="0" collapsed="false">
      <c r="A90" s="11" t="n">
        <v>89</v>
      </c>
      <c r="B90" s="11" t="s">
        <v>80</v>
      </c>
      <c r="C90" s="11" t="s">
        <v>32</v>
      </c>
      <c r="D90" s="12" t="n">
        <v>310.79</v>
      </c>
    </row>
    <row r="91" customFormat="false" ht="15" hidden="false" customHeight="false" outlineLevel="0" collapsed="false">
      <c r="A91" s="13" t="n">
        <v>90</v>
      </c>
      <c r="B91" s="13" t="s">
        <v>81</v>
      </c>
      <c r="C91" s="13" t="s">
        <v>47</v>
      </c>
      <c r="D91" s="14" t="n">
        <v>702.32</v>
      </c>
    </row>
    <row r="92" customFormat="false" ht="15" hidden="false" customHeight="false" outlineLevel="0" collapsed="false">
      <c r="A92" s="11" t="n">
        <v>91</v>
      </c>
      <c r="B92" s="11" t="s">
        <v>82</v>
      </c>
      <c r="C92" s="11" t="s">
        <v>40</v>
      </c>
      <c r="D92" s="12" t="n">
        <v>1566.63</v>
      </c>
    </row>
    <row r="93" customFormat="false" ht="15" hidden="false" customHeight="false" outlineLevel="0" collapsed="false">
      <c r="A93" s="13" t="n">
        <v>92</v>
      </c>
      <c r="B93" s="13" t="s">
        <v>83</v>
      </c>
      <c r="C93" s="13" t="s">
        <v>38</v>
      </c>
      <c r="D93" s="14" t="n">
        <v>1754.32</v>
      </c>
    </row>
    <row r="94" customFormat="false" ht="15" hidden="false" customHeight="false" outlineLevel="0" collapsed="false">
      <c r="A94" s="11" t="n">
        <v>93</v>
      </c>
      <c r="B94" s="11" t="s">
        <v>84</v>
      </c>
      <c r="C94" s="11" t="s">
        <v>38</v>
      </c>
      <c r="D94" s="12" t="n">
        <v>2049.66</v>
      </c>
    </row>
    <row r="95" customFormat="false" ht="15" hidden="false" customHeight="false" outlineLevel="0" collapsed="false">
      <c r="A95" s="13" t="n">
        <v>94</v>
      </c>
      <c r="B95" s="13" t="s">
        <v>85</v>
      </c>
      <c r="C95" s="13" t="s">
        <v>40</v>
      </c>
      <c r="D95" s="14" t="n">
        <v>308.51</v>
      </c>
    </row>
    <row r="96" customFormat="false" ht="15" hidden="false" customHeight="false" outlineLevel="0" collapsed="false">
      <c r="A96" s="11" t="n">
        <v>95</v>
      </c>
      <c r="B96" s="11" t="s">
        <v>31</v>
      </c>
      <c r="C96" s="11" t="s">
        <v>32</v>
      </c>
      <c r="D96" s="12" t="n">
        <v>1029.22</v>
      </c>
    </row>
    <row r="97" customFormat="false" ht="15" hidden="false" customHeight="false" outlineLevel="0" collapsed="false">
      <c r="A97" s="13" t="n">
        <v>96</v>
      </c>
      <c r="B97" s="13" t="s">
        <v>33</v>
      </c>
      <c r="C97" s="13" t="s">
        <v>34</v>
      </c>
      <c r="D97" s="14" t="n">
        <v>1247.25</v>
      </c>
    </row>
    <row r="98" customFormat="false" ht="15" hidden="false" customHeight="false" outlineLevel="0" collapsed="false">
      <c r="A98" s="11" t="n">
        <v>97</v>
      </c>
      <c r="B98" s="11" t="s">
        <v>35</v>
      </c>
      <c r="C98" s="11" t="s">
        <v>36</v>
      </c>
      <c r="D98" s="12" t="n">
        <v>1095.32</v>
      </c>
    </row>
    <row r="99" customFormat="false" ht="15" hidden="false" customHeight="false" outlineLevel="0" collapsed="false">
      <c r="A99" s="13" t="n">
        <v>98</v>
      </c>
      <c r="B99" s="13" t="s">
        <v>37</v>
      </c>
      <c r="C99" s="13" t="s">
        <v>38</v>
      </c>
      <c r="D99" s="14" t="n">
        <v>951.01</v>
      </c>
    </row>
    <row r="100" customFormat="false" ht="15" hidden="false" customHeight="false" outlineLevel="0" collapsed="false">
      <c r="A100" s="11" t="n">
        <v>99</v>
      </c>
      <c r="B100" s="11" t="s">
        <v>39</v>
      </c>
      <c r="C100" s="11" t="s">
        <v>40</v>
      </c>
      <c r="D100" s="12" t="n">
        <v>563.92</v>
      </c>
    </row>
    <row r="101" customFormat="false" ht="15" hidden="false" customHeight="false" outlineLevel="0" collapsed="false">
      <c r="A101" s="13" t="n">
        <v>100</v>
      </c>
      <c r="B101" s="13" t="s">
        <v>41</v>
      </c>
      <c r="C101" s="13" t="s">
        <v>42</v>
      </c>
      <c r="D101" s="14" t="n">
        <v>2148.55</v>
      </c>
    </row>
    <row r="102" customFormat="false" ht="15" hidden="false" customHeight="false" outlineLevel="0" collapsed="false">
      <c r="A102" s="11" t="n">
        <v>101</v>
      </c>
      <c r="B102" s="11" t="s">
        <v>43</v>
      </c>
      <c r="C102" s="11" t="s">
        <v>38</v>
      </c>
      <c r="D102" s="12" t="n">
        <v>1690.47</v>
      </c>
    </row>
    <row r="103" customFormat="false" ht="15" hidden="false" customHeight="false" outlineLevel="0" collapsed="false">
      <c r="A103" s="13" t="n">
        <v>102</v>
      </c>
      <c r="B103" s="13" t="s">
        <v>44</v>
      </c>
      <c r="C103" s="13" t="s">
        <v>42</v>
      </c>
      <c r="D103" s="14" t="n">
        <v>352.9</v>
      </c>
    </row>
    <row r="104" customFormat="false" ht="15" hidden="false" customHeight="false" outlineLevel="0" collapsed="false">
      <c r="A104" s="11" t="n">
        <v>103</v>
      </c>
      <c r="B104" s="11" t="s">
        <v>45</v>
      </c>
      <c r="C104" s="11" t="s">
        <v>38</v>
      </c>
      <c r="D104" s="12" t="n">
        <v>96.61</v>
      </c>
    </row>
    <row r="105" customFormat="false" ht="15" hidden="false" customHeight="false" outlineLevel="0" collapsed="false">
      <c r="A105" s="13" t="n">
        <v>104</v>
      </c>
      <c r="B105" s="13" t="s">
        <v>46</v>
      </c>
      <c r="C105" s="13" t="s">
        <v>47</v>
      </c>
      <c r="D105" s="14" t="n">
        <v>409.99</v>
      </c>
    </row>
    <row r="106" customFormat="false" ht="15" hidden="false" customHeight="false" outlineLevel="0" collapsed="false">
      <c r="A106" s="11" t="n">
        <v>105</v>
      </c>
      <c r="B106" s="11" t="s">
        <v>48</v>
      </c>
      <c r="C106" s="11" t="s">
        <v>49</v>
      </c>
      <c r="D106" s="12" t="n">
        <v>1828.35</v>
      </c>
    </row>
    <row r="107" customFormat="false" ht="15" hidden="false" customHeight="false" outlineLevel="0" collapsed="false">
      <c r="A107" s="13" t="n">
        <v>106</v>
      </c>
      <c r="B107" s="13" t="s">
        <v>50</v>
      </c>
      <c r="C107" s="13" t="s">
        <v>38</v>
      </c>
      <c r="D107" s="14" t="n">
        <v>590.23</v>
      </c>
    </row>
    <row r="108" customFormat="false" ht="15" hidden="false" customHeight="false" outlineLevel="0" collapsed="false">
      <c r="A108" s="11" t="n">
        <v>107</v>
      </c>
      <c r="B108" s="11" t="s">
        <v>51</v>
      </c>
      <c r="C108" s="11" t="s">
        <v>47</v>
      </c>
      <c r="D108" s="12" t="n">
        <v>550.68</v>
      </c>
    </row>
    <row r="109" customFormat="false" ht="15" hidden="false" customHeight="false" outlineLevel="0" collapsed="false">
      <c r="A109" s="13" t="n">
        <v>108</v>
      </c>
      <c r="B109" s="13" t="s">
        <v>52</v>
      </c>
      <c r="C109" s="13" t="s">
        <v>40</v>
      </c>
      <c r="D109" s="14" t="n">
        <v>1178.47</v>
      </c>
    </row>
    <row r="110" customFormat="false" ht="15" hidden="false" customHeight="false" outlineLevel="0" collapsed="false">
      <c r="A110" s="11" t="n">
        <v>109</v>
      </c>
      <c r="B110" s="11" t="s">
        <v>53</v>
      </c>
      <c r="C110" s="11" t="s">
        <v>36</v>
      </c>
      <c r="D110" s="12" t="n">
        <v>1418.47</v>
      </c>
    </row>
    <row r="111" customFormat="false" ht="15" hidden="false" customHeight="false" outlineLevel="0" collapsed="false">
      <c r="A111" s="13" t="n">
        <v>110</v>
      </c>
      <c r="B111" s="13" t="s">
        <v>54</v>
      </c>
      <c r="C111" s="13" t="s">
        <v>40</v>
      </c>
      <c r="D111" s="14" t="n">
        <v>587.35</v>
      </c>
    </row>
    <row r="112" customFormat="false" ht="15" hidden="false" customHeight="false" outlineLevel="0" collapsed="false">
      <c r="A112" s="11" t="n">
        <v>111</v>
      </c>
      <c r="B112" s="11" t="s">
        <v>55</v>
      </c>
      <c r="C112" s="11" t="s">
        <v>36</v>
      </c>
      <c r="D112" s="12" t="n">
        <v>1482.2</v>
      </c>
    </row>
    <row r="113" customFormat="false" ht="15" hidden="false" customHeight="false" outlineLevel="0" collapsed="false">
      <c r="A113" s="13" t="n">
        <v>112</v>
      </c>
      <c r="B113" s="13" t="s">
        <v>56</v>
      </c>
      <c r="C113" s="13" t="s">
        <v>32</v>
      </c>
      <c r="D113" s="14" t="n">
        <v>899.56</v>
      </c>
    </row>
    <row r="114" customFormat="false" ht="15" hidden="false" customHeight="false" outlineLevel="0" collapsed="false">
      <c r="A114" s="11" t="n">
        <v>113</v>
      </c>
      <c r="B114" s="11" t="s">
        <v>57</v>
      </c>
      <c r="C114" s="11" t="s">
        <v>36</v>
      </c>
      <c r="D114" s="12" t="n">
        <v>1709.25</v>
      </c>
    </row>
    <row r="115" customFormat="false" ht="15" hidden="false" customHeight="false" outlineLevel="0" collapsed="false">
      <c r="A115" s="13" t="n">
        <v>114</v>
      </c>
      <c r="B115" s="13" t="s">
        <v>58</v>
      </c>
      <c r="C115" s="13" t="s">
        <v>32</v>
      </c>
      <c r="D115" s="14" t="n">
        <v>767.72</v>
      </c>
    </row>
    <row r="116" customFormat="false" ht="15" hidden="false" customHeight="false" outlineLevel="0" collapsed="false">
      <c r="A116" s="11" t="n">
        <v>115</v>
      </c>
      <c r="B116" s="11" t="s">
        <v>59</v>
      </c>
      <c r="C116" s="11" t="s">
        <v>34</v>
      </c>
      <c r="D116" s="12" t="n">
        <v>1374.43</v>
      </c>
    </row>
    <row r="117" customFormat="false" ht="15" hidden="false" customHeight="false" outlineLevel="0" collapsed="false">
      <c r="A117" s="13" t="n">
        <v>116</v>
      </c>
      <c r="B117" s="13" t="s">
        <v>60</v>
      </c>
      <c r="C117" s="13" t="s">
        <v>42</v>
      </c>
      <c r="D117" s="14" t="n">
        <v>1593.06</v>
      </c>
    </row>
    <row r="118" customFormat="false" ht="15" hidden="false" customHeight="false" outlineLevel="0" collapsed="false">
      <c r="A118" s="11" t="n">
        <v>117</v>
      </c>
      <c r="B118" s="11" t="s">
        <v>61</v>
      </c>
      <c r="C118" s="11" t="s">
        <v>49</v>
      </c>
      <c r="D118" s="12" t="n">
        <v>405.55</v>
      </c>
    </row>
    <row r="119" customFormat="false" ht="15" hidden="false" customHeight="false" outlineLevel="0" collapsed="false">
      <c r="A119" s="13" t="n">
        <v>118</v>
      </c>
      <c r="B119" s="13" t="s">
        <v>62</v>
      </c>
      <c r="C119" s="13" t="s">
        <v>32</v>
      </c>
      <c r="D119" s="14" t="n">
        <v>114.25</v>
      </c>
    </row>
    <row r="120" customFormat="false" ht="15" hidden="false" customHeight="false" outlineLevel="0" collapsed="false">
      <c r="A120" s="11" t="n">
        <v>119</v>
      </c>
      <c r="B120" s="11" t="s">
        <v>63</v>
      </c>
      <c r="C120" s="11" t="s">
        <v>42</v>
      </c>
      <c r="D120" s="12" t="n">
        <v>92.23</v>
      </c>
    </row>
    <row r="121" customFormat="false" ht="15" hidden="false" customHeight="false" outlineLevel="0" collapsed="false">
      <c r="A121" s="13" t="n">
        <v>120</v>
      </c>
      <c r="B121" s="13" t="s">
        <v>64</v>
      </c>
      <c r="C121" s="13" t="s">
        <v>34</v>
      </c>
      <c r="D121" s="14" t="n">
        <v>1729.81</v>
      </c>
    </row>
    <row r="122" customFormat="false" ht="15" hidden="false" customHeight="false" outlineLevel="0" collapsed="false">
      <c r="A122" s="11" t="n">
        <v>121</v>
      </c>
      <c r="B122" s="11" t="s">
        <v>65</v>
      </c>
      <c r="C122" s="11" t="s">
        <v>38</v>
      </c>
      <c r="D122" s="12" t="n">
        <v>599.74</v>
      </c>
    </row>
    <row r="123" customFormat="false" ht="15" hidden="false" customHeight="false" outlineLevel="0" collapsed="false">
      <c r="A123" s="13" t="n">
        <v>122</v>
      </c>
      <c r="B123" s="13" t="s">
        <v>66</v>
      </c>
      <c r="C123" s="13" t="s">
        <v>49</v>
      </c>
      <c r="D123" s="14" t="n">
        <v>1850.29</v>
      </c>
    </row>
    <row r="124" customFormat="false" ht="15" hidden="false" customHeight="false" outlineLevel="0" collapsed="false">
      <c r="A124" s="11" t="n">
        <v>123</v>
      </c>
      <c r="B124" s="11" t="s">
        <v>67</v>
      </c>
      <c r="C124" s="11" t="s">
        <v>47</v>
      </c>
      <c r="D124" s="12" t="n">
        <v>2023.84</v>
      </c>
    </row>
    <row r="125" customFormat="false" ht="15" hidden="false" customHeight="false" outlineLevel="0" collapsed="false">
      <c r="A125" s="13" t="n">
        <v>124</v>
      </c>
      <c r="B125" s="13" t="s">
        <v>68</v>
      </c>
      <c r="C125" s="13" t="s">
        <v>49</v>
      </c>
      <c r="D125" s="14" t="n">
        <v>2049.22</v>
      </c>
    </row>
    <row r="126" customFormat="false" ht="15" hidden="false" customHeight="false" outlineLevel="0" collapsed="false">
      <c r="A126" s="11" t="n">
        <v>125</v>
      </c>
      <c r="B126" s="11" t="s">
        <v>69</v>
      </c>
      <c r="C126" s="11" t="s">
        <v>34</v>
      </c>
      <c r="D126" s="12" t="n">
        <v>988.93</v>
      </c>
    </row>
    <row r="127" customFormat="false" ht="15" hidden="false" customHeight="false" outlineLevel="0" collapsed="false">
      <c r="A127" s="13" t="n">
        <v>126</v>
      </c>
      <c r="B127" s="13" t="s">
        <v>70</v>
      </c>
      <c r="C127" s="13" t="s">
        <v>49</v>
      </c>
      <c r="D127" s="14" t="n">
        <v>722.81</v>
      </c>
    </row>
    <row r="128" customFormat="false" ht="15" hidden="false" customHeight="false" outlineLevel="0" collapsed="false">
      <c r="A128" s="11" t="n">
        <v>127</v>
      </c>
      <c r="B128" s="11" t="s">
        <v>71</v>
      </c>
      <c r="C128" s="11" t="s">
        <v>34</v>
      </c>
      <c r="D128" s="12" t="n">
        <v>165.02</v>
      </c>
    </row>
    <row r="129" customFormat="false" ht="15" hidden="false" customHeight="false" outlineLevel="0" collapsed="false">
      <c r="A129" s="13" t="n">
        <v>128</v>
      </c>
      <c r="B129" s="13" t="s">
        <v>72</v>
      </c>
      <c r="C129" s="13" t="s">
        <v>38</v>
      </c>
      <c r="D129" s="14" t="n">
        <v>1139.25</v>
      </c>
    </row>
    <row r="130" customFormat="false" ht="15" hidden="false" customHeight="false" outlineLevel="0" collapsed="false">
      <c r="A130" s="11" t="n">
        <v>129</v>
      </c>
      <c r="B130" s="11" t="s">
        <v>73</v>
      </c>
      <c r="C130" s="11" t="s">
        <v>47</v>
      </c>
      <c r="D130" s="12" t="n">
        <v>404</v>
      </c>
    </row>
    <row r="131" customFormat="false" ht="15" hidden="false" customHeight="false" outlineLevel="0" collapsed="false">
      <c r="A131" s="13" t="n">
        <v>130</v>
      </c>
      <c r="B131" s="13" t="s">
        <v>74</v>
      </c>
      <c r="C131" s="13" t="s">
        <v>36</v>
      </c>
      <c r="D131" s="14" t="n">
        <v>170.79</v>
      </c>
    </row>
    <row r="132" customFormat="false" ht="15" hidden="false" customHeight="false" outlineLevel="0" collapsed="false">
      <c r="A132" s="11" t="n">
        <v>131</v>
      </c>
      <c r="B132" s="11" t="s">
        <v>75</v>
      </c>
      <c r="C132" s="11" t="s">
        <v>49</v>
      </c>
      <c r="D132" s="12" t="n">
        <v>419.61</v>
      </c>
    </row>
    <row r="133" customFormat="false" ht="15" hidden="false" customHeight="false" outlineLevel="0" collapsed="false">
      <c r="A133" s="13" t="n">
        <v>132</v>
      </c>
      <c r="B133" s="13" t="s">
        <v>76</v>
      </c>
      <c r="C133" s="13" t="s">
        <v>42</v>
      </c>
      <c r="D133" s="14" t="n">
        <v>746.69</v>
      </c>
    </row>
    <row r="134" customFormat="false" ht="15" hidden="false" customHeight="false" outlineLevel="0" collapsed="false">
      <c r="A134" s="11" t="n">
        <v>133</v>
      </c>
      <c r="B134" s="11" t="s">
        <v>77</v>
      </c>
      <c r="C134" s="11" t="s">
        <v>34</v>
      </c>
      <c r="D134" s="12" t="n">
        <v>1635.43</v>
      </c>
    </row>
    <row r="135" customFormat="false" ht="15" hidden="false" customHeight="false" outlineLevel="0" collapsed="false">
      <c r="A135" s="13" t="n">
        <v>134</v>
      </c>
      <c r="B135" s="13" t="s">
        <v>78</v>
      </c>
      <c r="C135" s="13" t="s">
        <v>32</v>
      </c>
      <c r="D135" s="14" t="n">
        <v>1364.67</v>
      </c>
    </row>
    <row r="136" customFormat="false" ht="15" hidden="false" customHeight="false" outlineLevel="0" collapsed="false">
      <c r="A136" s="11" t="n">
        <v>135</v>
      </c>
      <c r="B136" s="11" t="s">
        <v>79</v>
      </c>
      <c r="C136" s="11" t="s">
        <v>42</v>
      </c>
      <c r="D136" s="12" t="n">
        <v>2099.01</v>
      </c>
    </row>
    <row r="137" customFormat="false" ht="15" hidden="false" customHeight="false" outlineLevel="0" collapsed="false">
      <c r="A137" s="13" t="n">
        <v>136</v>
      </c>
      <c r="B137" s="13" t="s">
        <v>80</v>
      </c>
      <c r="C137" s="13" t="s">
        <v>32</v>
      </c>
      <c r="D137" s="14" t="n">
        <v>509.38</v>
      </c>
    </row>
    <row r="138" customFormat="false" ht="15" hidden="false" customHeight="false" outlineLevel="0" collapsed="false">
      <c r="A138" s="11" t="n">
        <v>137</v>
      </c>
      <c r="B138" s="11" t="s">
        <v>81</v>
      </c>
      <c r="C138" s="11" t="s">
        <v>47</v>
      </c>
      <c r="D138" s="12" t="n">
        <v>1147.35</v>
      </c>
    </row>
    <row r="139" customFormat="false" ht="15" hidden="false" customHeight="false" outlineLevel="0" collapsed="false">
      <c r="A139" s="13" t="n">
        <v>138</v>
      </c>
      <c r="B139" s="13" t="s">
        <v>82</v>
      </c>
      <c r="C139" s="13" t="s">
        <v>40</v>
      </c>
      <c r="D139" s="14" t="n">
        <v>836.68</v>
      </c>
    </row>
    <row r="140" customFormat="false" ht="15" hidden="false" customHeight="false" outlineLevel="0" collapsed="false">
      <c r="A140" s="11" t="n">
        <v>139</v>
      </c>
      <c r="B140" s="11" t="s">
        <v>83</v>
      </c>
      <c r="C140" s="11" t="s">
        <v>38</v>
      </c>
      <c r="D140" s="12" t="n">
        <v>2138.46</v>
      </c>
    </row>
    <row r="141" customFormat="false" ht="15" hidden="false" customHeight="false" outlineLevel="0" collapsed="false">
      <c r="A141" s="13" t="n">
        <v>140</v>
      </c>
      <c r="B141" s="13" t="s">
        <v>84</v>
      </c>
      <c r="C141" s="13" t="s">
        <v>38</v>
      </c>
      <c r="D141" s="14" t="n">
        <v>1109.33</v>
      </c>
    </row>
    <row r="142" customFormat="false" ht="15" hidden="false" customHeight="false" outlineLevel="0" collapsed="false">
      <c r="A142" s="11" t="n">
        <v>141</v>
      </c>
      <c r="B142" s="11" t="s">
        <v>85</v>
      </c>
      <c r="C142" s="11" t="s">
        <v>40</v>
      </c>
      <c r="D142" s="12" t="n">
        <v>1203.42</v>
      </c>
    </row>
    <row r="143" customFormat="false" ht="15" hidden="false" customHeight="false" outlineLevel="0" collapsed="false">
      <c r="A143" s="13" t="n">
        <v>142</v>
      </c>
      <c r="B143" s="13" t="s">
        <v>31</v>
      </c>
      <c r="C143" s="13" t="s">
        <v>32</v>
      </c>
      <c r="D143" s="14" t="n">
        <v>1867.45</v>
      </c>
    </row>
    <row r="144" customFormat="false" ht="15" hidden="false" customHeight="false" outlineLevel="0" collapsed="false">
      <c r="A144" s="11" t="n">
        <v>143</v>
      </c>
      <c r="B144" s="11" t="s">
        <v>33</v>
      </c>
      <c r="C144" s="11" t="s">
        <v>34</v>
      </c>
      <c r="D144" s="12" t="n">
        <v>1722.21</v>
      </c>
    </row>
    <row r="145" customFormat="false" ht="15" hidden="false" customHeight="false" outlineLevel="0" collapsed="false">
      <c r="A145" s="13" t="n">
        <v>144</v>
      </c>
      <c r="B145" s="13" t="s">
        <v>35</v>
      </c>
      <c r="C145" s="13" t="s">
        <v>36</v>
      </c>
      <c r="D145" s="14" t="n">
        <v>2149.33</v>
      </c>
    </row>
    <row r="146" customFormat="false" ht="15" hidden="false" customHeight="false" outlineLevel="0" collapsed="false">
      <c r="A146" s="11" t="n">
        <v>145</v>
      </c>
      <c r="B146" s="11" t="s">
        <v>37</v>
      </c>
      <c r="C146" s="11" t="s">
        <v>38</v>
      </c>
      <c r="D146" s="12" t="n">
        <v>392.14</v>
      </c>
    </row>
    <row r="147" customFormat="false" ht="15" hidden="false" customHeight="false" outlineLevel="0" collapsed="false">
      <c r="A147" s="13" t="n">
        <v>146</v>
      </c>
      <c r="B147" s="13" t="s">
        <v>39</v>
      </c>
      <c r="C147" s="13" t="s">
        <v>40</v>
      </c>
      <c r="D147" s="14" t="n">
        <v>482.6</v>
      </c>
    </row>
    <row r="148" customFormat="false" ht="15" hidden="false" customHeight="false" outlineLevel="0" collapsed="false">
      <c r="A148" s="11" t="n">
        <v>147</v>
      </c>
      <c r="B148" s="11" t="s">
        <v>41</v>
      </c>
      <c r="C148" s="11" t="s">
        <v>42</v>
      </c>
      <c r="D148" s="12" t="n">
        <v>1891.42</v>
      </c>
    </row>
    <row r="149" customFormat="false" ht="15" hidden="false" customHeight="false" outlineLevel="0" collapsed="false">
      <c r="A149" s="13" t="n">
        <v>148</v>
      </c>
      <c r="B149" s="13" t="s">
        <v>43</v>
      </c>
      <c r="C149" s="13" t="s">
        <v>38</v>
      </c>
      <c r="D149" s="14" t="n">
        <v>1276.19</v>
      </c>
    </row>
    <row r="150" customFormat="false" ht="15" hidden="false" customHeight="false" outlineLevel="0" collapsed="false">
      <c r="A150" s="11" t="n">
        <v>149</v>
      </c>
      <c r="B150" s="11" t="s">
        <v>44</v>
      </c>
      <c r="C150" s="11" t="s">
        <v>42</v>
      </c>
      <c r="D150" s="12" t="n">
        <v>142.63</v>
      </c>
    </row>
    <row r="151" customFormat="false" ht="15" hidden="false" customHeight="false" outlineLevel="0" collapsed="false">
      <c r="A151" s="13" t="n">
        <v>150</v>
      </c>
      <c r="B151" s="13" t="s">
        <v>45</v>
      </c>
      <c r="C151" s="13" t="s">
        <v>38</v>
      </c>
      <c r="D151" s="14" t="n">
        <v>1370.46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</cols>
  <sheetData>
    <row r="1" customFormat="false" ht="21.75" hidden="false" customHeight="true" outlineLevel="0" collapsed="false">
      <c r="A1" s="10" t="s">
        <v>4</v>
      </c>
      <c r="B1" s="10" t="s">
        <v>28</v>
      </c>
      <c r="C1" s="10" t="s">
        <v>86</v>
      </c>
      <c r="D1" s="10" t="s">
        <v>29</v>
      </c>
      <c r="E1" s="10" t="s">
        <v>87</v>
      </c>
      <c r="F1" s="10" t="s">
        <v>88</v>
      </c>
    </row>
    <row r="2" customFormat="false" ht="15" hidden="false" customHeight="false" outlineLevel="0" collapsed="false">
      <c r="A2" s="11" t="n">
        <v>1</v>
      </c>
      <c r="B2" s="11" t="s">
        <v>89</v>
      </c>
      <c r="C2" s="11" t="s">
        <v>90</v>
      </c>
      <c r="D2" s="11" t="s">
        <v>91</v>
      </c>
      <c r="E2" s="12" t="n">
        <v>994.02</v>
      </c>
      <c r="F2" s="12" t="n">
        <v>1488.03</v>
      </c>
    </row>
    <row r="3" customFormat="false" ht="15" hidden="false" customHeight="false" outlineLevel="0" collapsed="false">
      <c r="A3" s="13" t="n">
        <v>2</v>
      </c>
      <c r="B3" s="13" t="s">
        <v>92</v>
      </c>
      <c r="C3" s="13" t="s">
        <v>93</v>
      </c>
      <c r="D3" s="13" t="s">
        <v>94</v>
      </c>
      <c r="E3" s="14" t="n">
        <v>809.69</v>
      </c>
      <c r="F3" s="14" t="n">
        <v>1213.28</v>
      </c>
    </row>
    <row r="4" customFormat="false" ht="15" hidden="false" customHeight="false" outlineLevel="0" collapsed="false">
      <c r="A4" s="11" t="n">
        <v>3</v>
      </c>
      <c r="B4" s="11" t="s">
        <v>95</v>
      </c>
      <c r="C4" s="11" t="s">
        <v>96</v>
      </c>
      <c r="D4" s="11" t="s">
        <v>32</v>
      </c>
      <c r="E4" s="12" t="n">
        <v>59.05</v>
      </c>
      <c r="F4" s="12" t="n">
        <v>94.61</v>
      </c>
    </row>
    <row r="5" customFormat="false" ht="15" hidden="false" customHeight="false" outlineLevel="0" collapsed="false">
      <c r="A5" s="13" t="n">
        <v>4</v>
      </c>
      <c r="B5" s="13" t="s">
        <v>97</v>
      </c>
      <c r="C5" s="13" t="s">
        <v>98</v>
      </c>
      <c r="D5" s="13" t="s">
        <v>99</v>
      </c>
      <c r="E5" s="14" t="n">
        <v>816.03</v>
      </c>
      <c r="F5" s="14" t="n">
        <v>1483.6</v>
      </c>
    </row>
    <row r="6" customFormat="false" ht="15" hidden="false" customHeight="false" outlineLevel="0" collapsed="false">
      <c r="A6" s="11" t="n">
        <v>5</v>
      </c>
      <c r="B6" s="11" t="s">
        <v>100</v>
      </c>
      <c r="C6" s="11" t="s">
        <v>93</v>
      </c>
      <c r="D6" s="11" t="s">
        <v>42</v>
      </c>
      <c r="E6" s="12" t="n">
        <v>928.46</v>
      </c>
      <c r="F6" s="12" t="n">
        <v>1543.71</v>
      </c>
    </row>
    <row r="7" customFormat="false" ht="15" hidden="false" customHeight="false" outlineLevel="0" collapsed="false">
      <c r="A7" s="13" t="n">
        <v>6</v>
      </c>
      <c r="B7" s="13" t="s">
        <v>101</v>
      </c>
      <c r="C7" s="13" t="s">
        <v>102</v>
      </c>
      <c r="D7" s="13" t="s">
        <v>42</v>
      </c>
      <c r="E7" s="14" t="n">
        <v>116.1</v>
      </c>
      <c r="F7" s="14" t="n">
        <v>209.73</v>
      </c>
    </row>
    <row r="8" customFormat="false" ht="15" hidden="false" customHeight="false" outlineLevel="0" collapsed="false">
      <c r="A8" s="11" t="n">
        <v>7</v>
      </c>
      <c r="B8" s="11" t="s">
        <v>103</v>
      </c>
      <c r="C8" s="11" t="s">
        <v>104</v>
      </c>
      <c r="D8" s="11" t="s">
        <v>42</v>
      </c>
      <c r="E8" s="12" t="n">
        <v>726.18</v>
      </c>
      <c r="F8" s="12" t="n">
        <v>1260.9</v>
      </c>
    </row>
    <row r="9" customFormat="false" ht="15" hidden="false" customHeight="false" outlineLevel="0" collapsed="false">
      <c r="A9" s="13" t="n">
        <v>8</v>
      </c>
      <c r="B9" s="13" t="s">
        <v>105</v>
      </c>
      <c r="C9" s="13" t="s">
        <v>106</v>
      </c>
      <c r="D9" s="13" t="s">
        <v>107</v>
      </c>
      <c r="E9" s="14" t="n">
        <v>578.53</v>
      </c>
      <c r="F9" s="14" t="n">
        <v>1090.41</v>
      </c>
    </row>
    <row r="10" customFormat="false" ht="15" hidden="false" customHeight="false" outlineLevel="0" collapsed="false">
      <c r="A10" s="11" t="n">
        <v>9</v>
      </c>
      <c r="B10" s="11" t="s">
        <v>92</v>
      </c>
      <c r="C10" s="11" t="s">
        <v>108</v>
      </c>
      <c r="D10" s="11" t="s">
        <v>94</v>
      </c>
      <c r="E10" s="12" t="n">
        <v>887.69</v>
      </c>
      <c r="F10" s="12" t="n">
        <v>1401.8</v>
      </c>
    </row>
    <row r="11" customFormat="false" ht="15" hidden="false" customHeight="false" outlineLevel="0" collapsed="false">
      <c r="A11" s="13" t="n">
        <v>10</v>
      </c>
      <c r="B11" s="13" t="s">
        <v>109</v>
      </c>
      <c r="C11" s="13" t="s">
        <v>110</v>
      </c>
      <c r="D11" s="13" t="s">
        <v>111</v>
      </c>
      <c r="E11" s="14" t="n">
        <v>488.74</v>
      </c>
      <c r="F11" s="14" t="n">
        <v>1069.82</v>
      </c>
    </row>
    <row r="12" customFormat="false" ht="15" hidden="false" customHeight="false" outlineLevel="0" collapsed="false">
      <c r="A12" s="11" t="n">
        <v>11</v>
      </c>
      <c r="B12" s="11" t="s">
        <v>112</v>
      </c>
      <c r="C12" s="11" t="s">
        <v>110</v>
      </c>
      <c r="D12" s="11" t="s">
        <v>113</v>
      </c>
      <c r="E12" s="12" t="n">
        <v>581.48</v>
      </c>
      <c r="F12" s="12" t="n">
        <v>958.18</v>
      </c>
    </row>
    <row r="13" customFormat="false" ht="15" hidden="false" customHeight="false" outlineLevel="0" collapsed="false">
      <c r="A13" s="13" t="n">
        <v>12</v>
      </c>
      <c r="B13" s="13" t="s">
        <v>114</v>
      </c>
      <c r="C13" s="13" t="s">
        <v>102</v>
      </c>
      <c r="D13" s="13" t="s">
        <v>91</v>
      </c>
      <c r="E13" s="14" t="n">
        <v>448.12</v>
      </c>
      <c r="F13" s="14" t="n">
        <v>611.46</v>
      </c>
    </row>
    <row r="14" customFormat="false" ht="15" hidden="false" customHeight="false" outlineLevel="0" collapsed="false">
      <c r="A14" s="11" t="n">
        <v>13</v>
      </c>
      <c r="B14" s="11" t="s">
        <v>115</v>
      </c>
      <c r="C14" s="11" t="s">
        <v>116</v>
      </c>
      <c r="D14" s="11" t="s">
        <v>32</v>
      </c>
      <c r="E14" s="12" t="n">
        <v>304.15</v>
      </c>
      <c r="F14" s="12" t="n">
        <v>538.01</v>
      </c>
    </row>
    <row r="15" customFormat="false" ht="15" hidden="false" customHeight="false" outlineLevel="0" collapsed="false">
      <c r="A15" s="13" t="n">
        <v>14</v>
      </c>
      <c r="B15" s="13" t="s">
        <v>117</v>
      </c>
      <c r="C15" s="13" t="s">
        <v>106</v>
      </c>
      <c r="D15" s="13" t="s">
        <v>107</v>
      </c>
      <c r="E15" s="14" t="n">
        <v>1051.29</v>
      </c>
      <c r="F15" s="14" t="n">
        <v>1865.86</v>
      </c>
    </row>
    <row r="16" customFormat="false" ht="15" hidden="false" customHeight="false" outlineLevel="0" collapsed="false">
      <c r="A16" s="11" t="n">
        <v>15</v>
      </c>
      <c r="B16" s="11" t="s">
        <v>118</v>
      </c>
      <c r="C16" s="11" t="s">
        <v>106</v>
      </c>
      <c r="D16" s="11" t="s">
        <v>119</v>
      </c>
      <c r="E16" s="12" t="n">
        <v>746.23</v>
      </c>
      <c r="F16" s="12" t="n">
        <v>1041.8</v>
      </c>
    </row>
    <row r="17" customFormat="false" ht="15" hidden="false" customHeight="false" outlineLevel="0" collapsed="false">
      <c r="A17" s="13" t="n">
        <v>16</v>
      </c>
      <c r="B17" s="13" t="s">
        <v>120</v>
      </c>
      <c r="C17" s="13" t="s">
        <v>121</v>
      </c>
      <c r="D17" s="13" t="s">
        <v>34</v>
      </c>
      <c r="E17" s="14" t="n">
        <v>540.9</v>
      </c>
      <c r="F17" s="14" t="n">
        <v>796.79</v>
      </c>
    </row>
    <row r="18" customFormat="false" ht="15" hidden="false" customHeight="false" outlineLevel="0" collapsed="false">
      <c r="A18" s="11" t="n">
        <v>17</v>
      </c>
      <c r="B18" s="11" t="s">
        <v>114</v>
      </c>
      <c r="C18" s="11" t="s">
        <v>122</v>
      </c>
      <c r="D18" s="11" t="s">
        <v>91</v>
      </c>
      <c r="E18" s="12" t="n">
        <v>107.2</v>
      </c>
      <c r="F18" s="12" t="n">
        <v>165.41</v>
      </c>
    </row>
    <row r="19" customFormat="false" ht="15" hidden="false" customHeight="false" outlineLevel="0" collapsed="false">
      <c r="A19" s="13" t="n">
        <v>18</v>
      </c>
      <c r="B19" s="13" t="s">
        <v>123</v>
      </c>
      <c r="C19" s="13" t="s">
        <v>124</v>
      </c>
      <c r="D19" s="13" t="s">
        <v>32</v>
      </c>
      <c r="E19" s="14" t="n">
        <v>852.34</v>
      </c>
      <c r="F19" s="14" t="n">
        <v>1152.37</v>
      </c>
    </row>
    <row r="20" customFormat="false" ht="15" hidden="false" customHeight="false" outlineLevel="0" collapsed="false">
      <c r="A20" s="11" t="n">
        <v>19</v>
      </c>
      <c r="B20" s="11" t="s">
        <v>120</v>
      </c>
      <c r="C20" s="11" t="s">
        <v>110</v>
      </c>
      <c r="D20" s="11" t="s">
        <v>34</v>
      </c>
      <c r="E20" s="12" t="n">
        <v>295.22</v>
      </c>
      <c r="F20" s="12" t="n">
        <v>600.85</v>
      </c>
    </row>
    <row r="21" customFormat="false" ht="15" hidden="false" customHeight="false" outlineLevel="0" collapsed="false">
      <c r="A21" s="13" t="n">
        <v>20</v>
      </c>
      <c r="B21" s="13" t="s">
        <v>123</v>
      </c>
      <c r="C21" s="13" t="s">
        <v>102</v>
      </c>
      <c r="D21" s="13" t="s">
        <v>32</v>
      </c>
      <c r="E21" s="14" t="n">
        <v>513.43</v>
      </c>
      <c r="F21" s="14" t="n">
        <v>876.65</v>
      </c>
    </row>
    <row r="22" customFormat="false" ht="15" hidden="false" customHeight="false" outlineLevel="0" collapsed="false">
      <c r="A22" s="11" t="n">
        <v>21</v>
      </c>
      <c r="B22" s="11" t="s">
        <v>125</v>
      </c>
      <c r="C22" s="11" t="s">
        <v>121</v>
      </c>
      <c r="D22" s="11" t="s">
        <v>107</v>
      </c>
      <c r="E22" s="12" t="n">
        <v>72.78</v>
      </c>
      <c r="F22" s="12" t="n">
        <v>117.58</v>
      </c>
    </row>
    <row r="23" customFormat="false" ht="15" hidden="false" customHeight="false" outlineLevel="0" collapsed="false">
      <c r="A23" s="13" t="n">
        <v>22</v>
      </c>
      <c r="B23" s="13" t="s">
        <v>125</v>
      </c>
      <c r="C23" s="13" t="s">
        <v>121</v>
      </c>
      <c r="D23" s="13" t="s">
        <v>107</v>
      </c>
      <c r="E23" s="14" t="n">
        <v>1065.69</v>
      </c>
      <c r="F23" s="14" t="n">
        <v>2052.09</v>
      </c>
    </row>
    <row r="24" customFormat="false" ht="15" hidden="false" customHeight="false" outlineLevel="0" collapsed="false">
      <c r="A24" s="11" t="n">
        <v>23</v>
      </c>
      <c r="B24" s="11" t="s">
        <v>126</v>
      </c>
      <c r="C24" s="11" t="s">
        <v>104</v>
      </c>
      <c r="D24" s="11" t="s">
        <v>34</v>
      </c>
      <c r="E24" s="12" t="n">
        <v>234.93</v>
      </c>
      <c r="F24" s="12" t="n">
        <v>486.73</v>
      </c>
    </row>
    <row r="25" customFormat="false" ht="15" hidden="false" customHeight="false" outlineLevel="0" collapsed="false">
      <c r="A25" s="13" t="n">
        <v>24</v>
      </c>
      <c r="B25" s="13" t="s">
        <v>109</v>
      </c>
      <c r="C25" s="13" t="s">
        <v>108</v>
      </c>
      <c r="D25" s="13" t="s">
        <v>111</v>
      </c>
      <c r="E25" s="14" t="n">
        <v>1183.67</v>
      </c>
      <c r="F25" s="14" t="n">
        <v>2412.36</v>
      </c>
    </row>
    <row r="26" customFormat="false" ht="15" hidden="false" customHeight="false" outlineLevel="0" collapsed="false">
      <c r="A26" s="11" t="n">
        <v>25</v>
      </c>
      <c r="B26" s="11" t="s">
        <v>127</v>
      </c>
      <c r="C26" s="11" t="s">
        <v>106</v>
      </c>
      <c r="D26" s="11" t="s">
        <v>32</v>
      </c>
      <c r="E26" s="12" t="n">
        <v>828.59</v>
      </c>
      <c r="F26" s="12" t="n">
        <v>1264.43</v>
      </c>
    </row>
    <row r="27" customFormat="false" ht="15" hidden="false" customHeight="false" outlineLevel="0" collapsed="false">
      <c r="A27" s="13" t="n">
        <v>26</v>
      </c>
      <c r="B27" s="13" t="s">
        <v>127</v>
      </c>
      <c r="C27" s="13" t="s">
        <v>128</v>
      </c>
      <c r="D27" s="13" t="s">
        <v>32</v>
      </c>
      <c r="E27" s="14" t="n">
        <v>342.45</v>
      </c>
      <c r="F27" s="14" t="n">
        <v>683.69</v>
      </c>
    </row>
    <row r="28" customFormat="false" ht="15" hidden="false" customHeight="false" outlineLevel="0" collapsed="false">
      <c r="A28" s="11" t="n">
        <v>27</v>
      </c>
      <c r="B28" s="11" t="s">
        <v>129</v>
      </c>
      <c r="C28" s="11" t="s">
        <v>98</v>
      </c>
      <c r="D28" s="11" t="s">
        <v>111</v>
      </c>
      <c r="E28" s="12" t="n">
        <v>1125.2</v>
      </c>
      <c r="F28" s="12" t="n">
        <v>1740.05</v>
      </c>
    </row>
    <row r="29" customFormat="false" ht="15" hidden="false" customHeight="false" outlineLevel="0" collapsed="false">
      <c r="A29" s="13" t="n">
        <v>28</v>
      </c>
      <c r="B29" s="13" t="s">
        <v>127</v>
      </c>
      <c r="C29" s="13" t="s">
        <v>121</v>
      </c>
      <c r="D29" s="13" t="s">
        <v>32</v>
      </c>
      <c r="E29" s="14" t="n">
        <v>362.01</v>
      </c>
      <c r="F29" s="14" t="n">
        <v>766.92</v>
      </c>
    </row>
    <row r="30" customFormat="false" ht="15" hidden="false" customHeight="false" outlineLevel="0" collapsed="false">
      <c r="A30" s="11" t="n">
        <v>29</v>
      </c>
      <c r="B30" s="11" t="s">
        <v>130</v>
      </c>
      <c r="C30" s="11" t="s">
        <v>110</v>
      </c>
      <c r="D30" s="11" t="s">
        <v>34</v>
      </c>
      <c r="E30" s="12" t="n">
        <v>139.9</v>
      </c>
      <c r="F30" s="12" t="n">
        <v>196.45</v>
      </c>
    </row>
    <row r="31" customFormat="false" ht="15" hidden="false" customHeight="false" outlineLevel="0" collapsed="false">
      <c r="A31" s="13" t="n">
        <v>30</v>
      </c>
      <c r="B31" s="13" t="s">
        <v>131</v>
      </c>
      <c r="C31" s="13" t="s">
        <v>128</v>
      </c>
      <c r="D31" s="13" t="s">
        <v>49</v>
      </c>
      <c r="E31" s="14" t="n">
        <v>546.92</v>
      </c>
      <c r="F31" s="14" t="n">
        <v>1018.23</v>
      </c>
    </row>
    <row r="32" customFormat="false" ht="15" hidden="false" customHeight="false" outlineLevel="0" collapsed="false">
      <c r="A32" s="11" t="n">
        <v>31</v>
      </c>
      <c r="B32" s="11" t="s">
        <v>132</v>
      </c>
      <c r="C32" s="11" t="s">
        <v>96</v>
      </c>
      <c r="D32" s="11" t="s">
        <v>94</v>
      </c>
      <c r="E32" s="12" t="n">
        <v>389.98</v>
      </c>
      <c r="F32" s="12" t="n">
        <v>831.85</v>
      </c>
    </row>
    <row r="33" customFormat="false" ht="15" hidden="false" customHeight="false" outlineLevel="0" collapsed="false">
      <c r="A33" s="13" t="n">
        <v>32</v>
      </c>
      <c r="B33" s="13" t="s">
        <v>133</v>
      </c>
      <c r="C33" s="13" t="s">
        <v>106</v>
      </c>
      <c r="D33" s="13" t="s">
        <v>42</v>
      </c>
      <c r="E33" s="14" t="n">
        <v>411.32</v>
      </c>
      <c r="F33" s="14" t="n">
        <v>593.79</v>
      </c>
    </row>
    <row r="34" customFormat="false" ht="15" hidden="false" customHeight="false" outlineLevel="0" collapsed="false">
      <c r="A34" s="11" t="n">
        <v>33</v>
      </c>
      <c r="B34" s="11" t="s">
        <v>97</v>
      </c>
      <c r="C34" s="11" t="s">
        <v>102</v>
      </c>
      <c r="D34" s="11" t="s">
        <v>99</v>
      </c>
      <c r="E34" s="12" t="n">
        <v>693.6</v>
      </c>
      <c r="F34" s="12" t="n">
        <v>953.36</v>
      </c>
    </row>
    <row r="35" customFormat="false" ht="15" hidden="false" customHeight="false" outlineLevel="0" collapsed="false">
      <c r="A35" s="13" t="n">
        <v>34</v>
      </c>
      <c r="B35" s="13" t="s">
        <v>134</v>
      </c>
      <c r="C35" s="13" t="s">
        <v>124</v>
      </c>
      <c r="D35" s="13" t="s">
        <v>49</v>
      </c>
      <c r="E35" s="14" t="n">
        <v>1076.74</v>
      </c>
      <c r="F35" s="14" t="n">
        <v>1464.23</v>
      </c>
    </row>
    <row r="36" customFormat="false" ht="15" hidden="false" customHeight="false" outlineLevel="0" collapsed="false">
      <c r="A36" s="11" t="n">
        <v>35</v>
      </c>
      <c r="B36" s="11" t="s">
        <v>115</v>
      </c>
      <c r="C36" s="11" t="s">
        <v>135</v>
      </c>
      <c r="D36" s="11" t="s">
        <v>32</v>
      </c>
      <c r="E36" s="12" t="n">
        <v>929.05</v>
      </c>
      <c r="F36" s="12" t="n">
        <v>1884.33</v>
      </c>
    </row>
    <row r="37" customFormat="false" ht="15" hidden="false" customHeight="false" outlineLevel="0" collapsed="false">
      <c r="A37" s="13" t="n">
        <v>36</v>
      </c>
      <c r="B37" s="13" t="s">
        <v>136</v>
      </c>
      <c r="C37" s="13" t="s">
        <v>102</v>
      </c>
      <c r="D37" s="13" t="s">
        <v>42</v>
      </c>
      <c r="E37" s="14" t="n">
        <v>439.36</v>
      </c>
      <c r="F37" s="14" t="n">
        <v>892.86</v>
      </c>
    </row>
    <row r="38" customFormat="false" ht="15" hidden="false" customHeight="false" outlineLevel="0" collapsed="false">
      <c r="A38" s="11" t="n">
        <v>37</v>
      </c>
      <c r="B38" s="11" t="s">
        <v>136</v>
      </c>
      <c r="C38" s="11" t="s">
        <v>104</v>
      </c>
      <c r="D38" s="11" t="s">
        <v>42</v>
      </c>
      <c r="E38" s="12" t="n">
        <v>723.75</v>
      </c>
      <c r="F38" s="12" t="n">
        <v>1030.6</v>
      </c>
    </row>
    <row r="39" customFormat="false" ht="15" hidden="false" customHeight="false" outlineLevel="0" collapsed="false">
      <c r="A39" s="13" t="n">
        <v>38</v>
      </c>
      <c r="B39" s="13" t="s">
        <v>109</v>
      </c>
      <c r="C39" s="13" t="s">
        <v>110</v>
      </c>
      <c r="D39" s="13" t="s">
        <v>111</v>
      </c>
      <c r="E39" s="14" t="n">
        <v>443.39</v>
      </c>
      <c r="F39" s="14" t="n">
        <v>697.97</v>
      </c>
    </row>
    <row r="40" customFormat="false" ht="15" hidden="false" customHeight="false" outlineLevel="0" collapsed="false">
      <c r="A40" s="11" t="n">
        <v>39</v>
      </c>
      <c r="B40" s="11" t="s">
        <v>101</v>
      </c>
      <c r="C40" s="11" t="s">
        <v>102</v>
      </c>
      <c r="D40" s="11" t="s">
        <v>42</v>
      </c>
      <c r="E40" s="12" t="n">
        <v>1135.1</v>
      </c>
      <c r="F40" s="12" t="n">
        <v>1677.18</v>
      </c>
    </row>
    <row r="41" customFormat="false" ht="15" hidden="false" customHeight="false" outlineLevel="0" collapsed="false">
      <c r="A41" s="13" t="n">
        <v>40</v>
      </c>
      <c r="B41" s="13" t="s">
        <v>137</v>
      </c>
      <c r="C41" s="13" t="s">
        <v>90</v>
      </c>
      <c r="D41" s="13" t="s">
        <v>34</v>
      </c>
      <c r="E41" s="14" t="n">
        <v>1115.22</v>
      </c>
      <c r="F41" s="14" t="n">
        <v>2005.35</v>
      </c>
    </row>
    <row r="42" customFormat="false" ht="15" hidden="false" customHeight="false" outlineLevel="0" collapsed="false">
      <c r="A42" s="11" t="n">
        <v>41</v>
      </c>
      <c r="B42" s="11" t="s">
        <v>127</v>
      </c>
      <c r="C42" s="11" t="s">
        <v>93</v>
      </c>
      <c r="D42" s="11" t="s">
        <v>32</v>
      </c>
      <c r="E42" s="12" t="n">
        <v>1193.18</v>
      </c>
      <c r="F42" s="12" t="n">
        <v>1665.89</v>
      </c>
    </row>
    <row r="43" customFormat="false" ht="15" hidden="false" customHeight="false" outlineLevel="0" collapsed="false">
      <c r="A43" s="13" t="n">
        <v>42</v>
      </c>
      <c r="B43" s="13" t="s">
        <v>138</v>
      </c>
      <c r="C43" s="13" t="s">
        <v>104</v>
      </c>
      <c r="D43" s="13" t="s">
        <v>111</v>
      </c>
      <c r="E43" s="14" t="n">
        <v>894.85</v>
      </c>
      <c r="F43" s="14" t="n">
        <v>1224.55</v>
      </c>
    </row>
    <row r="44" customFormat="false" ht="15" hidden="false" customHeight="false" outlineLevel="0" collapsed="false">
      <c r="A44" s="11" t="n">
        <v>43</v>
      </c>
      <c r="B44" s="11" t="s">
        <v>100</v>
      </c>
      <c r="C44" s="11" t="s">
        <v>124</v>
      </c>
      <c r="D44" s="11" t="s">
        <v>42</v>
      </c>
      <c r="E44" s="12" t="n">
        <v>213.62</v>
      </c>
      <c r="F44" s="12" t="n">
        <v>323.48</v>
      </c>
    </row>
    <row r="45" customFormat="false" ht="15" hidden="false" customHeight="false" outlineLevel="0" collapsed="false">
      <c r="A45" s="13" t="n">
        <v>44</v>
      </c>
      <c r="B45" s="13" t="s">
        <v>139</v>
      </c>
      <c r="C45" s="13" t="s">
        <v>93</v>
      </c>
      <c r="D45" s="13" t="s">
        <v>111</v>
      </c>
      <c r="E45" s="14" t="n">
        <v>540.9</v>
      </c>
      <c r="F45" s="14" t="n">
        <v>767.53</v>
      </c>
    </row>
    <row r="46" customFormat="false" ht="15" hidden="false" customHeight="false" outlineLevel="0" collapsed="false">
      <c r="A46" s="11" t="n">
        <v>45</v>
      </c>
      <c r="B46" s="11" t="s">
        <v>103</v>
      </c>
      <c r="C46" s="11" t="s">
        <v>124</v>
      </c>
      <c r="D46" s="11" t="s">
        <v>42</v>
      </c>
      <c r="E46" s="12" t="n">
        <v>66.96</v>
      </c>
      <c r="F46" s="12" t="n">
        <v>117.19</v>
      </c>
    </row>
    <row r="47" customFormat="false" ht="15" hidden="false" customHeight="false" outlineLevel="0" collapsed="false">
      <c r="A47" s="13" t="n">
        <v>46</v>
      </c>
      <c r="B47" s="13" t="s">
        <v>140</v>
      </c>
      <c r="C47" s="13" t="s">
        <v>104</v>
      </c>
      <c r="D47" s="13" t="s">
        <v>119</v>
      </c>
      <c r="E47" s="14" t="n">
        <v>242.1</v>
      </c>
      <c r="F47" s="14" t="n">
        <v>353.28</v>
      </c>
    </row>
    <row r="48" customFormat="false" ht="15" hidden="false" customHeight="false" outlineLevel="0" collapsed="false">
      <c r="A48" s="11" t="n">
        <v>47</v>
      </c>
      <c r="B48" s="11" t="s">
        <v>140</v>
      </c>
      <c r="C48" s="11" t="s">
        <v>98</v>
      </c>
      <c r="D48" s="11" t="s">
        <v>119</v>
      </c>
      <c r="E48" s="12" t="n">
        <v>823.49</v>
      </c>
      <c r="F48" s="12" t="n">
        <v>1762.66</v>
      </c>
    </row>
    <row r="49" customFormat="false" ht="15" hidden="false" customHeight="false" outlineLevel="0" collapsed="false">
      <c r="A49" s="13" t="n">
        <v>48</v>
      </c>
      <c r="B49" s="13" t="s">
        <v>140</v>
      </c>
      <c r="C49" s="13" t="s">
        <v>128</v>
      </c>
      <c r="D49" s="13" t="s">
        <v>119</v>
      </c>
      <c r="E49" s="14" t="n">
        <v>953.97</v>
      </c>
      <c r="F49" s="14" t="n">
        <v>1910.96</v>
      </c>
    </row>
    <row r="50" customFormat="false" ht="15" hidden="false" customHeight="false" outlineLevel="0" collapsed="false">
      <c r="A50" s="11" t="n">
        <v>49</v>
      </c>
      <c r="B50" s="11" t="s">
        <v>141</v>
      </c>
      <c r="C50" s="11" t="s">
        <v>135</v>
      </c>
      <c r="D50" s="11" t="s">
        <v>34</v>
      </c>
      <c r="E50" s="12" t="n">
        <v>1182.26</v>
      </c>
      <c r="F50" s="12" t="n">
        <v>1913.51</v>
      </c>
    </row>
    <row r="51" customFormat="false" ht="15" hidden="false" customHeight="false" outlineLevel="0" collapsed="false">
      <c r="A51" s="13" t="n">
        <v>50</v>
      </c>
      <c r="B51" s="13" t="s">
        <v>118</v>
      </c>
      <c r="C51" s="13" t="s">
        <v>122</v>
      </c>
      <c r="D51" s="13" t="s">
        <v>119</v>
      </c>
      <c r="E51" s="14" t="n">
        <v>634.33</v>
      </c>
      <c r="F51" s="14" t="n">
        <v>1235.47</v>
      </c>
    </row>
    <row r="52" customFormat="false" ht="15" hidden="false" customHeight="false" outlineLevel="0" collapsed="false">
      <c r="A52" s="11" t="n">
        <v>51</v>
      </c>
      <c r="B52" s="11" t="s">
        <v>112</v>
      </c>
      <c r="C52" s="11" t="s">
        <v>124</v>
      </c>
      <c r="D52" s="11" t="s">
        <v>113</v>
      </c>
      <c r="E52" s="12" t="n">
        <v>971.55</v>
      </c>
      <c r="F52" s="12" t="n">
        <v>1406.85</v>
      </c>
    </row>
    <row r="53" customFormat="false" ht="15" hidden="false" customHeight="false" outlineLevel="0" collapsed="false">
      <c r="A53" s="13" t="n">
        <v>52</v>
      </c>
      <c r="B53" s="13" t="s">
        <v>142</v>
      </c>
      <c r="C53" s="13" t="s">
        <v>116</v>
      </c>
      <c r="D53" s="13" t="s">
        <v>143</v>
      </c>
      <c r="E53" s="14" t="n">
        <v>1036.31</v>
      </c>
      <c r="F53" s="14" t="n">
        <v>1485.9</v>
      </c>
    </row>
    <row r="54" customFormat="false" ht="15" hidden="false" customHeight="false" outlineLevel="0" collapsed="false">
      <c r="A54" s="11" t="n">
        <v>53</v>
      </c>
      <c r="B54" s="11" t="s">
        <v>144</v>
      </c>
      <c r="C54" s="11" t="s">
        <v>104</v>
      </c>
      <c r="D54" s="11" t="s">
        <v>49</v>
      </c>
      <c r="E54" s="12" t="n">
        <v>1040.94</v>
      </c>
      <c r="F54" s="12" t="n">
        <v>1505.54</v>
      </c>
    </row>
    <row r="55" customFormat="false" ht="15" hidden="false" customHeight="false" outlineLevel="0" collapsed="false">
      <c r="A55" s="13" t="n">
        <v>54</v>
      </c>
      <c r="B55" s="13" t="s">
        <v>134</v>
      </c>
      <c r="C55" s="13" t="s">
        <v>96</v>
      </c>
      <c r="D55" s="13" t="s">
        <v>49</v>
      </c>
      <c r="E55" s="14" t="n">
        <v>207.54</v>
      </c>
      <c r="F55" s="14" t="n">
        <v>326.59</v>
      </c>
    </row>
    <row r="56" customFormat="false" ht="15" hidden="false" customHeight="false" outlineLevel="0" collapsed="false">
      <c r="A56" s="11" t="n">
        <v>55</v>
      </c>
      <c r="B56" s="11" t="s">
        <v>141</v>
      </c>
      <c r="C56" s="11" t="s">
        <v>96</v>
      </c>
      <c r="D56" s="11" t="s">
        <v>34</v>
      </c>
      <c r="E56" s="12" t="n">
        <v>846.54</v>
      </c>
      <c r="F56" s="12" t="n">
        <v>1503.15</v>
      </c>
    </row>
    <row r="57" customFormat="false" ht="15" hidden="false" customHeight="false" outlineLevel="0" collapsed="false">
      <c r="A57" s="13" t="n">
        <v>56</v>
      </c>
      <c r="B57" s="13" t="s">
        <v>123</v>
      </c>
      <c r="C57" s="13" t="s">
        <v>122</v>
      </c>
      <c r="D57" s="13" t="s">
        <v>32</v>
      </c>
      <c r="E57" s="14" t="n">
        <v>376.84</v>
      </c>
      <c r="F57" s="14" t="n">
        <v>642.13</v>
      </c>
    </row>
    <row r="58" customFormat="false" ht="15" hidden="false" customHeight="false" outlineLevel="0" collapsed="false">
      <c r="A58" s="11" t="n">
        <v>57</v>
      </c>
      <c r="B58" s="11" t="s">
        <v>126</v>
      </c>
      <c r="C58" s="11" t="s">
        <v>121</v>
      </c>
      <c r="D58" s="11" t="s">
        <v>34</v>
      </c>
      <c r="E58" s="12" t="n">
        <v>1099.64</v>
      </c>
      <c r="F58" s="12" t="n">
        <v>2358.67</v>
      </c>
    </row>
    <row r="59" customFormat="false" ht="15" hidden="false" customHeight="false" outlineLevel="0" collapsed="false">
      <c r="A59" s="13" t="n">
        <v>58</v>
      </c>
      <c r="B59" s="13" t="s">
        <v>139</v>
      </c>
      <c r="C59" s="13" t="s">
        <v>121</v>
      </c>
      <c r="D59" s="13" t="s">
        <v>111</v>
      </c>
      <c r="E59" s="14" t="n">
        <v>1108.86</v>
      </c>
      <c r="F59" s="14" t="n">
        <v>1939.92</v>
      </c>
    </row>
    <row r="60" customFormat="false" ht="15" hidden="false" customHeight="false" outlineLevel="0" collapsed="false">
      <c r="A60" s="11" t="n">
        <v>59</v>
      </c>
      <c r="B60" s="11" t="s">
        <v>145</v>
      </c>
      <c r="C60" s="11" t="s">
        <v>96</v>
      </c>
      <c r="D60" s="11" t="s">
        <v>143</v>
      </c>
      <c r="E60" s="12" t="n">
        <v>124.5</v>
      </c>
      <c r="F60" s="12" t="n">
        <v>262.4</v>
      </c>
    </row>
    <row r="61" customFormat="false" ht="15" hidden="false" customHeight="false" outlineLevel="0" collapsed="false">
      <c r="A61" s="13" t="n">
        <v>60</v>
      </c>
      <c r="B61" s="13" t="s">
        <v>146</v>
      </c>
      <c r="C61" s="13" t="s">
        <v>102</v>
      </c>
      <c r="D61" s="13" t="s">
        <v>107</v>
      </c>
      <c r="E61" s="14" t="n">
        <v>500.69</v>
      </c>
      <c r="F61" s="14" t="n">
        <v>930.05</v>
      </c>
    </row>
    <row r="62" customFormat="false" ht="15" hidden="false" customHeight="false" outlineLevel="0" collapsed="false">
      <c r="A62" s="11" t="n">
        <v>61</v>
      </c>
      <c r="B62" s="11" t="s">
        <v>103</v>
      </c>
      <c r="C62" s="11" t="s">
        <v>122</v>
      </c>
      <c r="D62" s="11" t="s">
        <v>42</v>
      </c>
      <c r="E62" s="12" t="n">
        <v>1133.56</v>
      </c>
      <c r="F62" s="12" t="n">
        <v>2161.08</v>
      </c>
    </row>
    <row r="63" customFormat="false" ht="15" hidden="false" customHeight="false" outlineLevel="0" collapsed="false">
      <c r="A63" s="13" t="n">
        <v>62</v>
      </c>
      <c r="B63" s="13" t="s">
        <v>147</v>
      </c>
      <c r="C63" s="13" t="s">
        <v>104</v>
      </c>
      <c r="D63" s="13" t="s">
        <v>113</v>
      </c>
      <c r="E63" s="14" t="n">
        <v>578.57</v>
      </c>
      <c r="F63" s="14" t="n">
        <v>1181.57</v>
      </c>
    </row>
    <row r="64" customFormat="false" ht="15" hidden="false" customHeight="false" outlineLevel="0" collapsed="false">
      <c r="A64" s="11" t="n">
        <v>63</v>
      </c>
      <c r="B64" s="11" t="s">
        <v>120</v>
      </c>
      <c r="C64" s="11" t="s">
        <v>96</v>
      </c>
      <c r="D64" s="11" t="s">
        <v>34</v>
      </c>
      <c r="E64" s="12" t="n">
        <v>23.82</v>
      </c>
      <c r="F64" s="12" t="n">
        <v>34.63</v>
      </c>
    </row>
    <row r="65" customFormat="false" ht="15" hidden="false" customHeight="false" outlineLevel="0" collapsed="false">
      <c r="A65" s="13" t="n">
        <v>64</v>
      </c>
      <c r="B65" s="13" t="s">
        <v>131</v>
      </c>
      <c r="C65" s="13" t="s">
        <v>122</v>
      </c>
      <c r="D65" s="13" t="s">
        <v>49</v>
      </c>
      <c r="E65" s="14" t="n">
        <v>599.11</v>
      </c>
      <c r="F65" s="14" t="n">
        <v>1258.43</v>
      </c>
    </row>
    <row r="66" customFormat="false" ht="15" hidden="false" customHeight="false" outlineLevel="0" collapsed="false">
      <c r="A66" s="11" t="n">
        <v>65</v>
      </c>
      <c r="B66" s="11" t="s">
        <v>131</v>
      </c>
      <c r="C66" s="11" t="s">
        <v>93</v>
      </c>
      <c r="D66" s="11" t="s">
        <v>49</v>
      </c>
      <c r="E66" s="12" t="n">
        <v>49.28</v>
      </c>
      <c r="F66" s="12" t="n">
        <v>70.9</v>
      </c>
    </row>
    <row r="67" customFormat="false" ht="15" hidden="false" customHeight="false" outlineLevel="0" collapsed="false">
      <c r="A67" s="13" t="n">
        <v>66</v>
      </c>
      <c r="B67" s="13" t="s">
        <v>148</v>
      </c>
      <c r="C67" s="13" t="s">
        <v>122</v>
      </c>
      <c r="D67" s="13" t="s">
        <v>99</v>
      </c>
      <c r="E67" s="14" t="n">
        <v>58.57</v>
      </c>
      <c r="F67" s="14" t="n">
        <v>84.22</v>
      </c>
    </row>
    <row r="68" customFormat="false" ht="15" hidden="false" customHeight="false" outlineLevel="0" collapsed="false">
      <c r="A68" s="11" t="n">
        <v>67</v>
      </c>
      <c r="B68" s="11" t="s">
        <v>149</v>
      </c>
      <c r="C68" s="11" t="s">
        <v>93</v>
      </c>
      <c r="D68" s="11" t="s">
        <v>49</v>
      </c>
      <c r="E68" s="12" t="n">
        <v>267.66</v>
      </c>
      <c r="F68" s="12" t="n">
        <v>411.77</v>
      </c>
    </row>
    <row r="69" customFormat="false" ht="15" hidden="false" customHeight="false" outlineLevel="0" collapsed="false">
      <c r="A69" s="13" t="n">
        <v>68</v>
      </c>
      <c r="B69" s="13" t="s">
        <v>131</v>
      </c>
      <c r="C69" s="13" t="s">
        <v>102</v>
      </c>
      <c r="D69" s="13" t="s">
        <v>49</v>
      </c>
      <c r="E69" s="14" t="n">
        <v>1143.55</v>
      </c>
      <c r="F69" s="14" t="n">
        <v>2157.59</v>
      </c>
    </row>
    <row r="70" customFormat="false" ht="15" hidden="false" customHeight="false" outlineLevel="0" collapsed="false">
      <c r="A70" s="11" t="n">
        <v>69</v>
      </c>
      <c r="B70" s="11" t="s">
        <v>148</v>
      </c>
      <c r="C70" s="11" t="s">
        <v>121</v>
      </c>
      <c r="D70" s="11" t="s">
        <v>99</v>
      </c>
      <c r="E70" s="12" t="n">
        <v>554.27</v>
      </c>
      <c r="F70" s="12" t="n">
        <v>762.22</v>
      </c>
    </row>
    <row r="71" customFormat="false" ht="15" hidden="false" customHeight="false" outlineLevel="0" collapsed="false">
      <c r="A71" s="13" t="n">
        <v>70</v>
      </c>
      <c r="B71" s="13" t="s">
        <v>101</v>
      </c>
      <c r="C71" s="13" t="s">
        <v>104</v>
      </c>
      <c r="D71" s="13" t="s">
        <v>42</v>
      </c>
      <c r="E71" s="14" t="n">
        <v>572.1</v>
      </c>
      <c r="F71" s="14" t="n">
        <v>957.45</v>
      </c>
    </row>
    <row r="72" customFormat="false" ht="15" hidden="false" customHeight="false" outlineLevel="0" collapsed="false">
      <c r="A72" s="11" t="n">
        <v>71</v>
      </c>
      <c r="B72" s="11" t="s">
        <v>109</v>
      </c>
      <c r="C72" s="11" t="s">
        <v>96</v>
      </c>
      <c r="D72" s="11" t="s">
        <v>111</v>
      </c>
      <c r="E72" s="12" t="n">
        <v>29.48</v>
      </c>
      <c r="F72" s="12" t="n">
        <v>41.39</v>
      </c>
    </row>
    <row r="73" customFormat="false" ht="15" hidden="false" customHeight="false" outlineLevel="0" collapsed="false">
      <c r="A73" s="13" t="n">
        <v>72</v>
      </c>
      <c r="B73" s="13" t="s">
        <v>134</v>
      </c>
      <c r="C73" s="13" t="s">
        <v>102</v>
      </c>
      <c r="D73" s="13" t="s">
        <v>49</v>
      </c>
      <c r="E73" s="14" t="n">
        <v>932.89</v>
      </c>
      <c r="F73" s="14" t="n">
        <v>1774.79</v>
      </c>
    </row>
    <row r="74" customFormat="false" ht="15" hidden="false" customHeight="false" outlineLevel="0" collapsed="false">
      <c r="A74" s="11" t="n">
        <v>73</v>
      </c>
      <c r="B74" s="11" t="s">
        <v>150</v>
      </c>
      <c r="C74" s="11" t="s">
        <v>122</v>
      </c>
      <c r="D74" s="11" t="s">
        <v>143</v>
      </c>
      <c r="E74" s="12" t="n">
        <v>390.87</v>
      </c>
      <c r="F74" s="12" t="n">
        <v>812</v>
      </c>
    </row>
    <row r="75" customFormat="false" ht="15" hidden="false" customHeight="false" outlineLevel="0" collapsed="false">
      <c r="A75" s="13" t="n">
        <v>74</v>
      </c>
      <c r="B75" s="13" t="s">
        <v>129</v>
      </c>
      <c r="C75" s="13" t="s">
        <v>128</v>
      </c>
      <c r="D75" s="13" t="s">
        <v>111</v>
      </c>
      <c r="E75" s="14" t="n">
        <v>82.84</v>
      </c>
      <c r="F75" s="14" t="n">
        <v>174.81</v>
      </c>
    </row>
    <row r="76" customFormat="false" ht="15" hidden="false" customHeight="false" outlineLevel="0" collapsed="false">
      <c r="A76" s="11" t="n">
        <v>75</v>
      </c>
      <c r="B76" s="11" t="s">
        <v>139</v>
      </c>
      <c r="C76" s="11" t="s">
        <v>116</v>
      </c>
      <c r="D76" s="11" t="s">
        <v>111</v>
      </c>
      <c r="E76" s="12" t="n">
        <v>986.59</v>
      </c>
      <c r="F76" s="12" t="n">
        <v>1456.47</v>
      </c>
    </row>
    <row r="77" customFormat="false" ht="15" hidden="false" customHeight="false" outlineLevel="0" collapsed="false">
      <c r="A77" s="13" t="n">
        <v>76</v>
      </c>
      <c r="B77" s="13" t="s">
        <v>100</v>
      </c>
      <c r="C77" s="13" t="s">
        <v>121</v>
      </c>
      <c r="D77" s="13" t="s">
        <v>42</v>
      </c>
      <c r="E77" s="14" t="n">
        <v>160.72</v>
      </c>
      <c r="F77" s="14" t="n">
        <v>335.83</v>
      </c>
    </row>
    <row r="78" customFormat="false" ht="15" hidden="false" customHeight="false" outlineLevel="0" collapsed="false">
      <c r="A78" s="11" t="n">
        <v>77</v>
      </c>
      <c r="B78" s="11" t="s">
        <v>126</v>
      </c>
      <c r="C78" s="11" t="s">
        <v>96</v>
      </c>
      <c r="D78" s="11" t="s">
        <v>34</v>
      </c>
      <c r="E78" s="12" t="n">
        <v>918.33</v>
      </c>
      <c r="F78" s="12" t="n">
        <v>1374.42</v>
      </c>
    </row>
    <row r="79" customFormat="false" ht="15" hidden="false" customHeight="false" outlineLevel="0" collapsed="false">
      <c r="A79" s="13" t="n">
        <v>78</v>
      </c>
      <c r="B79" s="13" t="s">
        <v>97</v>
      </c>
      <c r="C79" s="13" t="s">
        <v>128</v>
      </c>
      <c r="D79" s="13" t="s">
        <v>99</v>
      </c>
      <c r="E79" s="14" t="n">
        <v>1184.27</v>
      </c>
      <c r="F79" s="14" t="n">
        <v>1668.94</v>
      </c>
    </row>
    <row r="80" customFormat="false" ht="15" hidden="false" customHeight="false" outlineLevel="0" collapsed="false">
      <c r="A80" s="11" t="n">
        <v>79</v>
      </c>
      <c r="B80" s="11" t="s">
        <v>151</v>
      </c>
      <c r="C80" s="11" t="s">
        <v>96</v>
      </c>
      <c r="D80" s="11" t="s">
        <v>49</v>
      </c>
      <c r="E80" s="12" t="n">
        <v>1056.06</v>
      </c>
      <c r="F80" s="12" t="n">
        <v>1850.29</v>
      </c>
    </row>
    <row r="81" customFormat="false" ht="15" hidden="false" customHeight="false" outlineLevel="0" collapsed="false">
      <c r="A81" s="13" t="n">
        <v>80</v>
      </c>
      <c r="B81" s="13" t="s">
        <v>100</v>
      </c>
      <c r="C81" s="13" t="s">
        <v>102</v>
      </c>
      <c r="D81" s="13" t="s">
        <v>42</v>
      </c>
      <c r="E81" s="14" t="n">
        <v>483.97</v>
      </c>
      <c r="F81" s="14" t="n">
        <v>832.92</v>
      </c>
    </row>
    <row r="82" customFormat="false" ht="15" hidden="false" customHeight="false" outlineLevel="0" collapsed="false">
      <c r="A82" s="11" t="n">
        <v>81</v>
      </c>
      <c r="B82" s="11" t="s">
        <v>152</v>
      </c>
      <c r="C82" s="11" t="s">
        <v>122</v>
      </c>
      <c r="D82" s="11" t="s">
        <v>42</v>
      </c>
      <c r="E82" s="12" t="n">
        <v>907.18</v>
      </c>
      <c r="F82" s="12" t="n">
        <v>1337.16</v>
      </c>
    </row>
    <row r="83" customFormat="false" ht="15" hidden="false" customHeight="false" outlineLevel="0" collapsed="false">
      <c r="A83" s="13" t="n">
        <v>82</v>
      </c>
      <c r="B83" s="13" t="s">
        <v>136</v>
      </c>
      <c r="C83" s="13" t="s">
        <v>98</v>
      </c>
      <c r="D83" s="13" t="s">
        <v>42</v>
      </c>
      <c r="E83" s="14" t="n">
        <v>89</v>
      </c>
      <c r="F83" s="14" t="n">
        <v>152.33</v>
      </c>
    </row>
    <row r="84" customFormat="false" ht="15" hidden="false" customHeight="false" outlineLevel="0" collapsed="false">
      <c r="A84" s="11" t="n">
        <v>83</v>
      </c>
      <c r="B84" s="11" t="s">
        <v>100</v>
      </c>
      <c r="C84" s="11" t="s">
        <v>108</v>
      </c>
      <c r="D84" s="11" t="s">
        <v>42</v>
      </c>
      <c r="E84" s="12" t="n">
        <v>894.68</v>
      </c>
      <c r="F84" s="12" t="n">
        <v>1813.61</v>
      </c>
    </row>
    <row r="85" customFormat="false" ht="15" hidden="false" customHeight="false" outlineLevel="0" collapsed="false">
      <c r="A85" s="13" t="n">
        <v>84</v>
      </c>
      <c r="B85" s="13" t="s">
        <v>109</v>
      </c>
      <c r="C85" s="13" t="s">
        <v>122</v>
      </c>
      <c r="D85" s="13" t="s">
        <v>111</v>
      </c>
      <c r="E85" s="14" t="n">
        <v>620.79</v>
      </c>
      <c r="F85" s="14" t="n">
        <v>1049.31</v>
      </c>
    </row>
    <row r="86" customFormat="false" ht="15" hidden="false" customHeight="false" outlineLevel="0" collapsed="false">
      <c r="A86" s="11" t="n">
        <v>85</v>
      </c>
      <c r="B86" s="11" t="s">
        <v>136</v>
      </c>
      <c r="C86" s="11" t="s">
        <v>116</v>
      </c>
      <c r="D86" s="11" t="s">
        <v>42</v>
      </c>
      <c r="E86" s="12" t="n">
        <v>970.93</v>
      </c>
      <c r="F86" s="12" t="n">
        <v>2087.69</v>
      </c>
    </row>
    <row r="87" customFormat="false" ht="15" hidden="false" customHeight="false" outlineLevel="0" collapsed="false">
      <c r="A87" s="13" t="n">
        <v>86</v>
      </c>
      <c r="B87" s="13" t="s">
        <v>153</v>
      </c>
      <c r="C87" s="13" t="s">
        <v>121</v>
      </c>
      <c r="D87" s="13" t="s">
        <v>32</v>
      </c>
      <c r="E87" s="14" t="n">
        <v>759.08</v>
      </c>
      <c r="F87" s="14" t="n">
        <v>1242.8</v>
      </c>
    </row>
    <row r="88" customFormat="false" ht="15" hidden="false" customHeight="false" outlineLevel="0" collapsed="false">
      <c r="A88" s="11" t="n">
        <v>87</v>
      </c>
      <c r="B88" s="11" t="s">
        <v>130</v>
      </c>
      <c r="C88" s="11" t="s">
        <v>110</v>
      </c>
      <c r="D88" s="11" t="s">
        <v>34</v>
      </c>
      <c r="E88" s="12" t="n">
        <v>345.71</v>
      </c>
      <c r="F88" s="12" t="n">
        <v>669.3</v>
      </c>
    </row>
    <row r="89" customFormat="false" ht="15" hidden="false" customHeight="false" outlineLevel="0" collapsed="false">
      <c r="A89" s="13" t="n">
        <v>88</v>
      </c>
      <c r="B89" s="13" t="s">
        <v>129</v>
      </c>
      <c r="C89" s="13" t="s">
        <v>104</v>
      </c>
      <c r="D89" s="13" t="s">
        <v>111</v>
      </c>
      <c r="E89" s="14" t="n">
        <v>189.03</v>
      </c>
      <c r="F89" s="14" t="n">
        <v>391.04</v>
      </c>
    </row>
    <row r="90" customFormat="false" ht="15" hidden="false" customHeight="false" outlineLevel="0" collapsed="false">
      <c r="A90" s="11" t="n">
        <v>89</v>
      </c>
      <c r="B90" s="11" t="s">
        <v>140</v>
      </c>
      <c r="C90" s="11" t="s">
        <v>96</v>
      </c>
      <c r="D90" s="11" t="s">
        <v>119</v>
      </c>
      <c r="E90" s="12" t="n">
        <v>518.26</v>
      </c>
      <c r="F90" s="12" t="n">
        <v>842.71</v>
      </c>
    </row>
    <row r="91" customFormat="false" ht="15" hidden="false" customHeight="false" outlineLevel="0" collapsed="false">
      <c r="A91" s="13" t="n">
        <v>90</v>
      </c>
      <c r="B91" s="13" t="s">
        <v>136</v>
      </c>
      <c r="C91" s="13" t="s">
        <v>121</v>
      </c>
      <c r="D91" s="13" t="s">
        <v>42</v>
      </c>
      <c r="E91" s="14" t="n">
        <v>1136.68</v>
      </c>
      <c r="F91" s="14" t="n">
        <v>2261.14</v>
      </c>
    </row>
    <row r="92" customFormat="false" ht="15" hidden="false" customHeight="false" outlineLevel="0" collapsed="false">
      <c r="A92" s="11" t="n">
        <v>91</v>
      </c>
      <c r="B92" s="11" t="s">
        <v>152</v>
      </c>
      <c r="C92" s="11" t="s">
        <v>124</v>
      </c>
      <c r="D92" s="11" t="s">
        <v>42</v>
      </c>
      <c r="E92" s="12" t="n">
        <v>954.13</v>
      </c>
      <c r="F92" s="12" t="n">
        <v>1295.82</v>
      </c>
    </row>
    <row r="93" customFormat="false" ht="15" hidden="false" customHeight="false" outlineLevel="0" collapsed="false">
      <c r="A93" s="13" t="n">
        <v>92</v>
      </c>
      <c r="B93" s="13" t="s">
        <v>117</v>
      </c>
      <c r="C93" s="13" t="s">
        <v>90</v>
      </c>
      <c r="D93" s="13" t="s">
        <v>107</v>
      </c>
      <c r="E93" s="14" t="n">
        <v>398.44</v>
      </c>
      <c r="F93" s="14" t="n">
        <v>816.12</v>
      </c>
    </row>
    <row r="94" customFormat="false" ht="15" hidden="false" customHeight="false" outlineLevel="0" collapsed="false">
      <c r="A94" s="11" t="n">
        <v>93</v>
      </c>
      <c r="B94" s="11" t="s">
        <v>144</v>
      </c>
      <c r="C94" s="11" t="s">
        <v>121</v>
      </c>
      <c r="D94" s="11" t="s">
        <v>49</v>
      </c>
      <c r="E94" s="12" t="n">
        <v>833.87</v>
      </c>
      <c r="F94" s="12" t="n">
        <v>1276.83</v>
      </c>
    </row>
    <row r="95" customFormat="false" ht="15" hidden="false" customHeight="false" outlineLevel="0" collapsed="false">
      <c r="A95" s="13" t="n">
        <v>94</v>
      </c>
      <c r="B95" s="13" t="s">
        <v>148</v>
      </c>
      <c r="C95" s="13" t="s">
        <v>121</v>
      </c>
      <c r="D95" s="13" t="s">
        <v>99</v>
      </c>
      <c r="E95" s="14" t="n">
        <v>1118.65</v>
      </c>
      <c r="F95" s="14" t="n">
        <v>2120.49</v>
      </c>
    </row>
    <row r="96" customFormat="false" ht="15" hidden="false" customHeight="false" outlineLevel="0" collapsed="false">
      <c r="A96" s="11" t="n">
        <v>95</v>
      </c>
      <c r="B96" s="11" t="s">
        <v>100</v>
      </c>
      <c r="C96" s="11" t="s">
        <v>102</v>
      </c>
      <c r="D96" s="11" t="s">
        <v>42</v>
      </c>
      <c r="E96" s="12" t="n">
        <v>518.97</v>
      </c>
      <c r="F96" s="12" t="n">
        <v>1090.92</v>
      </c>
    </row>
    <row r="97" customFormat="false" ht="15" hidden="false" customHeight="false" outlineLevel="0" collapsed="false">
      <c r="A97" s="13" t="n">
        <v>96</v>
      </c>
      <c r="B97" s="13" t="s">
        <v>101</v>
      </c>
      <c r="C97" s="13" t="s">
        <v>102</v>
      </c>
      <c r="D97" s="13" t="s">
        <v>42</v>
      </c>
      <c r="E97" s="14" t="n">
        <v>139.65</v>
      </c>
      <c r="F97" s="14" t="n">
        <v>269.67</v>
      </c>
    </row>
    <row r="98" customFormat="false" ht="15" hidden="false" customHeight="false" outlineLevel="0" collapsed="false">
      <c r="A98" s="11" t="n">
        <v>97</v>
      </c>
      <c r="B98" s="11" t="s">
        <v>140</v>
      </c>
      <c r="C98" s="11" t="s">
        <v>116</v>
      </c>
      <c r="D98" s="11" t="s">
        <v>119</v>
      </c>
      <c r="E98" s="12" t="n">
        <v>724.37</v>
      </c>
      <c r="F98" s="12" t="n">
        <v>1399.01</v>
      </c>
    </row>
    <row r="99" customFormat="false" ht="15" hidden="false" customHeight="false" outlineLevel="0" collapsed="false">
      <c r="A99" s="13" t="n">
        <v>98</v>
      </c>
      <c r="B99" s="13" t="s">
        <v>114</v>
      </c>
      <c r="C99" s="13" t="s">
        <v>93</v>
      </c>
      <c r="D99" s="13" t="s">
        <v>91</v>
      </c>
      <c r="E99" s="14" t="n">
        <v>649.6</v>
      </c>
      <c r="F99" s="14" t="n">
        <v>1195.34</v>
      </c>
    </row>
    <row r="100" customFormat="false" ht="15" hidden="false" customHeight="false" outlineLevel="0" collapsed="false">
      <c r="A100" s="11" t="n">
        <v>99</v>
      </c>
      <c r="B100" s="11" t="s">
        <v>154</v>
      </c>
      <c r="C100" s="11" t="s">
        <v>128</v>
      </c>
      <c r="D100" s="11" t="s">
        <v>99</v>
      </c>
      <c r="E100" s="12" t="n">
        <v>395.66</v>
      </c>
      <c r="F100" s="12" t="n">
        <v>785.6</v>
      </c>
    </row>
    <row r="101" customFormat="false" ht="15" hidden="false" customHeight="false" outlineLevel="0" collapsed="false">
      <c r="A101" s="13" t="n">
        <v>100</v>
      </c>
      <c r="B101" s="13" t="s">
        <v>105</v>
      </c>
      <c r="C101" s="13" t="s">
        <v>121</v>
      </c>
      <c r="D101" s="13" t="s">
        <v>107</v>
      </c>
      <c r="E101" s="14" t="n">
        <v>675.55</v>
      </c>
      <c r="F101" s="14" t="n">
        <v>1351.82</v>
      </c>
    </row>
    <row r="102" customFormat="false" ht="15" hidden="false" customHeight="false" outlineLevel="0" collapsed="false">
      <c r="A102" s="11" t="n">
        <v>101</v>
      </c>
      <c r="B102" s="11" t="s">
        <v>136</v>
      </c>
      <c r="C102" s="11" t="s">
        <v>106</v>
      </c>
      <c r="D102" s="11" t="s">
        <v>42</v>
      </c>
      <c r="E102" s="12" t="n">
        <v>340.03</v>
      </c>
      <c r="F102" s="12" t="n">
        <v>660.06</v>
      </c>
    </row>
    <row r="103" customFormat="false" ht="15" hidden="false" customHeight="false" outlineLevel="0" collapsed="false">
      <c r="A103" s="13" t="n">
        <v>102</v>
      </c>
      <c r="B103" s="13" t="s">
        <v>95</v>
      </c>
      <c r="C103" s="13" t="s">
        <v>102</v>
      </c>
      <c r="D103" s="13" t="s">
        <v>32</v>
      </c>
      <c r="E103" s="14" t="n">
        <v>1032.52</v>
      </c>
      <c r="F103" s="14" t="n">
        <v>1638.16</v>
      </c>
    </row>
    <row r="104" customFormat="false" ht="15" hidden="false" customHeight="false" outlineLevel="0" collapsed="false">
      <c r="A104" s="11" t="n">
        <v>103</v>
      </c>
      <c r="B104" s="11" t="s">
        <v>100</v>
      </c>
      <c r="C104" s="11" t="s">
        <v>93</v>
      </c>
      <c r="D104" s="11" t="s">
        <v>42</v>
      </c>
      <c r="E104" s="12" t="n">
        <v>378.13</v>
      </c>
      <c r="F104" s="12" t="n">
        <v>670.64</v>
      </c>
    </row>
    <row r="105" customFormat="false" ht="15" hidden="false" customHeight="false" outlineLevel="0" collapsed="false">
      <c r="A105" s="13" t="n">
        <v>104</v>
      </c>
      <c r="B105" s="13" t="s">
        <v>101</v>
      </c>
      <c r="C105" s="13" t="s">
        <v>96</v>
      </c>
      <c r="D105" s="13" t="s">
        <v>42</v>
      </c>
      <c r="E105" s="14" t="n">
        <v>847.03</v>
      </c>
      <c r="F105" s="14" t="n">
        <v>1410.69</v>
      </c>
    </row>
    <row r="106" customFormat="false" ht="15" hidden="false" customHeight="false" outlineLevel="0" collapsed="false">
      <c r="A106" s="11" t="n">
        <v>105</v>
      </c>
      <c r="B106" s="11" t="s">
        <v>148</v>
      </c>
      <c r="C106" s="11" t="s">
        <v>98</v>
      </c>
      <c r="D106" s="11" t="s">
        <v>99</v>
      </c>
      <c r="E106" s="12" t="n">
        <v>788.84</v>
      </c>
      <c r="F106" s="12" t="n">
        <v>1473.08</v>
      </c>
    </row>
    <row r="107" customFormat="false" ht="15" hidden="false" customHeight="false" outlineLevel="0" collapsed="false">
      <c r="A107" s="13" t="n">
        <v>106</v>
      </c>
      <c r="B107" s="13" t="s">
        <v>101</v>
      </c>
      <c r="C107" s="13" t="s">
        <v>135</v>
      </c>
      <c r="D107" s="13" t="s">
        <v>42</v>
      </c>
      <c r="E107" s="14" t="n">
        <v>914.48</v>
      </c>
      <c r="F107" s="14" t="n">
        <v>1605.96</v>
      </c>
    </row>
    <row r="108" customFormat="false" ht="15" hidden="false" customHeight="false" outlineLevel="0" collapsed="false">
      <c r="A108" s="11" t="n">
        <v>107</v>
      </c>
      <c r="B108" s="11" t="s">
        <v>144</v>
      </c>
      <c r="C108" s="11" t="s">
        <v>102</v>
      </c>
      <c r="D108" s="11" t="s">
        <v>49</v>
      </c>
      <c r="E108" s="12" t="n">
        <v>520.49</v>
      </c>
      <c r="F108" s="12" t="n">
        <v>1044.1</v>
      </c>
    </row>
    <row r="109" customFormat="false" ht="15" hidden="false" customHeight="false" outlineLevel="0" collapsed="false">
      <c r="A109" s="13" t="n">
        <v>108</v>
      </c>
      <c r="B109" s="13" t="s">
        <v>130</v>
      </c>
      <c r="C109" s="13" t="s">
        <v>98</v>
      </c>
      <c r="D109" s="13" t="s">
        <v>34</v>
      </c>
      <c r="E109" s="14" t="n">
        <v>1142.13</v>
      </c>
      <c r="F109" s="14" t="n">
        <v>2354.14</v>
      </c>
    </row>
    <row r="110" customFormat="false" ht="15" hidden="false" customHeight="false" outlineLevel="0" collapsed="false">
      <c r="A110" s="11" t="n">
        <v>109</v>
      </c>
      <c r="B110" s="11" t="s">
        <v>134</v>
      </c>
      <c r="C110" s="11" t="s">
        <v>102</v>
      </c>
      <c r="D110" s="11" t="s">
        <v>49</v>
      </c>
      <c r="E110" s="12" t="n">
        <v>973.25</v>
      </c>
      <c r="F110" s="12" t="n">
        <v>1894.95</v>
      </c>
    </row>
    <row r="111" customFormat="false" ht="15" hidden="false" customHeight="false" outlineLevel="0" collapsed="false">
      <c r="A111" s="13" t="n">
        <v>110</v>
      </c>
      <c r="B111" s="13" t="s">
        <v>95</v>
      </c>
      <c r="C111" s="13" t="s">
        <v>106</v>
      </c>
      <c r="D111" s="13" t="s">
        <v>32</v>
      </c>
      <c r="E111" s="14" t="n">
        <v>316.12</v>
      </c>
      <c r="F111" s="14" t="n">
        <v>427.86</v>
      </c>
    </row>
    <row r="112" customFormat="false" ht="15" hidden="false" customHeight="false" outlineLevel="0" collapsed="false">
      <c r="A112" s="11" t="n">
        <v>111</v>
      </c>
      <c r="B112" s="11" t="s">
        <v>92</v>
      </c>
      <c r="C112" s="11" t="s">
        <v>110</v>
      </c>
      <c r="D112" s="11" t="s">
        <v>94</v>
      </c>
      <c r="E112" s="12" t="n">
        <v>576.42</v>
      </c>
      <c r="F112" s="12" t="n">
        <v>818.64</v>
      </c>
    </row>
    <row r="113" customFormat="false" ht="15" hidden="false" customHeight="false" outlineLevel="0" collapsed="false">
      <c r="A113" s="13" t="n">
        <v>112</v>
      </c>
      <c r="B113" s="13" t="s">
        <v>150</v>
      </c>
      <c r="C113" s="13" t="s">
        <v>121</v>
      </c>
      <c r="D113" s="13" t="s">
        <v>143</v>
      </c>
      <c r="E113" s="14" t="n">
        <v>629.23</v>
      </c>
      <c r="F113" s="14" t="n">
        <v>1181.8</v>
      </c>
    </row>
    <row r="114" customFormat="false" ht="15" hidden="false" customHeight="false" outlineLevel="0" collapsed="false">
      <c r="A114" s="11" t="n">
        <v>113</v>
      </c>
      <c r="B114" s="11" t="s">
        <v>155</v>
      </c>
      <c r="C114" s="11" t="s">
        <v>124</v>
      </c>
      <c r="D114" s="11" t="s">
        <v>94</v>
      </c>
      <c r="E114" s="12" t="n">
        <v>840.39</v>
      </c>
      <c r="F114" s="12" t="n">
        <v>1326.44</v>
      </c>
    </row>
    <row r="115" customFormat="false" ht="15" hidden="false" customHeight="false" outlineLevel="0" collapsed="false">
      <c r="A115" s="13" t="n">
        <v>114</v>
      </c>
      <c r="B115" s="13" t="s">
        <v>125</v>
      </c>
      <c r="C115" s="13" t="s">
        <v>128</v>
      </c>
      <c r="D115" s="13" t="s">
        <v>107</v>
      </c>
      <c r="E115" s="14" t="n">
        <v>749.88</v>
      </c>
      <c r="F115" s="14" t="n">
        <v>1120.16</v>
      </c>
    </row>
    <row r="116" customFormat="false" ht="15" hidden="false" customHeight="false" outlineLevel="0" collapsed="false">
      <c r="A116" s="11" t="n">
        <v>115</v>
      </c>
      <c r="B116" s="11" t="s">
        <v>125</v>
      </c>
      <c r="C116" s="11" t="s">
        <v>104</v>
      </c>
      <c r="D116" s="11" t="s">
        <v>107</v>
      </c>
      <c r="E116" s="12" t="n">
        <v>873.25</v>
      </c>
      <c r="F116" s="12" t="n">
        <v>1666.7</v>
      </c>
    </row>
    <row r="117" customFormat="false" ht="15" hidden="false" customHeight="false" outlineLevel="0" collapsed="false">
      <c r="A117" s="13" t="n">
        <v>116</v>
      </c>
      <c r="B117" s="13" t="s">
        <v>153</v>
      </c>
      <c r="C117" s="13" t="s">
        <v>106</v>
      </c>
      <c r="D117" s="13" t="s">
        <v>32</v>
      </c>
      <c r="E117" s="14" t="n">
        <v>724.77</v>
      </c>
      <c r="F117" s="14" t="n">
        <v>1276.05</v>
      </c>
    </row>
    <row r="118" customFormat="false" ht="15" hidden="false" customHeight="false" outlineLevel="0" collapsed="false">
      <c r="A118" s="11" t="n">
        <v>117</v>
      </c>
      <c r="B118" s="11" t="s">
        <v>92</v>
      </c>
      <c r="C118" s="11" t="s">
        <v>108</v>
      </c>
      <c r="D118" s="11" t="s">
        <v>94</v>
      </c>
      <c r="E118" s="12" t="n">
        <v>610.1</v>
      </c>
      <c r="F118" s="12" t="n">
        <v>1098.82</v>
      </c>
    </row>
    <row r="119" customFormat="false" ht="15" hidden="false" customHeight="false" outlineLevel="0" collapsed="false">
      <c r="A119" s="13" t="n">
        <v>118</v>
      </c>
      <c r="B119" s="13" t="s">
        <v>139</v>
      </c>
      <c r="C119" s="13" t="s">
        <v>128</v>
      </c>
      <c r="D119" s="13" t="s">
        <v>111</v>
      </c>
      <c r="E119" s="14" t="n">
        <v>196.68</v>
      </c>
      <c r="F119" s="14" t="n">
        <v>332.09</v>
      </c>
    </row>
    <row r="120" customFormat="false" ht="15" hidden="false" customHeight="false" outlineLevel="0" collapsed="false">
      <c r="A120" s="11" t="n">
        <v>119</v>
      </c>
      <c r="B120" s="11" t="s">
        <v>105</v>
      </c>
      <c r="C120" s="11" t="s">
        <v>135</v>
      </c>
      <c r="D120" s="11" t="s">
        <v>107</v>
      </c>
      <c r="E120" s="12" t="n">
        <v>1136.4</v>
      </c>
      <c r="F120" s="12" t="n">
        <v>2249.91</v>
      </c>
    </row>
    <row r="121" customFormat="false" ht="15" hidden="false" customHeight="false" outlineLevel="0" collapsed="false">
      <c r="A121" s="13" t="n">
        <v>120</v>
      </c>
      <c r="B121" s="13" t="s">
        <v>89</v>
      </c>
      <c r="C121" s="13" t="s">
        <v>124</v>
      </c>
      <c r="D121" s="13" t="s">
        <v>91</v>
      </c>
      <c r="E121" s="14" t="n">
        <v>767.6</v>
      </c>
      <c r="F121" s="14" t="n">
        <v>1148.43</v>
      </c>
    </row>
    <row r="122" customFormat="false" ht="15" hidden="false" customHeight="false" outlineLevel="0" collapsed="false">
      <c r="A122" s="11" t="n">
        <v>121</v>
      </c>
      <c r="B122" s="11" t="s">
        <v>134</v>
      </c>
      <c r="C122" s="11" t="s">
        <v>135</v>
      </c>
      <c r="D122" s="11" t="s">
        <v>49</v>
      </c>
      <c r="E122" s="12" t="n">
        <v>1128.79</v>
      </c>
      <c r="F122" s="12" t="n">
        <v>1614.87</v>
      </c>
    </row>
    <row r="123" customFormat="false" ht="15" hidden="false" customHeight="false" outlineLevel="0" collapsed="false">
      <c r="A123" s="13" t="n">
        <v>122</v>
      </c>
      <c r="B123" s="13" t="s">
        <v>89</v>
      </c>
      <c r="C123" s="13" t="s">
        <v>104</v>
      </c>
      <c r="D123" s="13" t="s">
        <v>91</v>
      </c>
      <c r="E123" s="14" t="n">
        <v>1036.28</v>
      </c>
      <c r="F123" s="14" t="n">
        <v>1430.01</v>
      </c>
    </row>
    <row r="124" customFormat="false" ht="15" hidden="false" customHeight="false" outlineLevel="0" collapsed="false">
      <c r="A124" s="11" t="n">
        <v>123</v>
      </c>
      <c r="B124" s="11" t="s">
        <v>156</v>
      </c>
      <c r="C124" s="11" t="s">
        <v>128</v>
      </c>
      <c r="D124" s="11" t="s">
        <v>143</v>
      </c>
      <c r="E124" s="12" t="n">
        <v>872.55</v>
      </c>
      <c r="F124" s="12" t="n">
        <v>1844.44</v>
      </c>
    </row>
    <row r="125" customFormat="false" ht="15" hidden="false" customHeight="false" outlineLevel="0" collapsed="false">
      <c r="A125" s="13" t="n">
        <v>124</v>
      </c>
      <c r="B125" s="13" t="s">
        <v>127</v>
      </c>
      <c r="C125" s="13" t="s">
        <v>108</v>
      </c>
      <c r="D125" s="13" t="s">
        <v>32</v>
      </c>
      <c r="E125" s="14" t="n">
        <v>891.51</v>
      </c>
      <c r="F125" s="14" t="n">
        <v>1592.13</v>
      </c>
    </row>
    <row r="126" customFormat="false" ht="15" hidden="false" customHeight="false" outlineLevel="0" collapsed="false">
      <c r="A126" s="11" t="n">
        <v>125</v>
      </c>
      <c r="B126" s="11" t="s">
        <v>157</v>
      </c>
      <c r="C126" s="11" t="s">
        <v>106</v>
      </c>
      <c r="D126" s="11" t="s">
        <v>91</v>
      </c>
      <c r="E126" s="12" t="n">
        <v>619.97</v>
      </c>
      <c r="F126" s="12" t="n">
        <v>1117.7</v>
      </c>
    </row>
    <row r="127" customFormat="false" ht="15" hidden="false" customHeight="false" outlineLevel="0" collapsed="false">
      <c r="A127" s="13" t="n">
        <v>126</v>
      </c>
      <c r="B127" s="13" t="s">
        <v>150</v>
      </c>
      <c r="C127" s="13" t="s">
        <v>128</v>
      </c>
      <c r="D127" s="13" t="s">
        <v>143</v>
      </c>
      <c r="E127" s="14" t="n">
        <v>792.51</v>
      </c>
      <c r="F127" s="14" t="n">
        <v>1335.13</v>
      </c>
    </row>
    <row r="128" customFormat="false" ht="15" hidden="false" customHeight="false" outlineLevel="0" collapsed="false">
      <c r="A128" s="11" t="n">
        <v>127</v>
      </c>
      <c r="B128" s="11" t="s">
        <v>120</v>
      </c>
      <c r="C128" s="11" t="s">
        <v>121</v>
      </c>
      <c r="D128" s="11" t="s">
        <v>34</v>
      </c>
      <c r="E128" s="12" t="n">
        <v>918.13</v>
      </c>
      <c r="F128" s="12" t="n">
        <v>1356.61</v>
      </c>
    </row>
    <row r="129" customFormat="false" ht="15" hidden="false" customHeight="false" outlineLevel="0" collapsed="false">
      <c r="A129" s="13" t="n">
        <v>128</v>
      </c>
      <c r="B129" s="13" t="s">
        <v>97</v>
      </c>
      <c r="C129" s="13" t="s">
        <v>98</v>
      </c>
      <c r="D129" s="13" t="s">
        <v>99</v>
      </c>
      <c r="E129" s="14" t="n">
        <v>154.53</v>
      </c>
      <c r="F129" s="14" t="n">
        <v>331.63</v>
      </c>
    </row>
    <row r="130" customFormat="false" ht="15" hidden="false" customHeight="false" outlineLevel="0" collapsed="false">
      <c r="A130" s="11" t="n">
        <v>129</v>
      </c>
      <c r="B130" s="11" t="s">
        <v>115</v>
      </c>
      <c r="C130" s="11" t="s">
        <v>124</v>
      </c>
      <c r="D130" s="11" t="s">
        <v>32</v>
      </c>
      <c r="E130" s="12" t="n">
        <v>180.36</v>
      </c>
      <c r="F130" s="12" t="n">
        <v>328.48</v>
      </c>
    </row>
    <row r="131" customFormat="false" ht="15" hidden="false" customHeight="false" outlineLevel="0" collapsed="false">
      <c r="A131" s="13" t="n">
        <v>130</v>
      </c>
      <c r="B131" s="13" t="s">
        <v>141</v>
      </c>
      <c r="C131" s="13" t="s">
        <v>110</v>
      </c>
      <c r="D131" s="13" t="s">
        <v>34</v>
      </c>
      <c r="E131" s="14" t="n">
        <v>301.08</v>
      </c>
      <c r="F131" s="14" t="n">
        <v>427.27</v>
      </c>
    </row>
    <row r="132" customFormat="false" ht="15" hidden="false" customHeight="false" outlineLevel="0" collapsed="false">
      <c r="A132" s="11" t="n">
        <v>131</v>
      </c>
      <c r="B132" s="11" t="s">
        <v>115</v>
      </c>
      <c r="C132" s="11" t="s">
        <v>135</v>
      </c>
      <c r="D132" s="11" t="s">
        <v>32</v>
      </c>
      <c r="E132" s="12" t="n">
        <v>590.96</v>
      </c>
      <c r="F132" s="12" t="n">
        <v>866.61</v>
      </c>
    </row>
    <row r="133" customFormat="false" ht="15" hidden="false" customHeight="false" outlineLevel="0" collapsed="false">
      <c r="A133" s="13" t="n">
        <v>132</v>
      </c>
      <c r="B133" s="13" t="s">
        <v>146</v>
      </c>
      <c r="C133" s="13" t="s">
        <v>98</v>
      </c>
      <c r="D133" s="13" t="s">
        <v>107</v>
      </c>
      <c r="E133" s="14" t="n">
        <v>832.81</v>
      </c>
      <c r="F133" s="14" t="n">
        <v>1714.13</v>
      </c>
    </row>
    <row r="134" customFormat="false" ht="15" hidden="false" customHeight="false" outlineLevel="0" collapsed="false">
      <c r="A134" s="11" t="n">
        <v>133</v>
      </c>
      <c r="B134" s="11" t="s">
        <v>112</v>
      </c>
      <c r="C134" s="11" t="s">
        <v>98</v>
      </c>
      <c r="D134" s="11" t="s">
        <v>113</v>
      </c>
      <c r="E134" s="12" t="n">
        <v>422.68</v>
      </c>
      <c r="F134" s="12" t="n">
        <v>842.47</v>
      </c>
    </row>
    <row r="135" customFormat="false" ht="15" hidden="false" customHeight="false" outlineLevel="0" collapsed="false">
      <c r="A135" s="13" t="n">
        <v>134</v>
      </c>
      <c r="B135" s="13" t="s">
        <v>109</v>
      </c>
      <c r="C135" s="13" t="s">
        <v>121</v>
      </c>
      <c r="D135" s="13" t="s">
        <v>111</v>
      </c>
      <c r="E135" s="14" t="n">
        <v>518.17</v>
      </c>
      <c r="F135" s="14" t="n">
        <v>1003.03</v>
      </c>
    </row>
    <row r="136" customFormat="false" ht="15" hidden="false" customHeight="false" outlineLevel="0" collapsed="false">
      <c r="A136" s="11" t="n">
        <v>135</v>
      </c>
      <c r="B136" s="11" t="s">
        <v>156</v>
      </c>
      <c r="C136" s="11" t="s">
        <v>121</v>
      </c>
      <c r="D136" s="11" t="s">
        <v>143</v>
      </c>
      <c r="E136" s="12" t="n">
        <v>1150.2</v>
      </c>
      <c r="F136" s="12" t="n">
        <v>1808.14</v>
      </c>
    </row>
    <row r="137" customFormat="false" ht="15" hidden="false" customHeight="false" outlineLevel="0" collapsed="false">
      <c r="A137" s="13" t="n">
        <v>136</v>
      </c>
      <c r="B137" s="13" t="s">
        <v>120</v>
      </c>
      <c r="C137" s="13" t="s">
        <v>96</v>
      </c>
      <c r="D137" s="13" t="s">
        <v>34</v>
      </c>
      <c r="E137" s="14" t="n">
        <v>952.52</v>
      </c>
      <c r="F137" s="14" t="n">
        <v>1688.14</v>
      </c>
    </row>
    <row r="138" customFormat="false" ht="15" hidden="false" customHeight="false" outlineLevel="0" collapsed="false">
      <c r="A138" s="11" t="n">
        <v>137</v>
      </c>
      <c r="B138" s="11" t="s">
        <v>145</v>
      </c>
      <c r="C138" s="11" t="s">
        <v>93</v>
      </c>
      <c r="D138" s="11" t="s">
        <v>143</v>
      </c>
      <c r="E138" s="12" t="n">
        <v>238.53</v>
      </c>
      <c r="F138" s="12" t="n">
        <v>362.88</v>
      </c>
    </row>
    <row r="139" customFormat="false" ht="15" hidden="false" customHeight="false" outlineLevel="0" collapsed="false">
      <c r="A139" s="13" t="n">
        <v>138</v>
      </c>
      <c r="B139" s="13" t="s">
        <v>148</v>
      </c>
      <c r="C139" s="13" t="s">
        <v>93</v>
      </c>
      <c r="D139" s="13" t="s">
        <v>99</v>
      </c>
      <c r="E139" s="14" t="n">
        <v>290.54</v>
      </c>
      <c r="F139" s="14" t="n">
        <v>513.26</v>
      </c>
    </row>
    <row r="140" customFormat="false" ht="15" hidden="false" customHeight="false" outlineLevel="0" collapsed="false">
      <c r="A140" s="11" t="n">
        <v>139</v>
      </c>
      <c r="B140" s="11" t="s">
        <v>133</v>
      </c>
      <c r="C140" s="11" t="s">
        <v>108</v>
      </c>
      <c r="D140" s="11" t="s">
        <v>42</v>
      </c>
      <c r="E140" s="12" t="n">
        <v>1091.22</v>
      </c>
      <c r="F140" s="12" t="n">
        <v>1567.04</v>
      </c>
    </row>
    <row r="141" customFormat="false" ht="15" hidden="false" customHeight="false" outlineLevel="0" collapsed="false">
      <c r="A141" s="13" t="n">
        <v>140</v>
      </c>
      <c r="B141" s="13" t="s">
        <v>103</v>
      </c>
      <c r="C141" s="13" t="s">
        <v>128</v>
      </c>
      <c r="D141" s="13" t="s">
        <v>42</v>
      </c>
      <c r="E141" s="14" t="n">
        <v>194.01</v>
      </c>
      <c r="F141" s="14" t="n">
        <v>362.38</v>
      </c>
    </row>
    <row r="142" customFormat="false" ht="15" hidden="false" customHeight="false" outlineLevel="0" collapsed="false">
      <c r="A142" s="11" t="n">
        <v>141</v>
      </c>
      <c r="B142" s="11" t="s">
        <v>137</v>
      </c>
      <c r="C142" s="11" t="s">
        <v>106</v>
      </c>
      <c r="D142" s="11" t="s">
        <v>34</v>
      </c>
      <c r="E142" s="12" t="n">
        <v>535.56</v>
      </c>
      <c r="F142" s="12" t="n">
        <v>831.56</v>
      </c>
    </row>
    <row r="143" customFormat="false" ht="15" hidden="false" customHeight="false" outlineLevel="0" collapsed="false">
      <c r="A143" s="13" t="n">
        <v>142</v>
      </c>
      <c r="B143" s="13" t="s">
        <v>158</v>
      </c>
      <c r="C143" s="13" t="s">
        <v>96</v>
      </c>
      <c r="D143" s="13" t="s">
        <v>119</v>
      </c>
      <c r="E143" s="14" t="n">
        <v>147.64</v>
      </c>
      <c r="F143" s="14" t="n">
        <v>280.82</v>
      </c>
    </row>
    <row r="144" customFormat="false" ht="15" hidden="false" customHeight="false" outlineLevel="0" collapsed="false">
      <c r="A144" s="11" t="n">
        <v>143</v>
      </c>
      <c r="B144" s="11" t="s">
        <v>118</v>
      </c>
      <c r="C144" s="11" t="s">
        <v>121</v>
      </c>
      <c r="D144" s="11" t="s">
        <v>119</v>
      </c>
      <c r="E144" s="12" t="n">
        <v>746.87</v>
      </c>
      <c r="F144" s="12" t="n">
        <v>1399.62</v>
      </c>
    </row>
    <row r="145" customFormat="false" ht="15" hidden="false" customHeight="false" outlineLevel="0" collapsed="false">
      <c r="A145" s="13" t="n">
        <v>144</v>
      </c>
      <c r="B145" s="13" t="s">
        <v>130</v>
      </c>
      <c r="C145" s="13" t="s">
        <v>104</v>
      </c>
      <c r="D145" s="13" t="s">
        <v>34</v>
      </c>
      <c r="E145" s="14" t="n">
        <v>74.74</v>
      </c>
      <c r="F145" s="14" t="n">
        <v>155.5</v>
      </c>
    </row>
    <row r="146" customFormat="false" ht="15" hidden="false" customHeight="false" outlineLevel="0" collapsed="false">
      <c r="A146" s="11" t="n">
        <v>145</v>
      </c>
      <c r="B146" s="11" t="s">
        <v>115</v>
      </c>
      <c r="C146" s="11" t="s">
        <v>124</v>
      </c>
      <c r="D146" s="11" t="s">
        <v>32</v>
      </c>
      <c r="E146" s="12" t="n">
        <v>176.09</v>
      </c>
      <c r="F146" s="12" t="n">
        <v>381.3</v>
      </c>
    </row>
    <row r="147" customFormat="false" ht="15" hidden="false" customHeight="false" outlineLevel="0" collapsed="false">
      <c r="A147" s="13" t="n">
        <v>146</v>
      </c>
      <c r="B147" s="13" t="s">
        <v>115</v>
      </c>
      <c r="C147" s="13" t="s">
        <v>110</v>
      </c>
      <c r="D147" s="13" t="s">
        <v>32</v>
      </c>
      <c r="E147" s="14" t="n">
        <v>1143.5</v>
      </c>
      <c r="F147" s="14" t="n">
        <v>2422.21</v>
      </c>
    </row>
    <row r="148" customFormat="false" ht="15" hidden="false" customHeight="false" outlineLevel="0" collapsed="false">
      <c r="A148" s="11" t="n">
        <v>147</v>
      </c>
      <c r="B148" s="11" t="s">
        <v>146</v>
      </c>
      <c r="C148" s="11" t="s">
        <v>98</v>
      </c>
      <c r="D148" s="11" t="s">
        <v>107</v>
      </c>
      <c r="E148" s="12" t="n">
        <v>922.81</v>
      </c>
      <c r="F148" s="12" t="n">
        <v>1531.42</v>
      </c>
    </row>
    <row r="149" customFormat="false" ht="15" hidden="false" customHeight="false" outlineLevel="0" collapsed="false">
      <c r="A149" s="13" t="n">
        <v>148</v>
      </c>
      <c r="B149" s="13" t="s">
        <v>156</v>
      </c>
      <c r="C149" s="13" t="s">
        <v>98</v>
      </c>
      <c r="D149" s="13" t="s">
        <v>143</v>
      </c>
      <c r="E149" s="14" t="n">
        <v>890.94</v>
      </c>
      <c r="F149" s="14" t="n">
        <v>1617.31</v>
      </c>
    </row>
    <row r="150" customFormat="false" ht="15" hidden="false" customHeight="false" outlineLevel="0" collapsed="false">
      <c r="A150" s="11" t="n">
        <v>149</v>
      </c>
      <c r="B150" s="11" t="s">
        <v>140</v>
      </c>
      <c r="C150" s="11" t="s">
        <v>124</v>
      </c>
      <c r="D150" s="11" t="s">
        <v>119</v>
      </c>
      <c r="E150" s="12" t="n">
        <v>963.86</v>
      </c>
      <c r="F150" s="12" t="n">
        <v>1879.73</v>
      </c>
    </row>
    <row r="151" customFormat="false" ht="15" hidden="false" customHeight="false" outlineLevel="0" collapsed="false">
      <c r="A151" s="13" t="n">
        <v>150</v>
      </c>
      <c r="B151" s="13" t="s">
        <v>136</v>
      </c>
      <c r="C151" s="13" t="s">
        <v>135</v>
      </c>
      <c r="D151" s="13" t="s">
        <v>42</v>
      </c>
      <c r="E151" s="14" t="n">
        <v>365.03</v>
      </c>
      <c r="F151" s="14" t="n">
        <v>735.95</v>
      </c>
    </row>
    <row r="152" customFormat="false" ht="15" hidden="false" customHeight="false" outlineLevel="0" collapsed="false">
      <c r="A152" s="11" t="n">
        <v>151</v>
      </c>
      <c r="B152" s="11" t="s">
        <v>140</v>
      </c>
      <c r="C152" s="11" t="s">
        <v>110</v>
      </c>
      <c r="D152" s="11" t="s">
        <v>119</v>
      </c>
      <c r="E152" s="12" t="n">
        <v>560.49</v>
      </c>
      <c r="F152" s="12" t="n">
        <v>922.57</v>
      </c>
    </row>
    <row r="153" customFormat="false" ht="15" hidden="false" customHeight="false" outlineLevel="0" collapsed="false">
      <c r="A153" s="13" t="n">
        <v>152</v>
      </c>
      <c r="B153" s="13" t="s">
        <v>130</v>
      </c>
      <c r="C153" s="13" t="s">
        <v>110</v>
      </c>
      <c r="D153" s="13" t="s">
        <v>34</v>
      </c>
      <c r="E153" s="14" t="n">
        <v>631.88</v>
      </c>
      <c r="F153" s="14" t="n">
        <v>1189.71</v>
      </c>
    </row>
    <row r="154" customFormat="false" ht="15" hidden="false" customHeight="false" outlineLevel="0" collapsed="false">
      <c r="A154" s="11" t="n">
        <v>153</v>
      </c>
      <c r="B154" s="11" t="s">
        <v>109</v>
      </c>
      <c r="C154" s="11" t="s">
        <v>102</v>
      </c>
      <c r="D154" s="11" t="s">
        <v>111</v>
      </c>
      <c r="E154" s="12" t="n">
        <v>945.08</v>
      </c>
      <c r="F154" s="12" t="n">
        <v>1333.25</v>
      </c>
    </row>
    <row r="155" customFormat="false" ht="15" hidden="false" customHeight="false" outlineLevel="0" collapsed="false">
      <c r="A155" s="13" t="n">
        <v>154</v>
      </c>
      <c r="B155" s="13" t="s">
        <v>132</v>
      </c>
      <c r="C155" s="13" t="s">
        <v>108</v>
      </c>
      <c r="D155" s="13" t="s">
        <v>94</v>
      </c>
      <c r="E155" s="14" t="n">
        <v>115.8</v>
      </c>
      <c r="F155" s="14" t="n">
        <v>187.89</v>
      </c>
    </row>
    <row r="156" customFormat="false" ht="15" hidden="false" customHeight="false" outlineLevel="0" collapsed="false">
      <c r="A156" s="11" t="n">
        <v>155</v>
      </c>
      <c r="B156" s="11" t="s">
        <v>144</v>
      </c>
      <c r="C156" s="11" t="s">
        <v>102</v>
      </c>
      <c r="D156" s="11" t="s">
        <v>49</v>
      </c>
      <c r="E156" s="12" t="n">
        <v>1067.45</v>
      </c>
      <c r="F156" s="12" t="n">
        <v>1507.88</v>
      </c>
    </row>
    <row r="157" customFormat="false" ht="15" hidden="false" customHeight="false" outlineLevel="0" collapsed="false">
      <c r="A157" s="13" t="n">
        <v>156</v>
      </c>
      <c r="B157" s="13" t="s">
        <v>148</v>
      </c>
      <c r="C157" s="13" t="s">
        <v>110</v>
      </c>
      <c r="D157" s="13" t="s">
        <v>99</v>
      </c>
      <c r="E157" s="14" t="n">
        <v>75.11</v>
      </c>
      <c r="F157" s="14" t="n">
        <v>103.27</v>
      </c>
    </row>
    <row r="158" customFormat="false" ht="15" hidden="false" customHeight="false" outlineLevel="0" collapsed="false">
      <c r="A158" s="11" t="n">
        <v>157</v>
      </c>
      <c r="B158" s="11" t="s">
        <v>115</v>
      </c>
      <c r="C158" s="11" t="s">
        <v>110</v>
      </c>
      <c r="D158" s="11" t="s">
        <v>32</v>
      </c>
      <c r="E158" s="12" t="n">
        <v>456.95</v>
      </c>
      <c r="F158" s="12" t="n">
        <v>913.99</v>
      </c>
    </row>
    <row r="159" customFormat="false" ht="15" hidden="false" customHeight="false" outlineLevel="0" collapsed="false">
      <c r="A159" s="13" t="n">
        <v>158</v>
      </c>
      <c r="B159" s="13" t="s">
        <v>117</v>
      </c>
      <c r="C159" s="13" t="s">
        <v>108</v>
      </c>
      <c r="D159" s="13" t="s">
        <v>107</v>
      </c>
      <c r="E159" s="14" t="n">
        <v>1044.12</v>
      </c>
      <c r="F159" s="14" t="n">
        <v>1769.01</v>
      </c>
    </row>
    <row r="160" customFormat="false" ht="15" hidden="false" customHeight="false" outlineLevel="0" collapsed="false">
      <c r="A160" s="11" t="n">
        <v>159</v>
      </c>
      <c r="B160" s="11" t="s">
        <v>92</v>
      </c>
      <c r="C160" s="11" t="s">
        <v>96</v>
      </c>
      <c r="D160" s="11" t="s">
        <v>94</v>
      </c>
      <c r="E160" s="12" t="n">
        <v>1146.29</v>
      </c>
      <c r="F160" s="12" t="n">
        <v>2358.43</v>
      </c>
    </row>
    <row r="161" customFormat="false" ht="15" hidden="false" customHeight="false" outlineLevel="0" collapsed="false">
      <c r="A161" s="13" t="n">
        <v>160</v>
      </c>
      <c r="B161" s="13" t="s">
        <v>100</v>
      </c>
      <c r="C161" s="13" t="s">
        <v>128</v>
      </c>
      <c r="D161" s="13" t="s">
        <v>42</v>
      </c>
      <c r="E161" s="14" t="n">
        <v>882.06</v>
      </c>
      <c r="F161" s="14" t="n">
        <v>1268.45</v>
      </c>
    </row>
    <row r="162" customFormat="false" ht="15" hidden="false" customHeight="false" outlineLevel="0" collapsed="false">
      <c r="A162" s="11" t="n">
        <v>161</v>
      </c>
      <c r="B162" s="11" t="s">
        <v>126</v>
      </c>
      <c r="C162" s="11" t="s">
        <v>108</v>
      </c>
      <c r="D162" s="11" t="s">
        <v>34</v>
      </c>
      <c r="E162" s="12" t="n">
        <v>989.99</v>
      </c>
      <c r="F162" s="12" t="n">
        <v>1442.6</v>
      </c>
    </row>
    <row r="163" customFormat="false" ht="15" hidden="false" customHeight="false" outlineLevel="0" collapsed="false">
      <c r="A163" s="13" t="n">
        <v>162</v>
      </c>
      <c r="B163" s="13" t="s">
        <v>136</v>
      </c>
      <c r="C163" s="13" t="s">
        <v>98</v>
      </c>
      <c r="D163" s="13" t="s">
        <v>42</v>
      </c>
      <c r="E163" s="14" t="n">
        <v>216.6</v>
      </c>
      <c r="F163" s="14" t="n">
        <v>298.56</v>
      </c>
    </row>
    <row r="164" customFormat="false" ht="15" hidden="false" customHeight="false" outlineLevel="0" collapsed="false">
      <c r="A164" s="11" t="n">
        <v>163</v>
      </c>
      <c r="B164" s="11" t="s">
        <v>158</v>
      </c>
      <c r="C164" s="11" t="s">
        <v>90</v>
      </c>
      <c r="D164" s="11" t="s">
        <v>119</v>
      </c>
      <c r="E164" s="12" t="n">
        <v>310.39</v>
      </c>
      <c r="F164" s="12" t="n">
        <v>617.59</v>
      </c>
    </row>
    <row r="165" customFormat="false" ht="15" hidden="false" customHeight="false" outlineLevel="0" collapsed="false">
      <c r="A165" s="13" t="n">
        <v>164</v>
      </c>
      <c r="B165" s="13" t="s">
        <v>145</v>
      </c>
      <c r="C165" s="13" t="s">
        <v>98</v>
      </c>
      <c r="D165" s="13" t="s">
        <v>143</v>
      </c>
      <c r="E165" s="14" t="n">
        <v>969.32</v>
      </c>
      <c r="F165" s="14" t="n">
        <v>1357.39</v>
      </c>
    </row>
    <row r="166" customFormat="false" ht="15" hidden="false" customHeight="false" outlineLevel="0" collapsed="false">
      <c r="A166" s="11" t="n">
        <v>165</v>
      </c>
      <c r="B166" s="11" t="s">
        <v>142</v>
      </c>
      <c r="C166" s="11" t="s">
        <v>124</v>
      </c>
      <c r="D166" s="11" t="s">
        <v>143</v>
      </c>
      <c r="E166" s="12" t="n">
        <v>375.72</v>
      </c>
      <c r="F166" s="12" t="n">
        <v>693.97</v>
      </c>
    </row>
    <row r="167" customFormat="false" ht="15" hidden="false" customHeight="false" outlineLevel="0" collapsed="false">
      <c r="A167" s="13" t="n">
        <v>166</v>
      </c>
      <c r="B167" s="13" t="s">
        <v>144</v>
      </c>
      <c r="C167" s="13" t="s">
        <v>110</v>
      </c>
      <c r="D167" s="13" t="s">
        <v>49</v>
      </c>
      <c r="E167" s="14" t="n">
        <v>583.85</v>
      </c>
      <c r="F167" s="14" t="n">
        <v>1276.52</v>
      </c>
    </row>
    <row r="168" customFormat="false" ht="15" hidden="false" customHeight="false" outlineLevel="0" collapsed="false">
      <c r="A168" s="11" t="n">
        <v>167</v>
      </c>
      <c r="B168" s="11" t="s">
        <v>153</v>
      </c>
      <c r="C168" s="11" t="s">
        <v>116</v>
      </c>
      <c r="D168" s="11" t="s">
        <v>32</v>
      </c>
      <c r="E168" s="12" t="n">
        <v>1055.4</v>
      </c>
      <c r="F168" s="12" t="n">
        <v>2284.91</v>
      </c>
    </row>
    <row r="169" customFormat="false" ht="15" hidden="false" customHeight="false" outlineLevel="0" collapsed="false">
      <c r="A169" s="13" t="n">
        <v>168</v>
      </c>
      <c r="B169" s="13" t="s">
        <v>126</v>
      </c>
      <c r="C169" s="13" t="s">
        <v>93</v>
      </c>
      <c r="D169" s="13" t="s">
        <v>34</v>
      </c>
      <c r="E169" s="14" t="n">
        <v>747.29</v>
      </c>
      <c r="F169" s="14" t="n">
        <v>1087.54</v>
      </c>
    </row>
    <row r="170" customFormat="false" ht="15" hidden="false" customHeight="false" outlineLevel="0" collapsed="false">
      <c r="A170" s="11" t="n">
        <v>169</v>
      </c>
      <c r="B170" s="11" t="s">
        <v>151</v>
      </c>
      <c r="C170" s="11" t="s">
        <v>135</v>
      </c>
      <c r="D170" s="11" t="s">
        <v>49</v>
      </c>
      <c r="E170" s="12" t="n">
        <v>981.67</v>
      </c>
      <c r="F170" s="12" t="n">
        <v>1943.23</v>
      </c>
    </row>
    <row r="171" customFormat="false" ht="15" hidden="false" customHeight="false" outlineLevel="0" collapsed="false">
      <c r="A171" s="13" t="n">
        <v>170</v>
      </c>
      <c r="B171" s="13" t="s">
        <v>137</v>
      </c>
      <c r="C171" s="13" t="s">
        <v>108</v>
      </c>
      <c r="D171" s="13" t="s">
        <v>34</v>
      </c>
      <c r="E171" s="14" t="n">
        <v>460.3</v>
      </c>
      <c r="F171" s="14" t="n">
        <v>642.57</v>
      </c>
    </row>
    <row r="172" customFormat="false" ht="15" hidden="false" customHeight="false" outlineLevel="0" collapsed="false">
      <c r="A172" s="11" t="n">
        <v>171</v>
      </c>
      <c r="B172" s="11" t="s">
        <v>146</v>
      </c>
      <c r="C172" s="11" t="s">
        <v>124</v>
      </c>
      <c r="D172" s="11" t="s">
        <v>107</v>
      </c>
      <c r="E172" s="12" t="n">
        <v>1194.68</v>
      </c>
      <c r="F172" s="12" t="n">
        <v>2218.1</v>
      </c>
    </row>
    <row r="173" customFormat="false" ht="15" hidden="false" customHeight="false" outlineLevel="0" collapsed="false">
      <c r="A173" s="13" t="n">
        <v>172</v>
      </c>
      <c r="B173" s="13" t="s">
        <v>139</v>
      </c>
      <c r="C173" s="13" t="s">
        <v>121</v>
      </c>
      <c r="D173" s="13" t="s">
        <v>111</v>
      </c>
      <c r="E173" s="14" t="n">
        <v>456.27</v>
      </c>
      <c r="F173" s="14" t="n">
        <v>858.2</v>
      </c>
    </row>
    <row r="174" customFormat="false" ht="15" hidden="false" customHeight="false" outlineLevel="0" collapsed="false">
      <c r="A174" s="11" t="n">
        <v>173</v>
      </c>
      <c r="B174" s="11" t="s">
        <v>134</v>
      </c>
      <c r="C174" s="11" t="s">
        <v>122</v>
      </c>
      <c r="D174" s="11" t="s">
        <v>49</v>
      </c>
      <c r="E174" s="12" t="n">
        <v>547.23</v>
      </c>
      <c r="F174" s="12" t="n">
        <v>991.55</v>
      </c>
    </row>
    <row r="175" customFormat="false" ht="15" hidden="false" customHeight="false" outlineLevel="0" collapsed="false">
      <c r="A175" s="13" t="n">
        <v>174</v>
      </c>
      <c r="B175" s="13" t="s">
        <v>152</v>
      </c>
      <c r="C175" s="13" t="s">
        <v>128</v>
      </c>
      <c r="D175" s="13" t="s">
        <v>42</v>
      </c>
      <c r="E175" s="14" t="n">
        <v>724.3</v>
      </c>
      <c r="F175" s="14" t="n">
        <v>1322.03</v>
      </c>
    </row>
    <row r="176" customFormat="false" ht="15" hidden="false" customHeight="false" outlineLevel="0" collapsed="false">
      <c r="A176" s="11" t="n">
        <v>175</v>
      </c>
      <c r="B176" s="11" t="s">
        <v>101</v>
      </c>
      <c r="C176" s="11" t="s">
        <v>116</v>
      </c>
      <c r="D176" s="11" t="s">
        <v>42</v>
      </c>
      <c r="E176" s="12" t="n">
        <v>18.69</v>
      </c>
      <c r="F176" s="12" t="n">
        <v>32.29</v>
      </c>
    </row>
    <row r="177" customFormat="false" ht="15" hidden="false" customHeight="false" outlineLevel="0" collapsed="false">
      <c r="A177" s="13" t="n">
        <v>176</v>
      </c>
      <c r="B177" s="13" t="s">
        <v>152</v>
      </c>
      <c r="C177" s="13" t="s">
        <v>102</v>
      </c>
      <c r="D177" s="13" t="s">
        <v>42</v>
      </c>
      <c r="E177" s="14" t="n">
        <v>533.64</v>
      </c>
      <c r="F177" s="14" t="n">
        <v>1056.27</v>
      </c>
    </row>
    <row r="178" customFormat="false" ht="15" hidden="false" customHeight="false" outlineLevel="0" collapsed="false">
      <c r="A178" s="11" t="n">
        <v>177</v>
      </c>
      <c r="B178" s="11" t="s">
        <v>136</v>
      </c>
      <c r="C178" s="11" t="s">
        <v>116</v>
      </c>
      <c r="D178" s="11" t="s">
        <v>42</v>
      </c>
      <c r="E178" s="12" t="n">
        <v>161.11</v>
      </c>
      <c r="F178" s="12" t="n">
        <v>248.08</v>
      </c>
    </row>
    <row r="179" customFormat="false" ht="15" hidden="false" customHeight="false" outlineLevel="0" collapsed="false">
      <c r="A179" s="13" t="n">
        <v>178</v>
      </c>
      <c r="B179" s="13" t="s">
        <v>126</v>
      </c>
      <c r="C179" s="13" t="s">
        <v>93</v>
      </c>
      <c r="D179" s="13" t="s">
        <v>34</v>
      </c>
      <c r="E179" s="14" t="n">
        <v>87.52</v>
      </c>
      <c r="F179" s="14" t="n">
        <v>136.77</v>
      </c>
    </row>
    <row r="180" customFormat="false" ht="15" hidden="false" customHeight="false" outlineLevel="0" collapsed="false">
      <c r="A180" s="11" t="n">
        <v>179</v>
      </c>
      <c r="B180" s="11" t="s">
        <v>152</v>
      </c>
      <c r="C180" s="11" t="s">
        <v>135</v>
      </c>
      <c r="D180" s="11" t="s">
        <v>42</v>
      </c>
      <c r="E180" s="12" t="n">
        <v>215.32</v>
      </c>
      <c r="F180" s="12" t="n">
        <v>444.84</v>
      </c>
    </row>
    <row r="181" customFormat="false" ht="15" hidden="false" customHeight="false" outlineLevel="0" collapsed="false">
      <c r="A181" s="13" t="n">
        <v>180</v>
      </c>
      <c r="B181" s="13" t="s">
        <v>95</v>
      </c>
      <c r="C181" s="13" t="s">
        <v>96</v>
      </c>
      <c r="D181" s="13" t="s">
        <v>32</v>
      </c>
      <c r="E181" s="14" t="n">
        <v>51.94</v>
      </c>
      <c r="F181" s="14" t="n">
        <v>107.92</v>
      </c>
    </row>
    <row r="182" customFormat="false" ht="15" hidden="false" customHeight="false" outlineLevel="0" collapsed="false">
      <c r="A182" s="11" t="n">
        <v>181</v>
      </c>
      <c r="B182" s="11" t="s">
        <v>146</v>
      </c>
      <c r="C182" s="11" t="s">
        <v>106</v>
      </c>
      <c r="D182" s="11" t="s">
        <v>107</v>
      </c>
      <c r="E182" s="12" t="n">
        <v>395.23</v>
      </c>
      <c r="F182" s="12" t="n">
        <v>611.71</v>
      </c>
    </row>
    <row r="183" customFormat="false" ht="15" hidden="false" customHeight="false" outlineLevel="0" collapsed="false">
      <c r="A183" s="13" t="n">
        <v>182</v>
      </c>
      <c r="B183" s="13" t="s">
        <v>153</v>
      </c>
      <c r="C183" s="13" t="s">
        <v>104</v>
      </c>
      <c r="D183" s="13" t="s">
        <v>32</v>
      </c>
      <c r="E183" s="14" t="n">
        <v>785.26</v>
      </c>
      <c r="F183" s="14" t="n">
        <v>1398.98</v>
      </c>
    </row>
    <row r="184" customFormat="false" ht="15" hidden="false" customHeight="false" outlineLevel="0" collapsed="false">
      <c r="A184" s="11" t="n">
        <v>183</v>
      </c>
      <c r="B184" s="11" t="s">
        <v>149</v>
      </c>
      <c r="C184" s="11" t="s">
        <v>98</v>
      </c>
      <c r="D184" s="11" t="s">
        <v>49</v>
      </c>
      <c r="E184" s="12" t="n">
        <v>257.29</v>
      </c>
      <c r="F184" s="12" t="n">
        <v>405.03</v>
      </c>
    </row>
    <row r="185" customFormat="false" ht="15" hidden="false" customHeight="false" outlineLevel="0" collapsed="false">
      <c r="A185" s="13" t="n">
        <v>184</v>
      </c>
      <c r="B185" s="13" t="s">
        <v>142</v>
      </c>
      <c r="C185" s="13" t="s">
        <v>121</v>
      </c>
      <c r="D185" s="13" t="s">
        <v>143</v>
      </c>
      <c r="E185" s="14" t="n">
        <v>805.56</v>
      </c>
      <c r="F185" s="14" t="n">
        <v>1620.94</v>
      </c>
    </row>
    <row r="186" customFormat="false" ht="15" hidden="false" customHeight="false" outlineLevel="0" collapsed="false">
      <c r="A186" s="11" t="n">
        <v>185</v>
      </c>
      <c r="B186" s="11" t="s">
        <v>125</v>
      </c>
      <c r="C186" s="11" t="s">
        <v>102</v>
      </c>
      <c r="D186" s="11" t="s">
        <v>107</v>
      </c>
      <c r="E186" s="12" t="n">
        <v>673.16</v>
      </c>
      <c r="F186" s="12" t="n">
        <v>1011.3</v>
      </c>
    </row>
    <row r="187" customFormat="false" ht="15" hidden="false" customHeight="false" outlineLevel="0" collapsed="false">
      <c r="A187" s="13" t="n">
        <v>186</v>
      </c>
      <c r="B187" s="13" t="s">
        <v>148</v>
      </c>
      <c r="C187" s="13" t="s">
        <v>128</v>
      </c>
      <c r="D187" s="13" t="s">
        <v>99</v>
      </c>
      <c r="E187" s="14" t="n">
        <v>290.33</v>
      </c>
      <c r="F187" s="14" t="n">
        <v>636.86</v>
      </c>
    </row>
    <row r="188" customFormat="false" ht="15" hidden="false" customHeight="false" outlineLevel="0" collapsed="false">
      <c r="A188" s="11" t="n">
        <v>187</v>
      </c>
      <c r="B188" s="11" t="s">
        <v>105</v>
      </c>
      <c r="C188" s="11" t="s">
        <v>90</v>
      </c>
      <c r="D188" s="11" t="s">
        <v>107</v>
      </c>
      <c r="E188" s="12" t="n">
        <v>1117.62</v>
      </c>
      <c r="F188" s="12" t="n">
        <v>2201.47</v>
      </c>
    </row>
    <row r="189" customFormat="false" ht="15" hidden="false" customHeight="false" outlineLevel="0" collapsed="false">
      <c r="A189" s="13" t="n">
        <v>188</v>
      </c>
      <c r="B189" s="13" t="s">
        <v>147</v>
      </c>
      <c r="C189" s="13" t="s">
        <v>96</v>
      </c>
      <c r="D189" s="13" t="s">
        <v>113</v>
      </c>
      <c r="E189" s="14" t="n">
        <v>598.2</v>
      </c>
      <c r="F189" s="14" t="n">
        <v>1108.36</v>
      </c>
    </row>
    <row r="190" customFormat="false" ht="15" hidden="false" customHeight="false" outlineLevel="0" collapsed="false">
      <c r="A190" s="11" t="n">
        <v>189</v>
      </c>
      <c r="B190" s="11" t="s">
        <v>155</v>
      </c>
      <c r="C190" s="11" t="s">
        <v>90</v>
      </c>
      <c r="D190" s="11" t="s">
        <v>94</v>
      </c>
      <c r="E190" s="12" t="n">
        <v>211.67</v>
      </c>
      <c r="F190" s="12" t="n">
        <v>347.04</v>
      </c>
    </row>
    <row r="191" customFormat="false" ht="15" hidden="false" customHeight="false" outlineLevel="0" collapsed="false">
      <c r="A191" s="13" t="n">
        <v>190</v>
      </c>
      <c r="B191" s="13" t="s">
        <v>140</v>
      </c>
      <c r="C191" s="13" t="s">
        <v>128</v>
      </c>
      <c r="D191" s="13" t="s">
        <v>119</v>
      </c>
      <c r="E191" s="14" t="n">
        <v>434.62</v>
      </c>
      <c r="F191" s="14" t="n">
        <v>758.33</v>
      </c>
    </row>
    <row r="192" customFormat="false" ht="15" hidden="false" customHeight="false" outlineLevel="0" collapsed="false">
      <c r="A192" s="11" t="n">
        <v>191</v>
      </c>
      <c r="B192" s="11" t="s">
        <v>123</v>
      </c>
      <c r="C192" s="11" t="s">
        <v>135</v>
      </c>
      <c r="D192" s="11" t="s">
        <v>32</v>
      </c>
      <c r="E192" s="12" t="n">
        <v>927.62</v>
      </c>
      <c r="F192" s="12" t="n">
        <v>1331.38</v>
      </c>
    </row>
    <row r="193" customFormat="false" ht="15" hidden="false" customHeight="false" outlineLevel="0" collapsed="false">
      <c r="A193" s="13" t="n">
        <v>192</v>
      </c>
      <c r="B193" s="13" t="s">
        <v>101</v>
      </c>
      <c r="C193" s="13" t="s">
        <v>110</v>
      </c>
      <c r="D193" s="13" t="s">
        <v>42</v>
      </c>
      <c r="E193" s="14" t="n">
        <v>896.05</v>
      </c>
      <c r="F193" s="14" t="n">
        <v>1549.55</v>
      </c>
    </row>
    <row r="194" customFormat="false" ht="15" hidden="false" customHeight="false" outlineLevel="0" collapsed="false">
      <c r="A194" s="11" t="n">
        <v>193</v>
      </c>
      <c r="B194" s="11" t="s">
        <v>125</v>
      </c>
      <c r="C194" s="11" t="s">
        <v>135</v>
      </c>
      <c r="D194" s="11" t="s">
        <v>107</v>
      </c>
      <c r="E194" s="12" t="n">
        <v>501.99</v>
      </c>
      <c r="F194" s="12" t="n">
        <v>968.29</v>
      </c>
    </row>
    <row r="195" customFormat="false" ht="15" hidden="false" customHeight="false" outlineLevel="0" collapsed="false">
      <c r="A195" s="13" t="n">
        <v>194</v>
      </c>
      <c r="B195" s="13" t="s">
        <v>140</v>
      </c>
      <c r="C195" s="13" t="s">
        <v>106</v>
      </c>
      <c r="D195" s="13" t="s">
        <v>119</v>
      </c>
      <c r="E195" s="14" t="n">
        <v>778.89</v>
      </c>
      <c r="F195" s="14" t="n">
        <v>1490.11</v>
      </c>
    </row>
    <row r="196" customFormat="false" ht="15" hidden="false" customHeight="false" outlineLevel="0" collapsed="false">
      <c r="A196" s="11" t="n">
        <v>195</v>
      </c>
      <c r="B196" s="11" t="s">
        <v>129</v>
      </c>
      <c r="C196" s="11" t="s">
        <v>110</v>
      </c>
      <c r="D196" s="11" t="s">
        <v>111</v>
      </c>
      <c r="E196" s="12" t="n">
        <v>922.18</v>
      </c>
      <c r="F196" s="12" t="n">
        <v>1427.52</v>
      </c>
    </row>
    <row r="197" customFormat="false" ht="15" hidden="false" customHeight="false" outlineLevel="0" collapsed="false">
      <c r="A197" s="13" t="n">
        <v>196</v>
      </c>
      <c r="B197" s="13" t="s">
        <v>144</v>
      </c>
      <c r="C197" s="13" t="s">
        <v>124</v>
      </c>
      <c r="D197" s="13" t="s">
        <v>49</v>
      </c>
      <c r="E197" s="14" t="n">
        <v>949.69</v>
      </c>
      <c r="F197" s="14" t="n">
        <v>1337.85</v>
      </c>
    </row>
    <row r="198" customFormat="false" ht="15" hidden="false" customHeight="false" outlineLevel="0" collapsed="false">
      <c r="A198" s="11" t="n">
        <v>197</v>
      </c>
      <c r="B198" s="11" t="s">
        <v>109</v>
      </c>
      <c r="C198" s="11" t="s">
        <v>128</v>
      </c>
      <c r="D198" s="11" t="s">
        <v>111</v>
      </c>
      <c r="E198" s="12" t="n">
        <v>125.56</v>
      </c>
      <c r="F198" s="12" t="n">
        <v>180.64</v>
      </c>
    </row>
    <row r="199" customFormat="false" ht="15" hidden="false" customHeight="false" outlineLevel="0" collapsed="false">
      <c r="A199" s="13" t="n">
        <v>198</v>
      </c>
      <c r="B199" s="13" t="s">
        <v>132</v>
      </c>
      <c r="C199" s="13" t="s">
        <v>104</v>
      </c>
      <c r="D199" s="13" t="s">
        <v>94</v>
      </c>
      <c r="E199" s="14" t="n">
        <v>414.3</v>
      </c>
      <c r="F199" s="14" t="n">
        <v>636.86</v>
      </c>
    </row>
    <row r="200" customFormat="false" ht="15" hidden="false" customHeight="false" outlineLevel="0" collapsed="false">
      <c r="A200" s="11" t="n">
        <v>199</v>
      </c>
      <c r="B200" s="11" t="s">
        <v>89</v>
      </c>
      <c r="C200" s="11" t="s">
        <v>110</v>
      </c>
      <c r="D200" s="11" t="s">
        <v>91</v>
      </c>
      <c r="E200" s="12" t="n">
        <v>595.74</v>
      </c>
      <c r="F200" s="12" t="n">
        <v>1172.08</v>
      </c>
    </row>
    <row r="201" customFormat="false" ht="15" hidden="false" customHeight="false" outlineLevel="0" collapsed="false">
      <c r="A201" s="13" t="n">
        <v>200</v>
      </c>
      <c r="B201" s="13" t="s">
        <v>120</v>
      </c>
      <c r="C201" s="13" t="s">
        <v>96</v>
      </c>
      <c r="D201" s="13" t="s">
        <v>34</v>
      </c>
      <c r="E201" s="14" t="n">
        <v>826.94</v>
      </c>
      <c r="F201" s="14" t="n">
        <v>1278.29</v>
      </c>
    </row>
    <row r="202" customFormat="false" ht="15" hidden="false" customHeight="false" outlineLevel="0" collapsed="false">
      <c r="A202" s="11" t="n">
        <v>201</v>
      </c>
      <c r="B202" s="11" t="s">
        <v>140</v>
      </c>
      <c r="C202" s="11" t="s">
        <v>124</v>
      </c>
      <c r="D202" s="11" t="s">
        <v>119</v>
      </c>
      <c r="E202" s="12" t="n">
        <v>106.45</v>
      </c>
      <c r="F202" s="12" t="n">
        <v>185.92</v>
      </c>
    </row>
    <row r="203" customFormat="false" ht="15" hidden="false" customHeight="false" outlineLevel="0" collapsed="false">
      <c r="A203" s="13" t="n">
        <v>202</v>
      </c>
      <c r="B203" s="13" t="s">
        <v>126</v>
      </c>
      <c r="C203" s="13" t="s">
        <v>93</v>
      </c>
      <c r="D203" s="13" t="s">
        <v>34</v>
      </c>
      <c r="E203" s="14" t="n">
        <v>693.1</v>
      </c>
      <c r="F203" s="14" t="n">
        <v>1319.88</v>
      </c>
    </row>
    <row r="204" customFormat="false" ht="15" hidden="false" customHeight="false" outlineLevel="0" collapsed="false">
      <c r="A204" s="11" t="n">
        <v>203</v>
      </c>
      <c r="B204" s="11" t="s">
        <v>125</v>
      </c>
      <c r="C204" s="11" t="s">
        <v>135</v>
      </c>
      <c r="D204" s="11" t="s">
        <v>107</v>
      </c>
      <c r="E204" s="12" t="n">
        <v>130.56</v>
      </c>
      <c r="F204" s="12" t="n">
        <v>236.01</v>
      </c>
    </row>
    <row r="205" customFormat="false" ht="15" hidden="false" customHeight="false" outlineLevel="0" collapsed="false">
      <c r="A205" s="13" t="n">
        <v>204</v>
      </c>
      <c r="B205" s="13" t="s">
        <v>149</v>
      </c>
      <c r="C205" s="13" t="s">
        <v>122</v>
      </c>
      <c r="D205" s="13" t="s">
        <v>49</v>
      </c>
      <c r="E205" s="14" t="n">
        <v>75.25</v>
      </c>
      <c r="F205" s="14" t="n">
        <v>102.52</v>
      </c>
    </row>
    <row r="206" customFormat="false" ht="15" hidden="false" customHeight="false" outlineLevel="0" collapsed="false">
      <c r="A206" s="11" t="n">
        <v>205</v>
      </c>
      <c r="B206" s="11" t="s">
        <v>123</v>
      </c>
      <c r="C206" s="11" t="s">
        <v>116</v>
      </c>
      <c r="D206" s="11" t="s">
        <v>32</v>
      </c>
      <c r="E206" s="12" t="n">
        <v>168.56</v>
      </c>
      <c r="F206" s="12" t="n">
        <v>295.87</v>
      </c>
    </row>
    <row r="207" customFormat="false" ht="15" hidden="false" customHeight="false" outlineLevel="0" collapsed="false">
      <c r="A207" s="13" t="n">
        <v>206</v>
      </c>
      <c r="B207" s="13" t="s">
        <v>144</v>
      </c>
      <c r="C207" s="13" t="s">
        <v>135</v>
      </c>
      <c r="D207" s="13" t="s">
        <v>49</v>
      </c>
      <c r="E207" s="14" t="n">
        <v>231.28</v>
      </c>
      <c r="F207" s="14" t="n">
        <v>365.37</v>
      </c>
    </row>
    <row r="208" customFormat="false" ht="15" hidden="false" customHeight="false" outlineLevel="0" collapsed="false">
      <c r="A208" s="11" t="n">
        <v>207</v>
      </c>
      <c r="B208" s="11" t="s">
        <v>156</v>
      </c>
      <c r="C208" s="11" t="s">
        <v>96</v>
      </c>
      <c r="D208" s="11" t="s">
        <v>143</v>
      </c>
      <c r="E208" s="12" t="n">
        <v>165.47</v>
      </c>
      <c r="F208" s="12" t="n">
        <v>284.09</v>
      </c>
    </row>
    <row r="209" customFormat="false" ht="15" hidden="false" customHeight="false" outlineLevel="0" collapsed="false">
      <c r="A209" s="13" t="n">
        <v>208</v>
      </c>
      <c r="B209" s="13" t="s">
        <v>152</v>
      </c>
      <c r="C209" s="13" t="s">
        <v>122</v>
      </c>
      <c r="D209" s="13" t="s">
        <v>42</v>
      </c>
      <c r="E209" s="14" t="n">
        <v>581.65</v>
      </c>
      <c r="F209" s="14" t="n">
        <v>858.12</v>
      </c>
    </row>
    <row r="210" customFormat="false" ht="15" hidden="false" customHeight="false" outlineLevel="0" collapsed="false">
      <c r="A210" s="11" t="n">
        <v>209</v>
      </c>
      <c r="B210" s="11" t="s">
        <v>95</v>
      </c>
      <c r="C210" s="11" t="s">
        <v>106</v>
      </c>
      <c r="D210" s="11" t="s">
        <v>32</v>
      </c>
      <c r="E210" s="12" t="n">
        <v>924.81</v>
      </c>
      <c r="F210" s="12" t="n">
        <v>1991.37</v>
      </c>
    </row>
    <row r="211" customFormat="false" ht="15" hidden="false" customHeight="false" outlineLevel="0" collapsed="false">
      <c r="A211" s="13" t="n">
        <v>210</v>
      </c>
      <c r="B211" s="13" t="s">
        <v>149</v>
      </c>
      <c r="C211" s="13" t="s">
        <v>124</v>
      </c>
      <c r="D211" s="13" t="s">
        <v>49</v>
      </c>
      <c r="E211" s="14" t="n">
        <v>797.78</v>
      </c>
      <c r="F211" s="14" t="n">
        <v>1093.33</v>
      </c>
    </row>
    <row r="212" customFormat="false" ht="15" hidden="false" customHeight="false" outlineLevel="0" collapsed="false">
      <c r="A212" s="11" t="n">
        <v>211</v>
      </c>
      <c r="B212" s="11" t="s">
        <v>145</v>
      </c>
      <c r="C212" s="11" t="s">
        <v>122</v>
      </c>
      <c r="D212" s="11" t="s">
        <v>143</v>
      </c>
      <c r="E212" s="12" t="n">
        <v>274.33</v>
      </c>
      <c r="F212" s="12" t="n">
        <v>558.54</v>
      </c>
    </row>
    <row r="213" customFormat="false" ht="15" hidden="false" customHeight="false" outlineLevel="0" collapsed="false">
      <c r="A213" s="13" t="n">
        <v>212</v>
      </c>
      <c r="B213" s="13" t="s">
        <v>139</v>
      </c>
      <c r="C213" s="13" t="s">
        <v>124</v>
      </c>
      <c r="D213" s="13" t="s">
        <v>111</v>
      </c>
      <c r="E213" s="14" t="n">
        <v>768.35</v>
      </c>
      <c r="F213" s="14" t="n">
        <v>1121.77</v>
      </c>
    </row>
    <row r="214" customFormat="false" ht="15" hidden="false" customHeight="false" outlineLevel="0" collapsed="false">
      <c r="A214" s="11" t="n">
        <v>213</v>
      </c>
      <c r="B214" s="11" t="s">
        <v>139</v>
      </c>
      <c r="C214" s="11" t="s">
        <v>108</v>
      </c>
      <c r="D214" s="11" t="s">
        <v>111</v>
      </c>
      <c r="E214" s="12" t="n">
        <v>1089.23</v>
      </c>
      <c r="F214" s="12" t="n">
        <v>2163.03</v>
      </c>
    </row>
    <row r="215" customFormat="false" ht="15" hidden="false" customHeight="false" outlineLevel="0" collapsed="false">
      <c r="A215" s="13" t="n">
        <v>214</v>
      </c>
      <c r="B215" s="13" t="s">
        <v>117</v>
      </c>
      <c r="C215" s="13" t="s">
        <v>124</v>
      </c>
      <c r="D215" s="13" t="s">
        <v>107</v>
      </c>
      <c r="E215" s="14" t="n">
        <v>424.52</v>
      </c>
      <c r="F215" s="14" t="n">
        <v>771.11</v>
      </c>
    </row>
    <row r="216" customFormat="false" ht="15" hidden="false" customHeight="false" outlineLevel="0" collapsed="false">
      <c r="A216" s="11" t="n">
        <v>215</v>
      </c>
      <c r="B216" s="11" t="s">
        <v>97</v>
      </c>
      <c r="C216" s="11" t="s">
        <v>124</v>
      </c>
      <c r="D216" s="11" t="s">
        <v>99</v>
      </c>
      <c r="E216" s="12" t="n">
        <v>41.89</v>
      </c>
      <c r="F216" s="12" t="n">
        <v>64.89</v>
      </c>
    </row>
    <row r="217" customFormat="false" ht="15" hidden="false" customHeight="false" outlineLevel="0" collapsed="false">
      <c r="A217" s="13" t="n">
        <v>216</v>
      </c>
      <c r="B217" s="13" t="s">
        <v>156</v>
      </c>
      <c r="C217" s="13" t="s">
        <v>128</v>
      </c>
      <c r="D217" s="13" t="s">
        <v>143</v>
      </c>
      <c r="E217" s="14" t="n">
        <v>395.17</v>
      </c>
      <c r="F217" s="14" t="n">
        <v>842.63</v>
      </c>
    </row>
    <row r="218" customFormat="false" ht="15" hidden="false" customHeight="false" outlineLevel="0" collapsed="false">
      <c r="A218" s="11" t="n">
        <v>217</v>
      </c>
      <c r="B218" s="11" t="s">
        <v>147</v>
      </c>
      <c r="C218" s="11" t="s">
        <v>121</v>
      </c>
      <c r="D218" s="11" t="s">
        <v>113</v>
      </c>
      <c r="E218" s="12" t="n">
        <v>688.52</v>
      </c>
      <c r="F218" s="12" t="n">
        <v>1370.5</v>
      </c>
    </row>
    <row r="219" customFormat="false" ht="15" hidden="false" customHeight="false" outlineLevel="0" collapsed="false">
      <c r="A219" s="13" t="n">
        <v>218</v>
      </c>
      <c r="B219" s="13" t="s">
        <v>138</v>
      </c>
      <c r="C219" s="13" t="s">
        <v>116</v>
      </c>
      <c r="D219" s="13" t="s">
        <v>111</v>
      </c>
      <c r="E219" s="14" t="n">
        <v>1033.74</v>
      </c>
      <c r="F219" s="14" t="n">
        <v>2219.34</v>
      </c>
    </row>
    <row r="220" customFormat="false" ht="15" hidden="false" customHeight="false" outlineLevel="0" collapsed="false">
      <c r="A220" s="11" t="n">
        <v>219</v>
      </c>
      <c r="B220" s="11" t="s">
        <v>150</v>
      </c>
      <c r="C220" s="11" t="s">
        <v>96</v>
      </c>
      <c r="D220" s="11" t="s">
        <v>143</v>
      </c>
      <c r="E220" s="12" t="n">
        <v>344.05</v>
      </c>
      <c r="F220" s="12" t="n">
        <v>591.81</v>
      </c>
    </row>
    <row r="221" customFormat="false" ht="15" hidden="false" customHeight="false" outlineLevel="0" collapsed="false">
      <c r="A221" s="13" t="n">
        <v>220</v>
      </c>
      <c r="B221" s="13" t="s">
        <v>145</v>
      </c>
      <c r="C221" s="13" t="s">
        <v>93</v>
      </c>
      <c r="D221" s="13" t="s">
        <v>143</v>
      </c>
      <c r="E221" s="14" t="n">
        <v>1198.69</v>
      </c>
      <c r="F221" s="14" t="n">
        <v>2376.4</v>
      </c>
    </row>
    <row r="222" customFormat="false" ht="15" hidden="false" customHeight="false" outlineLevel="0" collapsed="false">
      <c r="A222" s="11" t="n">
        <v>221</v>
      </c>
      <c r="B222" s="11" t="s">
        <v>142</v>
      </c>
      <c r="C222" s="11" t="s">
        <v>116</v>
      </c>
      <c r="D222" s="11" t="s">
        <v>143</v>
      </c>
      <c r="E222" s="12" t="n">
        <v>939.05</v>
      </c>
      <c r="F222" s="12" t="n">
        <v>1925.72</v>
      </c>
    </row>
    <row r="223" customFormat="false" ht="15" hidden="false" customHeight="false" outlineLevel="0" collapsed="false">
      <c r="A223" s="13" t="n">
        <v>222</v>
      </c>
      <c r="B223" s="13" t="s">
        <v>139</v>
      </c>
      <c r="C223" s="13" t="s">
        <v>96</v>
      </c>
      <c r="D223" s="13" t="s">
        <v>111</v>
      </c>
      <c r="E223" s="14" t="n">
        <v>363.89</v>
      </c>
      <c r="F223" s="14" t="n">
        <v>548.61</v>
      </c>
    </row>
    <row r="224" customFormat="false" ht="15" hidden="false" customHeight="false" outlineLevel="0" collapsed="false">
      <c r="A224" s="11" t="n">
        <v>223</v>
      </c>
      <c r="B224" s="11" t="s">
        <v>95</v>
      </c>
      <c r="C224" s="11" t="s">
        <v>96</v>
      </c>
      <c r="D224" s="11" t="s">
        <v>32</v>
      </c>
      <c r="E224" s="12" t="n">
        <v>80.81</v>
      </c>
      <c r="F224" s="12" t="n">
        <v>174.88</v>
      </c>
    </row>
    <row r="225" customFormat="false" ht="15" hidden="false" customHeight="false" outlineLevel="0" collapsed="false">
      <c r="A225" s="13" t="n">
        <v>224</v>
      </c>
      <c r="B225" s="13" t="s">
        <v>123</v>
      </c>
      <c r="C225" s="13" t="s">
        <v>122</v>
      </c>
      <c r="D225" s="13" t="s">
        <v>32</v>
      </c>
      <c r="E225" s="14" t="n">
        <v>115.63</v>
      </c>
      <c r="F225" s="14" t="n">
        <v>243.92</v>
      </c>
    </row>
    <row r="226" customFormat="false" ht="15" hidden="false" customHeight="false" outlineLevel="0" collapsed="false">
      <c r="A226" s="11" t="n">
        <v>225</v>
      </c>
      <c r="B226" s="11" t="s">
        <v>123</v>
      </c>
      <c r="C226" s="11" t="s">
        <v>122</v>
      </c>
      <c r="D226" s="11" t="s">
        <v>32</v>
      </c>
      <c r="E226" s="12" t="n">
        <v>833.25</v>
      </c>
      <c r="F226" s="12" t="n">
        <v>1355.66</v>
      </c>
    </row>
    <row r="227" customFormat="false" ht="15" hidden="false" customHeight="false" outlineLevel="0" collapsed="false">
      <c r="A227" s="13" t="n">
        <v>226</v>
      </c>
      <c r="B227" s="13" t="s">
        <v>158</v>
      </c>
      <c r="C227" s="13" t="s">
        <v>90</v>
      </c>
      <c r="D227" s="13" t="s">
        <v>119</v>
      </c>
      <c r="E227" s="14" t="n">
        <v>1184.52</v>
      </c>
      <c r="F227" s="14" t="n">
        <v>1608.79</v>
      </c>
    </row>
    <row r="228" customFormat="false" ht="15" hidden="false" customHeight="false" outlineLevel="0" collapsed="false">
      <c r="A228" s="11" t="n">
        <v>227</v>
      </c>
      <c r="B228" s="11" t="s">
        <v>137</v>
      </c>
      <c r="C228" s="11" t="s">
        <v>106</v>
      </c>
      <c r="D228" s="11" t="s">
        <v>34</v>
      </c>
      <c r="E228" s="12" t="n">
        <v>153.7</v>
      </c>
      <c r="F228" s="12" t="n">
        <v>258.91</v>
      </c>
    </row>
    <row r="229" customFormat="false" ht="15" hidden="false" customHeight="false" outlineLevel="0" collapsed="false">
      <c r="A229" s="13" t="n">
        <v>228</v>
      </c>
      <c r="B229" s="13" t="s">
        <v>140</v>
      </c>
      <c r="C229" s="13" t="s">
        <v>90</v>
      </c>
      <c r="D229" s="13" t="s">
        <v>119</v>
      </c>
      <c r="E229" s="14" t="n">
        <v>389.41</v>
      </c>
      <c r="F229" s="14" t="n">
        <v>769.43</v>
      </c>
    </row>
    <row r="230" customFormat="false" ht="15" hidden="false" customHeight="false" outlineLevel="0" collapsed="false">
      <c r="A230" s="11" t="n">
        <v>229</v>
      </c>
      <c r="B230" s="11" t="s">
        <v>154</v>
      </c>
      <c r="C230" s="11" t="s">
        <v>110</v>
      </c>
      <c r="D230" s="11" t="s">
        <v>99</v>
      </c>
      <c r="E230" s="12" t="n">
        <v>56.99</v>
      </c>
      <c r="F230" s="12" t="n">
        <v>124.46</v>
      </c>
    </row>
    <row r="231" customFormat="false" ht="15" hidden="false" customHeight="false" outlineLevel="0" collapsed="false">
      <c r="A231" s="13" t="n">
        <v>230</v>
      </c>
      <c r="B231" s="13" t="s">
        <v>134</v>
      </c>
      <c r="C231" s="13" t="s">
        <v>110</v>
      </c>
      <c r="D231" s="13" t="s">
        <v>49</v>
      </c>
      <c r="E231" s="14" t="n">
        <v>1062.85</v>
      </c>
      <c r="F231" s="14" t="n">
        <v>2215.49</v>
      </c>
    </row>
    <row r="232" customFormat="false" ht="15" hidden="false" customHeight="false" outlineLevel="0" collapsed="false">
      <c r="A232" s="11" t="n">
        <v>231</v>
      </c>
      <c r="B232" s="11" t="s">
        <v>131</v>
      </c>
      <c r="C232" s="11" t="s">
        <v>96</v>
      </c>
      <c r="D232" s="11" t="s">
        <v>49</v>
      </c>
      <c r="E232" s="12" t="n">
        <v>1049.66</v>
      </c>
      <c r="F232" s="12" t="n">
        <v>1728.52</v>
      </c>
    </row>
    <row r="233" customFormat="false" ht="15" hidden="false" customHeight="false" outlineLevel="0" collapsed="false">
      <c r="A233" s="13" t="n">
        <v>232</v>
      </c>
      <c r="B233" s="13" t="s">
        <v>114</v>
      </c>
      <c r="C233" s="13" t="s">
        <v>116</v>
      </c>
      <c r="D233" s="13" t="s">
        <v>91</v>
      </c>
      <c r="E233" s="14" t="n">
        <v>76.81</v>
      </c>
      <c r="F233" s="14" t="n">
        <v>144.83</v>
      </c>
    </row>
    <row r="234" customFormat="false" ht="15" hidden="false" customHeight="false" outlineLevel="0" collapsed="false">
      <c r="A234" s="11" t="n">
        <v>233</v>
      </c>
      <c r="B234" s="11" t="s">
        <v>125</v>
      </c>
      <c r="C234" s="11" t="s">
        <v>124</v>
      </c>
      <c r="D234" s="11" t="s">
        <v>107</v>
      </c>
      <c r="E234" s="12" t="n">
        <v>100.51</v>
      </c>
      <c r="F234" s="12" t="n">
        <v>157.46</v>
      </c>
    </row>
    <row r="235" customFormat="false" ht="15" hidden="false" customHeight="false" outlineLevel="0" collapsed="false">
      <c r="A235" s="13" t="n">
        <v>234</v>
      </c>
      <c r="B235" s="13" t="s">
        <v>152</v>
      </c>
      <c r="C235" s="13" t="s">
        <v>135</v>
      </c>
      <c r="D235" s="13" t="s">
        <v>42</v>
      </c>
      <c r="E235" s="14" t="n">
        <v>440.83</v>
      </c>
      <c r="F235" s="14" t="n">
        <v>789.65</v>
      </c>
    </row>
    <row r="236" customFormat="false" ht="15" hidden="false" customHeight="false" outlineLevel="0" collapsed="false">
      <c r="A236" s="11" t="n">
        <v>235</v>
      </c>
      <c r="B236" s="11" t="s">
        <v>146</v>
      </c>
      <c r="C236" s="11" t="s">
        <v>106</v>
      </c>
      <c r="D236" s="11" t="s">
        <v>107</v>
      </c>
      <c r="E236" s="12" t="n">
        <v>31.06</v>
      </c>
      <c r="F236" s="12" t="n">
        <v>65.41</v>
      </c>
    </row>
    <row r="237" customFormat="false" ht="15" hidden="false" customHeight="false" outlineLevel="0" collapsed="false">
      <c r="A237" s="13" t="n">
        <v>236</v>
      </c>
      <c r="B237" s="13" t="s">
        <v>117</v>
      </c>
      <c r="C237" s="13" t="s">
        <v>106</v>
      </c>
      <c r="D237" s="13" t="s">
        <v>107</v>
      </c>
      <c r="E237" s="14" t="n">
        <v>362.07</v>
      </c>
      <c r="F237" s="14" t="n">
        <v>615.7</v>
      </c>
    </row>
    <row r="238" customFormat="false" ht="15" hidden="false" customHeight="false" outlineLevel="0" collapsed="false">
      <c r="A238" s="11" t="n">
        <v>237</v>
      </c>
      <c r="B238" s="11" t="s">
        <v>153</v>
      </c>
      <c r="C238" s="11" t="s">
        <v>96</v>
      </c>
      <c r="D238" s="11" t="s">
        <v>32</v>
      </c>
      <c r="E238" s="12" t="n">
        <v>753.58</v>
      </c>
      <c r="F238" s="12" t="n">
        <v>1263.97</v>
      </c>
    </row>
    <row r="239" customFormat="false" ht="15" hidden="false" customHeight="false" outlineLevel="0" collapsed="false">
      <c r="A239" s="13" t="n">
        <v>238</v>
      </c>
      <c r="B239" s="13" t="s">
        <v>126</v>
      </c>
      <c r="C239" s="13" t="s">
        <v>96</v>
      </c>
      <c r="D239" s="13" t="s">
        <v>34</v>
      </c>
      <c r="E239" s="14" t="n">
        <v>882.18</v>
      </c>
      <c r="F239" s="14" t="n">
        <v>1592.48</v>
      </c>
    </row>
    <row r="240" customFormat="false" ht="15" hidden="false" customHeight="false" outlineLevel="0" collapsed="false">
      <c r="A240" s="11" t="n">
        <v>239</v>
      </c>
      <c r="B240" s="11" t="s">
        <v>139</v>
      </c>
      <c r="C240" s="11" t="s">
        <v>104</v>
      </c>
      <c r="D240" s="11" t="s">
        <v>111</v>
      </c>
      <c r="E240" s="12" t="n">
        <v>216.92</v>
      </c>
      <c r="F240" s="12" t="n">
        <v>367.75</v>
      </c>
    </row>
    <row r="241" customFormat="false" ht="15" hidden="false" customHeight="false" outlineLevel="0" collapsed="false">
      <c r="A241" s="13" t="n">
        <v>240</v>
      </c>
      <c r="B241" s="13" t="s">
        <v>100</v>
      </c>
      <c r="C241" s="13" t="s">
        <v>122</v>
      </c>
      <c r="D241" s="13" t="s">
        <v>42</v>
      </c>
      <c r="E241" s="14" t="n">
        <v>668.64</v>
      </c>
      <c r="F241" s="14" t="n">
        <v>1246.52</v>
      </c>
    </row>
    <row r="242" customFormat="false" ht="15" hidden="false" customHeight="false" outlineLevel="0" collapsed="false">
      <c r="A242" s="11" t="n">
        <v>241</v>
      </c>
      <c r="B242" s="11" t="s">
        <v>100</v>
      </c>
      <c r="C242" s="11" t="s">
        <v>135</v>
      </c>
      <c r="D242" s="11" t="s">
        <v>42</v>
      </c>
      <c r="E242" s="12" t="n">
        <v>518.62</v>
      </c>
      <c r="F242" s="12" t="n">
        <v>839.55</v>
      </c>
    </row>
    <row r="243" customFormat="false" ht="15" hidden="false" customHeight="false" outlineLevel="0" collapsed="false">
      <c r="A243" s="13" t="n">
        <v>242</v>
      </c>
      <c r="B243" s="13" t="s">
        <v>109</v>
      </c>
      <c r="C243" s="13" t="s">
        <v>106</v>
      </c>
      <c r="D243" s="13" t="s">
        <v>111</v>
      </c>
      <c r="E243" s="14" t="n">
        <v>113.54</v>
      </c>
      <c r="F243" s="14" t="n">
        <v>171.85</v>
      </c>
    </row>
    <row r="244" customFormat="false" ht="15" hidden="false" customHeight="false" outlineLevel="0" collapsed="false">
      <c r="A244" s="11" t="n">
        <v>243</v>
      </c>
      <c r="B244" s="11" t="s">
        <v>117</v>
      </c>
      <c r="C244" s="11" t="s">
        <v>128</v>
      </c>
      <c r="D244" s="11" t="s">
        <v>107</v>
      </c>
      <c r="E244" s="12" t="n">
        <v>572.56</v>
      </c>
      <c r="F244" s="12" t="n">
        <v>934.24</v>
      </c>
    </row>
    <row r="245" customFormat="false" ht="15" hidden="false" customHeight="false" outlineLevel="0" collapsed="false">
      <c r="A245" s="13" t="n">
        <v>244</v>
      </c>
      <c r="B245" s="13" t="s">
        <v>131</v>
      </c>
      <c r="C245" s="13" t="s">
        <v>121</v>
      </c>
      <c r="D245" s="13" t="s">
        <v>49</v>
      </c>
      <c r="E245" s="14" t="n">
        <v>1185.47</v>
      </c>
      <c r="F245" s="14" t="n">
        <v>1713.35</v>
      </c>
    </row>
    <row r="246" customFormat="false" ht="15" hidden="false" customHeight="false" outlineLevel="0" collapsed="false">
      <c r="A246" s="11" t="n">
        <v>245</v>
      </c>
      <c r="B246" s="11" t="s">
        <v>97</v>
      </c>
      <c r="C246" s="11" t="s">
        <v>122</v>
      </c>
      <c r="D246" s="11" t="s">
        <v>99</v>
      </c>
      <c r="E246" s="12" t="n">
        <v>141.52</v>
      </c>
      <c r="F246" s="12" t="n">
        <v>289.02</v>
      </c>
    </row>
    <row r="247" customFormat="false" ht="15" hidden="false" customHeight="false" outlineLevel="0" collapsed="false">
      <c r="A247" s="13" t="n">
        <v>246</v>
      </c>
      <c r="B247" s="13" t="s">
        <v>153</v>
      </c>
      <c r="C247" s="13" t="s">
        <v>108</v>
      </c>
      <c r="D247" s="13" t="s">
        <v>32</v>
      </c>
      <c r="E247" s="14" t="n">
        <v>822.3</v>
      </c>
      <c r="F247" s="14" t="n">
        <v>1370.72</v>
      </c>
    </row>
    <row r="248" customFormat="false" ht="15" hidden="false" customHeight="false" outlineLevel="0" collapsed="false">
      <c r="A248" s="11" t="n">
        <v>247</v>
      </c>
      <c r="B248" s="11" t="s">
        <v>155</v>
      </c>
      <c r="C248" s="11" t="s">
        <v>102</v>
      </c>
      <c r="D248" s="11" t="s">
        <v>94</v>
      </c>
      <c r="E248" s="12" t="n">
        <v>154.24</v>
      </c>
      <c r="F248" s="12" t="n">
        <v>282.45</v>
      </c>
    </row>
    <row r="249" customFormat="false" ht="15" hidden="false" customHeight="false" outlineLevel="0" collapsed="false">
      <c r="A249" s="13" t="n">
        <v>248</v>
      </c>
      <c r="B249" s="13" t="s">
        <v>89</v>
      </c>
      <c r="C249" s="13" t="s">
        <v>106</v>
      </c>
      <c r="D249" s="13" t="s">
        <v>91</v>
      </c>
      <c r="E249" s="14" t="n">
        <v>380.31</v>
      </c>
      <c r="F249" s="14" t="n">
        <v>548.61</v>
      </c>
    </row>
    <row r="250" customFormat="false" ht="15" hidden="false" customHeight="false" outlineLevel="0" collapsed="false">
      <c r="A250" s="11" t="n">
        <v>249</v>
      </c>
      <c r="B250" s="11" t="s">
        <v>125</v>
      </c>
      <c r="C250" s="11" t="s">
        <v>93</v>
      </c>
      <c r="D250" s="11" t="s">
        <v>107</v>
      </c>
      <c r="E250" s="12" t="n">
        <v>1043.6</v>
      </c>
      <c r="F250" s="12" t="n">
        <v>2233.54</v>
      </c>
    </row>
    <row r="251" customFormat="false" ht="15" hidden="false" customHeight="false" outlineLevel="0" collapsed="false">
      <c r="A251" s="13" t="n">
        <v>250</v>
      </c>
      <c r="B251" s="13" t="s">
        <v>134</v>
      </c>
      <c r="C251" s="13" t="s">
        <v>90</v>
      </c>
      <c r="D251" s="13" t="s">
        <v>49</v>
      </c>
      <c r="E251" s="14" t="n">
        <v>604.25</v>
      </c>
      <c r="F251" s="14" t="n">
        <v>852.28</v>
      </c>
    </row>
    <row r="252" customFormat="false" ht="15" hidden="false" customHeight="false" outlineLevel="0" collapsed="false">
      <c r="A252" s="11" t="n">
        <v>251</v>
      </c>
      <c r="B252" s="11" t="s">
        <v>109</v>
      </c>
      <c r="C252" s="11" t="s">
        <v>102</v>
      </c>
      <c r="D252" s="11" t="s">
        <v>111</v>
      </c>
      <c r="E252" s="12" t="n">
        <v>340.31</v>
      </c>
      <c r="F252" s="12" t="n">
        <v>734.05</v>
      </c>
    </row>
    <row r="253" customFormat="false" ht="15" hidden="false" customHeight="false" outlineLevel="0" collapsed="false">
      <c r="A253" s="13" t="n">
        <v>252</v>
      </c>
      <c r="B253" s="13" t="s">
        <v>158</v>
      </c>
      <c r="C253" s="13" t="s">
        <v>98</v>
      </c>
      <c r="D253" s="13" t="s">
        <v>119</v>
      </c>
      <c r="E253" s="14" t="n">
        <v>923</v>
      </c>
      <c r="F253" s="14" t="n">
        <v>1812.28</v>
      </c>
    </row>
    <row r="254" customFormat="false" ht="15" hidden="false" customHeight="false" outlineLevel="0" collapsed="false">
      <c r="A254" s="11" t="n">
        <v>253</v>
      </c>
      <c r="B254" s="11" t="s">
        <v>127</v>
      </c>
      <c r="C254" s="11" t="s">
        <v>122</v>
      </c>
      <c r="D254" s="11" t="s">
        <v>32</v>
      </c>
      <c r="E254" s="12" t="n">
        <v>238.6</v>
      </c>
      <c r="F254" s="12" t="n">
        <v>478.34</v>
      </c>
    </row>
    <row r="255" customFormat="false" ht="15" hidden="false" customHeight="false" outlineLevel="0" collapsed="false">
      <c r="A255" s="13" t="n">
        <v>254</v>
      </c>
      <c r="B255" s="13" t="s">
        <v>144</v>
      </c>
      <c r="C255" s="13" t="s">
        <v>102</v>
      </c>
      <c r="D255" s="13" t="s">
        <v>49</v>
      </c>
      <c r="E255" s="14" t="n">
        <v>62.25</v>
      </c>
      <c r="F255" s="14" t="n">
        <v>134.96</v>
      </c>
    </row>
    <row r="256" customFormat="false" ht="15" hidden="false" customHeight="false" outlineLevel="0" collapsed="false">
      <c r="A256" s="11" t="n">
        <v>255</v>
      </c>
      <c r="B256" s="11" t="s">
        <v>136</v>
      </c>
      <c r="C256" s="11" t="s">
        <v>90</v>
      </c>
      <c r="D256" s="11" t="s">
        <v>42</v>
      </c>
      <c r="E256" s="12" t="n">
        <v>990.24</v>
      </c>
      <c r="F256" s="12" t="n">
        <v>1926.51</v>
      </c>
    </row>
    <row r="257" customFormat="false" ht="15" hidden="false" customHeight="false" outlineLevel="0" collapsed="false">
      <c r="A257" s="13" t="n">
        <v>256</v>
      </c>
      <c r="B257" s="13" t="s">
        <v>151</v>
      </c>
      <c r="C257" s="13" t="s">
        <v>124</v>
      </c>
      <c r="D257" s="13" t="s">
        <v>49</v>
      </c>
      <c r="E257" s="14" t="n">
        <v>558.4</v>
      </c>
      <c r="F257" s="14" t="n">
        <v>977.78</v>
      </c>
    </row>
    <row r="258" customFormat="false" ht="15" hidden="false" customHeight="false" outlineLevel="0" collapsed="false">
      <c r="A258" s="11" t="n">
        <v>257</v>
      </c>
      <c r="B258" s="11" t="s">
        <v>141</v>
      </c>
      <c r="C258" s="11" t="s">
        <v>104</v>
      </c>
      <c r="D258" s="11" t="s">
        <v>34</v>
      </c>
      <c r="E258" s="12" t="n">
        <v>379.14</v>
      </c>
      <c r="F258" s="12" t="n">
        <v>632.93</v>
      </c>
    </row>
    <row r="259" customFormat="false" ht="15" hidden="false" customHeight="false" outlineLevel="0" collapsed="false">
      <c r="A259" s="13" t="n">
        <v>258</v>
      </c>
      <c r="B259" s="13" t="s">
        <v>138</v>
      </c>
      <c r="C259" s="13" t="s">
        <v>116</v>
      </c>
      <c r="D259" s="13" t="s">
        <v>111</v>
      </c>
      <c r="E259" s="14" t="n">
        <v>315.97</v>
      </c>
      <c r="F259" s="14" t="n">
        <v>505.12</v>
      </c>
    </row>
    <row r="260" customFormat="false" ht="15" hidden="false" customHeight="false" outlineLevel="0" collapsed="false">
      <c r="A260" s="11" t="n">
        <v>259</v>
      </c>
      <c r="B260" s="11" t="s">
        <v>127</v>
      </c>
      <c r="C260" s="11" t="s">
        <v>124</v>
      </c>
      <c r="D260" s="11" t="s">
        <v>32</v>
      </c>
      <c r="E260" s="12" t="n">
        <v>512.01</v>
      </c>
      <c r="F260" s="12" t="n">
        <v>850.27</v>
      </c>
    </row>
    <row r="261" customFormat="false" ht="15" hidden="false" customHeight="false" outlineLevel="0" collapsed="false">
      <c r="A261" s="13" t="n">
        <v>260</v>
      </c>
      <c r="B261" s="13" t="s">
        <v>148</v>
      </c>
      <c r="C261" s="13" t="s">
        <v>116</v>
      </c>
      <c r="D261" s="13" t="s">
        <v>99</v>
      </c>
      <c r="E261" s="14" t="n">
        <v>734.22</v>
      </c>
      <c r="F261" s="14" t="n">
        <v>1464.95</v>
      </c>
    </row>
    <row r="262" customFormat="false" ht="15" hidden="false" customHeight="false" outlineLevel="0" collapsed="false">
      <c r="A262" s="11" t="n">
        <v>261</v>
      </c>
      <c r="B262" s="11" t="s">
        <v>133</v>
      </c>
      <c r="C262" s="11" t="s">
        <v>102</v>
      </c>
      <c r="D262" s="11" t="s">
        <v>42</v>
      </c>
      <c r="E262" s="12" t="n">
        <v>380.35</v>
      </c>
      <c r="F262" s="12" t="n">
        <v>817.85</v>
      </c>
    </row>
    <row r="263" customFormat="false" ht="15" hidden="false" customHeight="false" outlineLevel="0" collapsed="false">
      <c r="A263" s="13" t="n">
        <v>262</v>
      </c>
      <c r="B263" s="13" t="s">
        <v>147</v>
      </c>
      <c r="C263" s="13" t="s">
        <v>110</v>
      </c>
      <c r="D263" s="13" t="s">
        <v>113</v>
      </c>
      <c r="E263" s="14" t="n">
        <v>234.49</v>
      </c>
      <c r="F263" s="14" t="n">
        <v>494.9</v>
      </c>
    </row>
    <row r="264" customFormat="false" ht="15" hidden="false" customHeight="false" outlineLevel="0" collapsed="false">
      <c r="A264" s="11" t="n">
        <v>263</v>
      </c>
      <c r="B264" s="11" t="s">
        <v>134</v>
      </c>
      <c r="C264" s="11" t="s">
        <v>98</v>
      </c>
      <c r="D264" s="11" t="s">
        <v>49</v>
      </c>
      <c r="E264" s="12" t="n">
        <v>119.3</v>
      </c>
      <c r="F264" s="12" t="n">
        <v>242.08</v>
      </c>
    </row>
    <row r="265" customFormat="false" ht="15" hidden="false" customHeight="false" outlineLevel="0" collapsed="false">
      <c r="A265" s="13" t="n">
        <v>264</v>
      </c>
      <c r="B265" s="13" t="s">
        <v>101</v>
      </c>
      <c r="C265" s="13" t="s">
        <v>98</v>
      </c>
      <c r="D265" s="13" t="s">
        <v>42</v>
      </c>
      <c r="E265" s="14" t="n">
        <v>541.06</v>
      </c>
      <c r="F265" s="14" t="n">
        <v>788.84</v>
      </c>
    </row>
    <row r="266" customFormat="false" ht="15" hidden="false" customHeight="false" outlineLevel="0" collapsed="false">
      <c r="A266" s="11" t="n">
        <v>265</v>
      </c>
      <c r="B266" s="11" t="s">
        <v>150</v>
      </c>
      <c r="C266" s="11" t="s">
        <v>102</v>
      </c>
      <c r="D266" s="11" t="s">
        <v>143</v>
      </c>
      <c r="E266" s="12" t="n">
        <v>821.63</v>
      </c>
      <c r="F266" s="12" t="n">
        <v>1645.16</v>
      </c>
    </row>
    <row r="267" customFormat="false" ht="15" hidden="false" customHeight="false" outlineLevel="0" collapsed="false">
      <c r="A267" s="13" t="n">
        <v>266</v>
      </c>
      <c r="B267" s="13" t="s">
        <v>145</v>
      </c>
      <c r="C267" s="13" t="s">
        <v>124</v>
      </c>
      <c r="D267" s="13" t="s">
        <v>143</v>
      </c>
      <c r="E267" s="14" t="n">
        <v>983.17</v>
      </c>
      <c r="F267" s="14" t="n">
        <v>1458.58</v>
      </c>
    </row>
    <row r="268" customFormat="false" ht="15" hidden="false" customHeight="false" outlineLevel="0" collapsed="false">
      <c r="A268" s="11" t="n">
        <v>267</v>
      </c>
      <c r="B268" s="11" t="s">
        <v>132</v>
      </c>
      <c r="C268" s="11" t="s">
        <v>93</v>
      </c>
      <c r="D268" s="11" t="s">
        <v>94</v>
      </c>
      <c r="E268" s="12" t="n">
        <v>901.58</v>
      </c>
      <c r="F268" s="12" t="n">
        <v>1465.9</v>
      </c>
    </row>
    <row r="269" customFormat="false" ht="15" hidden="false" customHeight="false" outlineLevel="0" collapsed="false">
      <c r="A269" s="13" t="n">
        <v>268</v>
      </c>
      <c r="B269" s="13" t="s">
        <v>92</v>
      </c>
      <c r="C269" s="13" t="s">
        <v>121</v>
      </c>
      <c r="D269" s="13" t="s">
        <v>94</v>
      </c>
      <c r="E269" s="14" t="n">
        <v>865.34</v>
      </c>
      <c r="F269" s="14" t="n">
        <v>1363.98</v>
      </c>
    </row>
    <row r="270" customFormat="false" ht="15" hidden="false" customHeight="false" outlineLevel="0" collapsed="false">
      <c r="A270" s="11" t="n">
        <v>269</v>
      </c>
      <c r="B270" s="11" t="s">
        <v>103</v>
      </c>
      <c r="C270" s="11" t="s">
        <v>116</v>
      </c>
      <c r="D270" s="11" t="s">
        <v>42</v>
      </c>
      <c r="E270" s="12" t="n">
        <v>1092.74</v>
      </c>
      <c r="F270" s="12" t="n">
        <v>2009.51</v>
      </c>
    </row>
    <row r="271" customFormat="false" ht="15" hidden="false" customHeight="false" outlineLevel="0" collapsed="false">
      <c r="A271" s="13" t="n">
        <v>270</v>
      </c>
      <c r="B271" s="13" t="s">
        <v>103</v>
      </c>
      <c r="C271" s="13" t="s">
        <v>106</v>
      </c>
      <c r="D271" s="13" t="s">
        <v>42</v>
      </c>
      <c r="E271" s="14" t="n">
        <v>1068.55</v>
      </c>
      <c r="F271" s="14" t="n">
        <v>1964.28</v>
      </c>
    </row>
    <row r="272" customFormat="false" ht="15" hidden="false" customHeight="false" outlineLevel="0" collapsed="false">
      <c r="A272" s="11" t="n">
        <v>271</v>
      </c>
      <c r="B272" s="11" t="s">
        <v>103</v>
      </c>
      <c r="C272" s="11" t="s">
        <v>135</v>
      </c>
      <c r="D272" s="11" t="s">
        <v>42</v>
      </c>
      <c r="E272" s="12" t="n">
        <v>417.61</v>
      </c>
      <c r="F272" s="12" t="n">
        <v>833.81</v>
      </c>
    </row>
    <row r="273" customFormat="false" ht="15" hidden="false" customHeight="false" outlineLevel="0" collapsed="false">
      <c r="A273" s="13" t="n">
        <v>272</v>
      </c>
      <c r="B273" s="13" t="s">
        <v>147</v>
      </c>
      <c r="C273" s="13" t="s">
        <v>96</v>
      </c>
      <c r="D273" s="13" t="s">
        <v>113</v>
      </c>
      <c r="E273" s="14" t="n">
        <v>1077.99</v>
      </c>
      <c r="F273" s="14" t="n">
        <v>1670.27</v>
      </c>
    </row>
    <row r="274" customFormat="false" ht="15" hidden="false" customHeight="false" outlineLevel="0" collapsed="false">
      <c r="A274" s="11" t="n">
        <v>273</v>
      </c>
      <c r="B274" s="11" t="s">
        <v>132</v>
      </c>
      <c r="C274" s="11" t="s">
        <v>108</v>
      </c>
      <c r="D274" s="11" t="s">
        <v>94</v>
      </c>
      <c r="E274" s="12" t="n">
        <v>778.57</v>
      </c>
      <c r="F274" s="12" t="n">
        <v>1242.46</v>
      </c>
    </row>
    <row r="275" customFormat="false" ht="15" hidden="false" customHeight="false" outlineLevel="0" collapsed="false">
      <c r="A275" s="13" t="n">
        <v>274</v>
      </c>
      <c r="B275" s="13" t="s">
        <v>150</v>
      </c>
      <c r="C275" s="13" t="s">
        <v>98</v>
      </c>
      <c r="D275" s="13" t="s">
        <v>143</v>
      </c>
      <c r="E275" s="14" t="n">
        <v>963.65</v>
      </c>
      <c r="F275" s="14" t="n">
        <v>1705.84</v>
      </c>
    </row>
    <row r="276" customFormat="false" ht="15" hidden="false" customHeight="false" outlineLevel="0" collapsed="false">
      <c r="A276" s="11" t="n">
        <v>275</v>
      </c>
      <c r="B276" s="11" t="s">
        <v>125</v>
      </c>
      <c r="C276" s="11" t="s">
        <v>102</v>
      </c>
      <c r="D276" s="11" t="s">
        <v>107</v>
      </c>
      <c r="E276" s="12" t="n">
        <v>1149.72</v>
      </c>
      <c r="F276" s="12" t="n">
        <v>2286.97</v>
      </c>
    </row>
    <row r="277" customFormat="false" ht="15" hidden="false" customHeight="false" outlineLevel="0" collapsed="false">
      <c r="A277" s="13" t="n">
        <v>276</v>
      </c>
      <c r="B277" s="13" t="s">
        <v>158</v>
      </c>
      <c r="C277" s="13" t="s">
        <v>135</v>
      </c>
      <c r="D277" s="13" t="s">
        <v>119</v>
      </c>
      <c r="E277" s="14" t="n">
        <v>804.3</v>
      </c>
      <c r="F277" s="14" t="n">
        <v>1546.3</v>
      </c>
    </row>
    <row r="278" customFormat="false" ht="15" hidden="false" customHeight="false" outlineLevel="0" collapsed="false">
      <c r="A278" s="11" t="n">
        <v>277</v>
      </c>
      <c r="B278" s="11" t="s">
        <v>158</v>
      </c>
      <c r="C278" s="11" t="s">
        <v>135</v>
      </c>
      <c r="D278" s="11" t="s">
        <v>119</v>
      </c>
      <c r="E278" s="12" t="n">
        <v>966.33</v>
      </c>
      <c r="F278" s="12" t="n">
        <v>2005.76</v>
      </c>
    </row>
    <row r="279" customFormat="false" ht="15" hidden="false" customHeight="false" outlineLevel="0" collapsed="false">
      <c r="A279" s="13" t="n">
        <v>278</v>
      </c>
      <c r="B279" s="13" t="s">
        <v>158</v>
      </c>
      <c r="C279" s="13" t="s">
        <v>122</v>
      </c>
      <c r="D279" s="13" t="s">
        <v>119</v>
      </c>
      <c r="E279" s="14" t="n">
        <v>258.85</v>
      </c>
      <c r="F279" s="14" t="n">
        <v>466.31</v>
      </c>
    </row>
    <row r="280" customFormat="false" ht="15" hidden="false" customHeight="false" outlineLevel="0" collapsed="false">
      <c r="A280" s="11" t="n">
        <v>279</v>
      </c>
      <c r="B280" s="11" t="s">
        <v>95</v>
      </c>
      <c r="C280" s="11" t="s">
        <v>110</v>
      </c>
      <c r="D280" s="11" t="s">
        <v>32</v>
      </c>
      <c r="E280" s="12" t="n">
        <v>339.91</v>
      </c>
      <c r="F280" s="12" t="n">
        <v>501.64</v>
      </c>
    </row>
    <row r="281" customFormat="false" ht="15" hidden="false" customHeight="false" outlineLevel="0" collapsed="false">
      <c r="A281" s="13" t="n">
        <v>280</v>
      </c>
      <c r="B281" s="13" t="s">
        <v>151</v>
      </c>
      <c r="C281" s="13" t="s">
        <v>124</v>
      </c>
      <c r="D281" s="13" t="s">
        <v>49</v>
      </c>
      <c r="E281" s="14" t="n">
        <v>133.04</v>
      </c>
      <c r="F281" s="14" t="n">
        <v>240.45</v>
      </c>
    </row>
    <row r="282" customFormat="false" ht="15" hidden="false" customHeight="false" outlineLevel="0" collapsed="false">
      <c r="A282" s="11" t="n">
        <v>281</v>
      </c>
      <c r="B282" s="11" t="s">
        <v>151</v>
      </c>
      <c r="C282" s="11" t="s">
        <v>135</v>
      </c>
      <c r="D282" s="11" t="s">
        <v>49</v>
      </c>
      <c r="E282" s="12" t="n">
        <v>165.25</v>
      </c>
      <c r="F282" s="12" t="n">
        <v>298.69</v>
      </c>
    </row>
    <row r="283" customFormat="false" ht="15" hidden="false" customHeight="false" outlineLevel="0" collapsed="false">
      <c r="A283" s="13" t="n">
        <v>282</v>
      </c>
      <c r="B283" s="13" t="s">
        <v>139</v>
      </c>
      <c r="C283" s="13" t="s">
        <v>96</v>
      </c>
      <c r="D283" s="13" t="s">
        <v>111</v>
      </c>
      <c r="E283" s="14" t="n">
        <v>538.22</v>
      </c>
      <c r="F283" s="14" t="n">
        <v>1095.67</v>
      </c>
    </row>
    <row r="284" customFormat="false" ht="15" hidden="false" customHeight="false" outlineLevel="0" collapsed="false">
      <c r="A284" s="11" t="n">
        <v>283</v>
      </c>
      <c r="B284" s="11" t="s">
        <v>109</v>
      </c>
      <c r="C284" s="11" t="s">
        <v>135</v>
      </c>
      <c r="D284" s="11" t="s">
        <v>111</v>
      </c>
      <c r="E284" s="12" t="n">
        <v>837.63</v>
      </c>
      <c r="F284" s="12" t="n">
        <v>1415.79</v>
      </c>
    </row>
    <row r="285" customFormat="false" ht="15" hidden="false" customHeight="false" outlineLevel="0" collapsed="false">
      <c r="A285" s="13" t="n">
        <v>284</v>
      </c>
      <c r="B285" s="13" t="s">
        <v>105</v>
      </c>
      <c r="C285" s="13" t="s">
        <v>128</v>
      </c>
      <c r="D285" s="13" t="s">
        <v>107</v>
      </c>
      <c r="E285" s="14" t="n">
        <v>738.58</v>
      </c>
      <c r="F285" s="14" t="n">
        <v>1366.43</v>
      </c>
    </row>
    <row r="286" customFormat="false" ht="15" hidden="false" customHeight="false" outlineLevel="0" collapsed="false">
      <c r="A286" s="11" t="n">
        <v>285</v>
      </c>
      <c r="B286" s="11" t="s">
        <v>89</v>
      </c>
      <c r="C286" s="11" t="s">
        <v>110</v>
      </c>
      <c r="D286" s="11" t="s">
        <v>91</v>
      </c>
      <c r="E286" s="12" t="n">
        <v>1074.54</v>
      </c>
      <c r="F286" s="12" t="n">
        <v>1600.13</v>
      </c>
    </row>
    <row r="287" customFormat="false" ht="15" hidden="false" customHeight="false" outlineLevel="0" collapsed="false">
      <c r="A287" s="13" t="n">
        <v>286</v>
      </c>
      <c r="B287" s="13" t="s">
        <v>133</v>
      </c>
      <c r="C287" s="13" t="s">
        <v>108</v>
      </c>
      <c r="D287" s="13" t="s">
        <v>42</v>
      </c>
      <c r="E287" s="14" t="n">
        <v>420.88</v>
      </c>
      <c r="F287" s="14" t="n">
        <v>803.52</v>
      </c>
    </row>
    <row r="288" customFormat="false" ht="15" hidden="false" customHeight="false" outlineLevel="0" collapsed="false">
      <c r="A288" s="11" t="n">
        <v>287</v>
      </c>
      <c r="B288" s="11" t="s">
        <v>157</v>
      </c>
      <c r="C288" s="11" t="s">
        <v>110</v>
      </c>
      <c r="D288" s="11" t="s">
        <v>91</v>
      </c>
      <c r="E288" s="12" t="n">
        <v>149.17</v>
      </c>
      <c r="F288" s="12" t="n">
        <v>256.56</v>
      </c>
    </row>
    <row r="289" customFormat="false" ht="15" hidden="false" customHeight="false" outlineLevel="0" collapsed="false">
      <c r="A289" s="13" t="n">
        <v>288</v>
      </c>
      <c r="B289" s="13" t="s">
        <v>132</v>
      </c>
      <c r="C289" s="13" t="s">
        <v>93</v>
      </c>
      <c r="D289" s="13" t="s">
        <v>94</v>
      </c>
      <c r="E289" s="14" t="n">
        <v>1016.87</v>
      </c>
      <c r="F289" s="14" t="n">
        <v>2104.72</v>
      </c>
    </row>
    <row r="290" customFormat="false" ht="15" hidden="false" customHeight="false" outlineLevel="0" collapsed="false">
      <c r="A290" s="11" t="n">
        <v>289</v>
      </c>
      <c r="B290" s="11" t="s">
        <v>112</v>
      </c>
      <c r="C290" s="11" t="s">
        <v>90</v>
      </c>
      <c r="D290" s="11" t="s">
        <v>113</v>
      </c>
      <c r="E290" s="12" t="n">
        <v>435.72</v>
      </c>
      <c r="F290" s="12" t="n">
        <v>866.74</v>
      </c>
    </row>
    <row r="291" customFormat="false" ht="15" hidden="false" customHeight="false" outlineLevel="0" collapsed="false">
      <c r="A291" s="13" t="n">
        <v>290</v>
      </c>
      <c r="B291" s="13" t="s">
        <v>139</v>
      </c>
      <c r="C291" s="13" t="s">
        <v>104</v>
      </c>
      <c r="D291" s="13" t="s">
        <v>111</v>
      </c>
      <c r="E291" s="14" t="n">
        <v>696.57</v>
      </c>
      <c r="F291" s="14" t="n">
        <v>955.86</v>
      </c>
    </row>
    <row r="292" customFormat="false" ht="15" hidden="false" customHeight="false" outlineLevel="0" collapsed="false">
      <c r="A292" s="11" t="n">
        <v>291</v>
      </c>
      <c r="B292" s="11" t="s">
        <v>123</v>
      </c>
      <c r="C292" s="11" t="s">
        <v>98</v>
      </c>
      <c r="D292" s="11" t="s">
        <v>32</v>
      </c>
      <c r="E292" s="12" t="n">
        <v>788.33</v>
      </c>
      <c r="F292" s="12" t="n">
        <v>1555.86</v>
      </c>
    </row>
    <row r="293" customFormat="false" ht="15" hidden="false" customHeight="false" outlineLevel="0" collapsed="false">
      <c r="A293" s="13" t="n">
        <v>292</v>
      </c>
      <c r="B293" s="13" t="s">
        <v>126</v>
      </c>
      <c r="C293" s="13" t="s">
        <v>90</v>
      </c>
      <c r="D293" s="13" t="s">
        <v>34</v>
      </c>
      <c r="E293" s="14" t="n">
        <v>1070.89</v>
      </c>
      <c r="F293" s="14" t="n">
        <v>1983.86</v>
      </c>
    </row>
    <row r="294" customFormat="false" ht="15" hidden="false" customHeight="false" outlineLevel="0" collapsed="false">
      <c r="A294" s="11" t="n">
        <v>293</v>
      </c>
      <c r="B294" s="11" t="s">
        <v>97</v>
      </c>
      <c r="C294" s="11" t="s">
        <v>98</v>
      </c>
      <c r="D294" s="11" t="s">
        <v>99</v>
      </c>
      <c r="E294" s="12" t="n">
        <v>1176.64</v>
      </c>
      <c r="F294" s="12" t="n">
        <v>2073.47</v>
      </c>
    </row>
    <row r="295" customFormat="false" ht="15" hidden="false" customHeight="false" outlineLevel="0" collapsed="false">
      <c r="A295" s="13" t="n">
        <v>294</v>
      </c>
      <c r="B295" s="13" t="s">
        <v>97</v>
      </c>
      <c r="C295" s="13" t="s">
        <v>96</v>
      </c>
      <c r="D295" s="13" t="s">
        <v>99</v>
      </c>
      <c r="E295" s="14" t="n">
        <v>1029.03</v>
      </c>
      <c r="F295" s="14" t="n">
        <v>2075.9</v>
      </c>
    </row>
    <row r="296" customFormat="false" ht="15" hidden="false" customHeight="false" outlineLevel="0" collapsed="false">
      <c r="A296" s="11" t="n">
        <v>295</v>
      </c>
      <c r="B296" s="11" t="s">
        <v>158</v>
      </c>
      <c r="C296" s="11" t="s">
        <v>93</v>
      </c>
      <c r="D296" s="11" t="s">
        <v>119</v>
      </c>
      <c r="E296" s="12" t="n">
        <v>1101.29</v>
      </c>
      <c r="F296" s="12" t="n">
        <v>2417.56</v>
      </c>
    </row>
    <row r="297" customFormat="false" ht="15" hidden="false" customHeight="false" outlineLevel="0" collapsed="false">
      <c r="A297" s="13" t="n">
        <v>296</v>
      </c>
      <c r="B297" s="13" t="s">
        <v>152</v>
      </c>
      <c r="C297" s="13" t="s">
        <v>106</v>
      </c>
      <c r="D297" s="13" t="s">
        <v>42</v>
      </c>
      <c r="E297" s="14" t="n">
        <v>436.19</v>
      </c>
      <c r="F297" s="14" t="n">
        <v>755.8</v>
      </c>
    </row>
    <row r="298" customFormat="false" ht="15" hidden="false" customHeight="false" outlineLevel="0" collapsed="false">
      <c r="A298" s="11" t="n">
        <v>297</v>
      </c>
      <c r="B298" s="11" t="s">
        <v>118</v>
      </c>
      <c r="C298" s="11" t="s">
        <v>122</v>
      </c>
      <c r="D298" s="11" t="s">
        <v>119</v>
      </c>
      <c r="E298" s="12" t="n">
        <v>80.66</v>
      </c>
      <c r="F298" s="12" t="n">
        <v>175.34</v>
      </c>
    </row>
    <row r="299" customFormat="false" ht="15" hidden="false" customHeight="false" outlineLevel="0" collapsed="false">
      <c r="A299" s="13" t="n">
        <v>298</v>
      </c>
      <c r="B299" s="13" t="s">
        <v>150</v>
      </c>
      <c r="C299" s="13" t="s">
        <v>106</v>
      </c>
      <c r="D299" s="13" t="s">
        <v>143</v>
      </c>
      <c r="E299" s="14" t="n">
        <v>841.2</v>
      </c>
      <c r="F299" s="14" t="n">
        <v>1393.01</v>
      </c>
    </row>
    <row r="300" customFormat="false" ht="15" hidden="false" customHeight="false" outlineLevel="0" collapsed="false">
      <c r="A300" s="11" t="n">
        <v>299</v>
      </c>
      <c r="B300" s="11" t="s">
        <v>100</v>
      </c>
      <c r="C300" s="11" t="s">
        <v>96</v>
      </c>
      <c r="D300" s="11" t="s">
        <v>42</v>
      </c>
      <c r="E300" s="12" t="n">
        <v>746.98</v>
      </c>
      <c r="F300" s="12" t="n">
        <v>1031.14</v>
      </c>
    </row>
    <row r="301" customFormat="false" ht="15" hidden="false" customHeight="false" outlineLevel="0" collapsed="false">
      <c r="A301" s="13" t="n">
        <v>300</v>
      </c>
      <c r="B301" s="13" t="s">
        <v>157</v>
      </c>
      <c r="C301" s="13" t="s">
        <v>128</v>
      </c>
      <c r="D301" s="13" t="s">
        <v>91</v>
      </c>
      <c r="E301" s="14" t="n">
        <v>753.24</v>
      </c>
      <c r="F301" s="14" t="n">
        <v>1361.48</v>
      </c>
    </row>
    <row r="302" customFormat="false" ht="15" hidden="false" customHeight="false" outlineLevel="0" collapsed="false">
      <c r="A302" s="11" t="n">
        <v>301</v>
      </c>
      <c r="B302" s="11" t="s">
        <v>118</v>
      </c>
      <c r="C302" s="11" t="s">
        <v>90</v>
      </c>
      <c r="D302" s="11" t="s">
        <v>119</v>
      </c>
      <c r="E302" s="12" t="n">
        <v>398.67</v>
      </c>
      <c r="F302" s="12" t="n">
        <v>663.65</v>
      </c>
    </row>
    <row r="303" customFormat="false" ht="15" hidden="false" customHeight="false" outlineLevel="0" collapsed="false">
      <c r="A303" s="13" t="n">
        <v>302</v>
      </c>
      <c r="B303" s="13" t="s">
        <v>114</v>
      </c>
      <c r="C303" s="13" t="s">
        <v>110</v>
      </c>
      <c r="D303" s="13" t="s">
        <v>91</v>
      </c>
      <c r="E303" s="14" t="n">
        <v>596.37</v>
      </c>
      <c r="F303" s="14" t="n">
        <v>1286.56</v>
      </c>
    </row>
    <row r="304" customFormat="false" ht="15" hidden="false" customHeight="false" outlineLevel="0" collapsed="false">
      <c r="A304" s="11" t="n">
        <v>303</v>
      </c>
      <c r="B304" s="11" t="s">
        <v>152</v>
      </c>
      <c r="C304" s="11" t="s">
        <v>122</v>
      </c>
      <c r="D304" s="11" t="s">
        <v>42</v>
      </c>
      <c r="E304" s="12" t="n">
        <v>899.38</v>
      </c>
      <c r="F304" s="12" t="n">
        <v>1419.87</v>
      </c>
    </row>
    <row r="305" customFormat="false" ht="15" hidden="false" customHeight="false" outlineLevel="0" collapsed="false">
      <c r="A305" s="13" t="n">
        <v>304</v>
      </c>
      <c r="B305" s="13" t="s">
        <v>115</v>
      </c>
      <c r="C305" s="13" t="s">
        <v>128</v>
      </c>
      <c r="D305" s="13" t="s">
        <v>32</v>
      </c>
      <c r="E305" s="14" t="n">
        <v>414.14</v>
      </c>
      <c r="F305" s="14" t="n">
        <v>794.63</v>
      </c>
    </row>
    <row r="306" customFormat="false" ht="15" hidden="false" customHeight="false" outlineLevel="0" collapsed="false">
      <c r="A306" s="11" t="n">
        <v>305</v>
      </c>
      <c r="B306" s="11" t="s">
        <v>158</v>
      </c>
      <c r="C306" s="11" t="s">
        <v>135</v>
      </c>
      <c r="D306" s="11" t="s">
        <v>119</v>
      </c>
      <c r="E306" s="12" t="n">
        <v>1131.55</v>
      </c>
      <c r="F306" s="12" t="n">
        <v>2431.25</v>
      </c>
    </row>
    <row r="307" customFormat="false" ht="15" hidden="false" customHeight="false" outlineLevel="0" collapsed="false">
      <c r="A307" s="13" t="n">
        <v>306</v>
      </c>
      <c r="B307" s="13" t="s">
        <v>154</v>
      </c>
      <c r="C307" s="13" t="s">
        <v>135</v>
      </c>
      <c r="D307" s="13" t="s">
        <v>99</v>
      </c>
      <c r="E307" s="14" t="n">
        <v>264.47</v>
      </c>
      <c r="F307" s="14" t="n">
        <v>543.19</v>
      </c>
    </row>
    <row r="308" customFormat="false" ht="15" hidden="false" customHeight="false" outlineLevel="0" collapsed="false">
      <c r="A308" s="11" t="n">
        <v>307</v>
      </c>
      <c r="B308" s="11" t="s">
        <v>156</v>
      </c>
      <c r="C308" s="11" t="s">
        <v>96</v>
      </c>
      <c r="D308" s="11" t="s">
        <v>143</v>
      </c>
      <c r="E308" s="12" t="n">
        <v>1166.3</v>
      </c>
      <c r="F308" s="12" t="n">
        <v>1577.7</v>
      </c>
    </row>
    <row r="309" customFormat="false" ht="15" hidden="false" customHeight="false" outlineLevel="0" collapsed="false">
      <c r="A309" s="13" t="n">
        <v>308</v>
      </c>
      <c r="B309" s="13" t="s">
        <v>115</v>
      </c>
      <c r="C309" s="13" t="s">
        <v>106</v>
      </c>
      <c r="D309" s="13" t="s">
        <v>32</v>
      </c>
      <c r="E309" s="14" t="n">
        <v>1199.63</v>
      </c>
      <c r="F309" s="14" t="n">
        <v>2535.68</v>
      </c>
    </row>
    <row r="310" customFormat="false" ht="15" hidden="false" customHeight="false" outlineLevel="0" collapsed="false">
      <c r="A310" s="11" t="n">
        <v>309</v>
      </c>
      <c r="B310" s="11" t="s">
        <v>126</v>
      </c>
      <c r="C310" s="11" t="s">
        <v>90</v>
      </c>
      <c r="D310" s="11" t="s">
        <v>34</v>
      </c>
      <c r="E310" s="12" t="n">
        <v>26.69</v>
      </c>
      <c r="F310" s="12" t="n">
        <v>46.22</v>
      </c>
    </row>
    <row r="311" customFormat="false" ht="15" hidden="false" customHeight="false" outlineLevel="0" collapsed="false">
      <c r="A311" s="13" t="n">
        <v>310</v>
      </c>
      <c r="B311" s="13" t="s">
        <v>158</v>
      </c>
      <c r="C311" s="13" t="s">
        <v>122</v>
      </c>
      <c r="D311" s="13" t="s">
        <v>119</v>
      </c>
      <c r="E311" s="14" t="n">
        <v>884.47</v>
      </c>
      <c r="F311" s="14" t="n">
        <v>1292.33</v>
      </c>
    </row>
    <row r="312" customFormat="false" ht="15" hidden="false" customHeight="false" outlineLevel="0" collapsed="false">
      <c r="A312" s="11" t="n">
        <v>311</v>
      </c>
      <c r="B312" s="11" t="s">
        <v>114</v>
      </c>
      <c r="C312" s="11" t="s">
        <v>128</v>
      </c>
      <c r="D312" s="11" t="s">
        <v>91</v>
      </c>
      <c r="E312" s="12" t="n">
        <v>839.19</v>
      </c>
      <c r="F312" s="12" t="n">
        <v>1234.85</v>
      </c>
    </row>
    <row r="313" customFormat="false" ht="15" hidden="false" customHeight="false" outlineLevel="0" collapsed="false">
      <c r="A313" s="13" t="n">
        <v>312</v>
      </c>
      <c r="B313" s="13" t="s">
        <v>127</v>
      </c>
      <c r="C313" s="13" t="s">
        <v>124</v>
      </c>
      <c r="D313" s="13" t="s">
        <v>32</v>
      </c>
      <c r="E313" s="14" t="n">
        <v>402.48</v>
      </c>
      <c r="F313" s="14" t="n">
        <v>716.97</v>
      </c>
    </row>
    <row r="314" customFormat="false" ht="15" hidden="false" customHeight="false" outlineLevel="0" collapsed="false">
      <c r="A314" s="11" t="n">
        <v>313</v>
      </c>
      <c r="B314" s="11" t="s">
        <v>155</v>
      </c>
      <c r="C314" s="11" t="s">
        <v>93</v>
      </c>
      <c r="D314" s="11" t="s">
        <v>94</v>
      </c>
      <c r="E314" s="12" t="n">
        <v>86.33</v>
      </c>
      <c r="F314" s="12" t="n">
        <v>169.19</v>
      </c>
    </row>
    <row r="315" customFormat="false" ht="15" hidden="false" customHeight="false" outlineLevel="0" collapsed="false">
      <c r="A315" s="13" t="n">
        <v>314</v>
      </c>
      <c r="B315" s="13" t="s">
        <v>132</v>
      </c>
      <c r="C315" s="13" t="s">
        <v>96</v>
      </c>
      <c r="D315" s="13" t="s">
        <v>94</v>
      </c>
      <c r="E315" s="14" t="n">
        <v>1012.17</v>
      </c>
      <c r="F315" s="14" t="n">
        <v>2109.21</v>
      </c>
    </row>
    <row r="316" customFormat="false" ht="15" hidden="false" customHeight="false" outlineLevel="0" collapsed="false">
      <c r="A316" s="11" t="n">
        <v>315</v>
      </c>
      <c r="B316" s="11" t="s">
        <v>150</v>
      </c>
      <c r="C316" s="11" t="s">
        <v>122</v>
      </c>
      <c r="D316" s="11" t="s">
        <v>143</v>
      </c>
      <c r="E316" s="12" t="n">
        <v>779.46</v>
      </c>
      <c r="F316" s="12" t="n">
        <v>1334.76</v>
      </c>
    </row>
    <row r="317" customFormat="false" ht="15" hidden="false" customHeight="false" outlineLevel="0" collapsed="false">
      <c r="A317" s="13" t="n">
        <v>316</v>
      </c>
      <c r="B317" s="13" t="s">
        <v>129</v>
      </c>
      <c r="C317" s="13" t="s">
        <v>106</v>
      </c>
      <c r="D317" s="13" t="s">
        <v>111</v>
      </c>
      <c r="E317" s="14" t="n">
        <v>293.18</v>
      </c>
      <c r="F317" s="14" t="n">
        <v>626.34</v>
      </c>
    </row>
    <row r="318" customFormat="false" ht="15" hidden="false" customHeight="false" outlineLevel="0" collapsed="false">
      <c r="A318" s="11" t="n">
        <v>317</v>
      </c>
      <c r="B318" s="11" t="s">
        <v>157</v>
      </c>
      <c r="C318" s="11" t="s">
        <v>116</v>
      </c>
      <c r="D318" s="11" t="s">
        <v>91</v>
      </c>
      <c r="E318" s="12" t="n">
        <v>51.87</v>
      </c>
      <c r="F318" s="12" t="n">
        <v>98.08</v>
      </c>
    </row>
    <row r="319" customFormat="false" ht="15" hidden="false" customHeight="false" outlineLevel="0" collapsed="false">
      <c r="A319" s="13" t="n">
        <v>318</v>
      </c>
      <c r="B319" s="13" t="s">
        <v>118</v>
      </c>
      <c r="C319" s="13" t="s">
        <v>135</v>
      </c>
      <c r="D319" s="13" t="s">
        <v>119</v>
      </c>
      <c r="E319" s="14" t="n">
        <v>822.39</v>
      </c>
      <c r="F319" s="14" t="n">
        <v>1324.29</v>
      </c>
    </row>
    <row r="320" customFormat="false" ht="15" hidden="false" customHeight="false" outlineLevel="0" collapsed="false">
      <c r="A320" s="11" t="n">
        <v>319</v>
      </c>
      <c r="B320" s="11" t="s">
        <v>147</v>
      </c>
      <c r="C320" s="11" t="s">
        <v>108</v>
      </c>
      <c r="D320" s="11" t="s">
        <v>113</v>
      </c>
      <c r="E320" s="12" t="n">
        <v>775.09</v>
      </c>
      <c r="F320" s="12" t="n">
        <v>1553.85</v>
      </c>
    </row>
    <row r="321" customFormat="false" ht="15" hidden="false" customHeight="false" outlineLevel="0" collapsed="false">
      <c r="A321" s="13" t="n">
        <v>320</v>
      </c>
      <c r="B321" s="13" t="s">
        <v>100</v>
      </c>
      <c r="C321" s="13" t="s">
        <v>110</v>
      </c>
      <c r="D321" s="13" t="s">
        <v>42</v>
      </c>
      <c r="E321" s="14" t="n">
        <v>834.98</v>
      </c>
      <c r="F321" s="14" t="n">
        <v>1160</v>
      </c>
    </row>
    <row r="322" customFormat="false" ht="15" hidden="false" customHeight="false" outlineLevel="0" collapsed="false">
      <c r="A322" s="11" t="n">
        <v>321</v>
      </c>
      <c r="B322" s="11" t="s">
        <v>158</v>
      </c>
      <c r="C322" s="11" t="s">
        <v>124</v>
      </c>
      <c r="D322" s="11" t="s">
        <v>119</v>
      </c>
      <c r="E322" s="12" t="n">
        <v>999.79</v>
      </c>
      <c r="F322" s="12" t="n">
        <v>2031.25</v>
      </c>
    </row>
    <row r="323" customFormat="false" ht="15" hidden="false" customHeight="false" outlineLevel="0" collapsed="false">
      <c r="A323" s="13" t="n">
        <v>322</v>
      </c>
      <c r="B323" s="13" t="s">
        <v>109</v>
      </c>
      <c r="C323" s="13" t="s">
        <v>104</v>
      </c>
      <c r="D323" s="13" t="s">
        <v>111</v>
      </c>
      <c r="E323" s="14" t="n">
        <v>280.36</v>
      </c>
      <c r="F323" s="14" t="n">
        <v>496.62</v>
      </c>
    </row>
    <row r="324" customFormat="false" ht="15" hidden="false" customHeight="false" outlineLevel="0" collapsed="false">
      <c r="A324" s="11" t="n">
        <v>323</v>
      </c>
      <c r="B324" s="11" t="s">
        <v>118</v>
      </c>
      <c r="C324" s="11" t="s">
        <v>102</v>
      </c>
      <c r="D324" s="11" t="s">
        <v>119</v>
      </c>
      <c r="E324" s="12" t="n">
        <v>637.72</v>
      </c>
      <c r="F324" s="12" t="n">
        <v>936.58</v>
      </c>
    </row>
    <row r="325" customFormat="false" ht="15" hidden="false" customHeight="false" outlineLevel="0" collapsed="false">
      <c r="A325" s="13" t="n">
        <v>324</v>
      </c>
      <c r="B325" s="13" t="s">
        <v>140</v>
      </c>
      <c r="C325" s="13" t="s">
        <v>121</v>
      </c>
      <c r="D325" s="13" t="s">
        <v>119</v>
      </c>
      <c r="E325" s="14" t="n">
        <v>512.79</v>
      </c>
      <c r="F325" s="14" t="n">
        <v>817.77</v>
      </c>
    </row>
    <row r="326" customFormat="false" ht="15" hidden="false" customHeight="false" outlineLevel="0" collapsed="false">
      <c r="A326" s="11" t="n">
        <v>325</v>
      </c>
      <c r="B326" s="11" t="s">
        <v>134</v>
      </c>
      <c r="C326" s="11" t="s">
        <v>124</v>
      </c>
      <c r="D326" s="11" t="s">
        <v>49</v>
      </c>
      <c r="E326" s="12" t="n">
        <v>147.36</v>
      </c>
      <c r="F326" s="12" t="n">
        <v>223.12</v>
      </c>
    </row>
    <row r="327" customFormat="false" ht="15" hidden="false" customHeight="false" outlineLevel="0" collapsed="false">
      <c r="A327" s="13" t="n">
        <v>326</v>
      </c>
      <c r="B327" s="13" t="s">
        <v>154</v>
      </c>
      <c r="C327" s="13" t="s">
        <v>135</v>
      </c>
      <c r="D327" s="13" t="s">
        <v>99</v>
      </c>
      <c r="E327" s="14" t="n">
        <v>704.6</v>
      </c>
      <c r="F327" s="14" t="n">
        <v>964.21</v>
      </c>
    </row>
    <row r="328" customFormat="false" ht="15" hidden="false" customHeight="false" outlineLevel="0" collapsed="false">
      <c r="A328" s="11" t="n">
        <v>327</v>
      </c>
      <c r="B328" s="11" t="s">
        <v>154</v>
      </c>
      <c r="C328" s="11" t="s">
        <v>93</v>
      </c>
      <c r="D328" s="11" t="s">
        <v>99</v>
      </c>
      <c r="E328" s="12" t="n">
        <v>966.34</v>
      </c>
      <c r="F328" s="12" t="n">
        <v>1586.38</v>
      </c>
    </row>
    <row r="329" customFormat="false" ht="15" hidden="false" customHeight="false" outlineLevel="0" collapsed="false">
      <c r="A329" s="13" t="n">
        <v>328</v>
      </c>
      <c r="B329" s="13" t="s">
        <v>137</v>
      </c>
      <c r="C329" s="13" t="s">
        <v>104</v>
      </c>
      <c r="D329" s="13" t="s">
        <v>34</v>
      </c>
      <c r="E329" s="14" t="n">
        <v>57.75</v>
      </c>
      <c r="F329" s="14" t="n">
        <v>97.02</v>
      </c>
    </row>
    <row r="330" customFormat="false" ht="15" hidden="false" customHeight="false" outlineLevel="0" collapsed="false">
      <c r="A330" s="11" t="n">
        <v>329</v>
      </c>
      <c r="B330" s="11" t="s">
        <v>134</v>
      </c>
      <c r="C330" s="11" t="s">
        <v>104</v>
      </c>
      <c r="D330" s="11" t="s">
        <v>49</v>
      </c>
      <c r="E330" s="12" t="n">
        <v>521.1</v>
      </c>
      <c r="F330" s="12" t="n">
        <v>914.51</v>
      </c>
    </row>
    <row r="331" customFormat="false" ht="15" hidden="false" customHeight="false" outlineLevel="0" collapsed="false">
      <c r="A331" s="13" t="n">
        <v>330</v>
      </c>
      <c r="B331" s="13" t="s">
        <v>105</v>
      </c>
      <c r="C331" s="13" t="s">
        <v>93</v>
      </c>
      <c r="D331" s="13" t="s">
        <v>107</v>
      </c>
      <c r="E331" s="14" t="n">
        <v>755.49</v>
      </c>
      <c r="F331" s="14" t="n">
        <v>1111.05</v>
      </c>
    </row>
    <row r="332" customFormat="false" ht="15" hidden="false" customHeight="false" outlineLevel="0" collapsed="false">
      <c r="A332" s="11" t="n">
        <v>331</v>
      </c>
      <c r="B332" s="11" t="s">
        <v>105</v>
      </c>
      <c r="C332" s="11" t="s">
        <v>93</v>
      </c>
      <c r="D332" s="11" t="s">
        <v>107</v>
      </c>
      <c r="E332" s="12" t="n">
        <v>808.82</v>
      </c>
      <c r="F332" s="12" t="n">
        <v>1106.44</v>
      </c>
    </row>
    <row r="333" customFormat="false" ht="15" hidden="false" customHeight="false" outlineLevel="0" collapsed="false">
      <c r="A333" s="13" t="n">
        <v>332</v>
      </c>
      <c r="B333" s="13" t="s">
        <v>134</v>
      </c>
      <c r="C333" s="13" t="s">
        <v>110</v>
      </c>
      <c r="D333" s="13" t="s">
        <v>49</v>
      </c>
      <c r="E333" s="14" t="n">
        <v>270.67</v>
      </c>
      <c r="F333" s="14" t="n">
        <v>560.96</v>
      </c>
    </row>
    <row r="334" customFormat="false" ht="15" hidden="false" customHeight="false" outlineLevel="0" collapsed="false">
      <c r="A334" s="11" t="n">
        <v>333</v>
      </c>
      <c r="B334" s="11" t="s">
        <v>103</v>
      </c>
      <c r="C334" s="11" t="s">
        <v>98</v>
      </c>
      <c r="D334" s="11" t="s">
        <v>42</v>
      </c>
      <c r="E334" s="12" t="n">
        <v>888.3</v>
      </c>
      <c r="F334" s="12" t="n">
        <v>1213.08</v>
      </c>
    </row>
    <row r="335" customFormat="false" ht="15" hidden="false" customHeight="false" outlineLevel="0" collapsed="false">
      <c r="A335" s="13" t="n">
        <v>334</v>
      </c>
      <c r="B335" s="13" t="s">
        <v>126</v>
      </c>
      <c r="C335" s="13" t="s">
        <v>90</v>
      </c>
      <c r="D335" s="13" t="s">
        <v>34</v>
      </c>
      <c r="E335" s="14" t="n">
        <v>584.19</v>
      </c>
      <c r="F335" s="14" t="n">
        <v>903.71</v>
      </c>
    </row>
    <row r="336" customFormat="false" ht="15" hidden="false" customHeight="false" outlineLevel="0" collapsed="false">
      <c r="A336" s="11" t="n">
        <v>335</v>
      </c>
      <c r="B336" s="11" t="s">
        <v>109</v>
      </c>
      <c r="C336" s="11" t="s">
        <v>124</v>
      </c>
      <c r="D336" s="11" t="s">
        <v>111</v>
      </c>
      <c r="E336" s="12" t="n">
        <v>1034.64</v>
      </c>
      <c r="F336" s="12" t="n">
        <v>1551.19</v>
      </c>
    </row>
    <row r="337" customFormat="false" ht="15" hidden="false" customHeight="false" outlineLevel="0" collapsed="false">
      <c r="A337" s="13" t="n">
        <v>336</v>
      </c>
      <c r="B337" s="13" t="s">
        <v>152</v>
      </c>
      <c r="C337" s="13" t="s">
        <v>124</v>
      </c>
      <c r="D337" s="13" t="s">
        <v>42</v>
      </c>
      <c r="E337" s="14" t="n">
        <v>348.47</v>
      </c>
      <c r="F337" s="14" t="n">
        <v>634</v>
      </c>
    </row>
    <row r="338" customFormat="false" ht="15" hidden="false" customHeight="false" outlineLevel="0" collapsed="false">
      <c r="A338" s="11" t="n">
        <v>337</v>
      </c>
      <c r="B338" s="11" t="s">
        <v>131</v>
      </c>
      <c r="C338" s="11" t="s">
        <v>128</v>
      </c>
      <c r="D338" s="11" t="s">
        <v>49</v>
      </c>
      <c r="E338" s="12" t="n">
        <v>464.51</v>
      </c>
      <c r="F338" s="12" t="n">
        <v>854.99</v>
      </c>
    </row>
    <row r="339" customFormat="false" ht="15" hidden="false" customHeight="false" outlineLevel="0" collapsed="false">
      <c r="A339" s="13" t="n">
        <v>338</v>
      </c>
      <c r="B339" s="13" t="s">
        <v>153</v>
      </c>
      <c r="C339" s="13" t="s">
        <v>122</v>
      </c>
      <c r="D339" s="13" t="s">
        <v>32</v>
      </c>
      <c r="E339" s="14" t="n">
        <v>738.8</v>
      </c>
      <c r="F339" s="14" t="n">
        <v>1071.37</v>
      </c>
    </row>
    <row r="340" customFormat="false" ht="15" hidden="false" customHeight="false" outlineLevel="0" collapsed="false">
      <c r="A340" s="11" t="n">
        <v>339</v>
      </c>
      <c r="B340" s="11" t="s">
        <v>148</v>
      </c>
      <c r="C340" s="11" t="s">
        <v>128</v>
      </c>
      <c r="D340" s="11" t="s">
        <v>99</v>
      </c>
      <c r="E340" s="12" t="n">
        <v>221.84</v>
      </c>
      <c r="F340" s="12" t="n">
        <v>459.21</v>
      </c>
    </row>
    <row r="341" customFormat="false" ht="15" hidden="false" customHeight="false" outlineLevel="0" collapsed="false">
      <c r="A341" s="13" t="n">
        <v>340</v>
      </c>
      <c r="B341" s="13" t="s">
        <v>138</v>
      </c>
      <c r="C341" s="13" t="s">
        <v>122</v>
      </c>
      <c r="D341" s="13" t="s">
        <v>111</v>
      </c>
      <c r="E341" s="14" t="n">
        <v>326.47</v>
      </c>
      <c r="F341" s="14" t="n">
        <v>509.35</v>
      </c>
    </row>
    <row r="342" customFormat="false" ht="15" hidden="false" customHeight="false" outlineLevel="0" collapsed="false">
      <c r="A342" s="11" t="n">
        <v>341</v>
      </c>
      <c r="B342" s="11" t="s">
        <v>144</v>
      </c>
      <c r="C342" s="11" t="s">
        <v>116</v>
      </c>
      <c r="D342" s="11" t="s">
        <v>49</v>
      </c>
      <c r="E342" s="12" t="n">
        <v>199.49</v>
      </c>
      <c r="F342" s="12" t="n">
        <v>347.68</v>
      </c>
    </row>
    <row r="343" customFormat="false" ht="15" hidden="false" customHeight="false" outlineLevel="0" collapsed="false">
      <c r="A343" s="13" t="n">
        <v>342</v>
      </c>
      <c r="B343" s="13" t="s">
        <v>89</v>
      </c>
      <c r="C343" s="13" t="s">
        <v>122</v>
      </c>
      <c r="D343" s="13" t="s">
        <v>91</v>
      </c>
      <c r="E343" s="14" t="n">
        <v>126.9</v>
      </c>
      <c r="F343" s="14" t="n">
        <v>218.2</v>
      </c>
    </row>
    <row r="344" customFormat="false" ht="15" hidden="false" customHeight="false" outlineLevel="0" collapsed="false">
      <c r="A344" s="11" t="n">
        <v>343</v>
      </c>
      <c r="B344" s="11" t="s">
        <v>153</v>
      </c>
      <c r="C344" s="11" t="s">
        <v>124</v>
      </c>
      <c r="D344" s="11" t="s">
        <v>32</v>
      </c>
      <c r="E344" s="12" t="n">
        <v>428.42</v>
      </c>
      <c r="F344" s="12" t="n">
        <v>934.25</v>
      </c>
    </row>
    <row r="345" customFormat="false" ht="15" hidden="false" customHeight="false" outlineLevel="0" collapsed="false">
      <c r="A345" s="13" t="n">
        <v>344</v>
      </c>
      <c r="B345" s="13" t="s">
        <v>148</v>
      </c>
      <c r="C345" s="13" t="s">
        <v>108</v>
      </c>
      <c r="D345" s="13" t="s">
        <v>99</v>
      </c>
      <c r="E345" s="14" t="n">
        <v>47.58</v>
      </c>
      <c r="F345" s="14" t="n">
        <v>71.86</v>
      </c>
    </row>
    <row r="346" customFormat="false" ht="15" hidden="false" customHeight="false" outlineLevel="0" collapsed="false">
      <c r="A346" s="11" t="n">
        <v>345</v>
      </c>
      <c r="B346" s="11" t="s">
        <v>136</v>
      </c>
      <c r="C346" s="11" t="s">
        <v>124</v>
      </c>
      <c r="D346" s="11" t="s">
        <v>42</v>
      </c>
      <c r="E346" s="12" t="n">
        <v>979.12</v>
      </c>
      <c r="F346" s="12" t="n">
        <v>1945.46</v>
      </c>
    </row>
    <row r="347" customFormat="false" ht="15" hidden="false" customHeight="false" outlineLevel="0" collapsed="false">
      <c r="A347" s="13" t="n">
        <v>346</v>
      </c>
      <c r="B347" s="13" t="s">
        <v>105</v>
      </c>
      <c r="C347" s="13" t="s">
        <v>104</v>
      </c>
      <c r="D347" s="13" t="s">
        <v>107</v>
      </c>
      <c r="E347" s="14" t="n">
        <v>729.24</v>
      </c>
      <c r="F347" s="14" t="n">
        <v>1222.98</v>
      </c>
    </row>
    <row r="348" customFormat="false" ht="15" hidden="false" customHeight="false" outlineLevel="0" collapsed="false">
      <c r="A348" s="11" t="n">
        <v>347</v>
      </c>
      <c r="B348" s="11" t="s">
        <v>109</v>
      </c>
      <c r="C348" s="11" t="s">
        <v>102</v>
      </c>
      <c r="D348" s="11" t="s">
        <v>111</v>
      </c>
      <c r="E348" s="12" t="n">
        <v>527.77</v>
      </c>
      <c r="F348" s="12" t="n">
        <v>972.53</v>
      </c>
    </row>
    <row r="349" customFormat="false" ht="15" hidden="false" customHeight="false" outlineLevel="0" collapsed="false">
      <c r="A349" s="13" t="n">
        <v>348</v>
      </c>
      <c r="B349" s="13" t="s">
        <v>130</v>
      </c>
      <c r="C349" s="13" t="s">
        <v>110</v>
      </c>
      <c r="D349" s="13" t="s">
        <v>34</v>
      </c>
      <c r="E349" s="14" t="n">
        <v>695.14</v>
      </c>
      <c r="F349" s="14" t="n">
        <v>1486.28</v>
      </c>
    </row>
    <row r="350" customFormat="false" ht="15" hidden="false" customHeight="false" outlineLevel="0" collapsed="false">
      <c r="A350" s="11" t="n">
        <v>349</v>
      </c>
      <c r="B350" s="11" t="s">
        <v>120</v>
      </c>
      <c r="C350" s="11" t="s">
        <v>116</v>
      </c>
      <c r="D350" s="11" t="s">
        <v>34</v>
      </c>
      <c r="E350" s="12" t="n">
        <v>815.66</v>
      </c>
      <c r="F350" s="12" t="n">
        <v>1601.03</v>
      </c>
    </row>
    <row r="351" customFormat="false" ht="15" hidden="false" customHeight="false" outlineLevel="0" collapsed="false">
      <c r="A351" s="13" t="n">
        <v>350</v>
      </c>
      <c r="B351" s="13" t="s">
        <v>153</v>
      </c>
      <c r="C351" s="13" t="s">
        <v>122</v>
      </c>
      <c r="D351" s="13" t="s">
        <v>32</v>
      </c>
      <c r="E351" s="14" t="n">
        <v>1036.21</v>
      </c>
      <c r="F351" s="14" t="n">
        <v>2055.81</v>
      </c>
    </row>
    <row r="352" customFormat="false" ht="15" hidden="false" customHeight="false" outlineLevel="0" collapsed="false">
      <c r="A352" s="11" t="n">
        <v>351</v>
      </c>
      <c r="B352" s="11" t="s">
        <v>100</v>
      </c>
      <c r="C352" s="11" t="s">
        <v>122</v>
      </c>
      <c r="D352" s="11" t="s">
        <v>42</v>
      </c>
      <c r="E352" s="12" t="n">
        <v>203.44</v>
      </c>
      <c r="F352" s="12" t="n">
        <v>361.26</v>
      </c>
    </row>
    <row r="353" customFormat="false" ht="15" hidden="false" customHeight="false" outlineLevel="0" collapsed="false">
      <c r="A353" s="13" t="n">
        <v>352</v>
      </c>
      <c r="B353" s="13" t="s">
        <v>127</v>
      </c>
      <c r="C353" s="13" t="s">
        <v>110</v>
      </c>
      <c r="D353" s="13" t="s">
        <v>32</v>
      </c>
      <c r="E353" s="14" t="n">
        <v>576.74</v>
      </c>
      <c r="F353" s="14" t="n">
        <v>1013.59</v>
      </c>
    </row>
    <row r="354" customFormat="false" ht="15" hidden="false" customHeight="false" outlineLevel="0" collapsed="false">
      <c r="A354" s="11" t="n">
        <v>353</v>
      </c>
      <c r="B354" s="11" t="s">
        <v>103</v>
      </c>
      <c r="C354" s="11" t="s">
        <v>102</v>
      </c>
      <c r="D354" s="11" t="s">
        <v>42</v>
      </c>
      <c r="E354" s="12" t="n">
        <v>666.62</v>
      </c>
      <c r="F354" s="12" t="n">
        <v>1340.76</v>
      </c>
    </row>
    <row r="355" customFormat="false" ht="15" hidden="false" customHeight="false" outlineLevel="0" collapsed="false">
      <c r="A355" s="13" t="n">
        <v>354</v>
      </c>
      <c r="B355" s="13" t="s">
        <v>105</v>
      </c>
      <c r="C355" s="13" t="s">
        <v>128</v>
      </c>
      <c r="D355" s="13" t="s">
        <v>107</v>
      </c>
      <c r="E355" s="14" t="n">
        <v>303.71</v>
      </c>
      <c r="F355" s="14" t="n">
        <v>620.74</v>
      </c>
    </row>
    <row r="356" customFormat="false" ht="15" hidden="false" customHeight="false" outlineLevel="0" collapsed="false">
      <c r="A356" s="11" t="n">
        <v>355</v>
      </c>
      <c r="B356" s="11" t="s">
        <v>142</v>
      </c>
      <c r="C356" s="11" t="s">
        <v>108</v>
      </c>
      <c r="D356" s="11" t="s">
        <v>143</v>
      </c>
      <c r="E356" s="12" t="n">
        <v>1050.93</v>
      </c>
      <c r="F356" s="12" t="n">
        <v>1842.98</v>
      </c>
    </row>
    <row r="357" customFormat="false" ht="15" hidden="false" customHeight="false" outlineLevel="0" collapsed="false">
      <c r="A357" s="13" t="n">
        <v>356</v>
      </c>
      <c r="B357" s="13" t="s">
        <v>149</v>
      </c>
      <c r="C357" s="13" t="s">
        <v>102</v>
      </c>
      <c r="D357" s="13" t="s">
        <v>49</v>
      </c>
      <c r="E357" s="14" t="n">
        <v>954.57</v>
      </c>
      <c r="F357" s="14" t="n">
        <v>2096.36</v>
      </c>
    </row>
    <row r="358" customFormat="false" ht="15" hidden="false" customHeight="false" outlineLevel="0" collapsed="false">
      <c r="A358" s="11" t="n">
        <v>357</v>
      </c>
      <c r="B358" s="11" t="s">
        <v>92</v>
      </c>
      <c r="C358" s="11" t="s">
        <v>110</v>
      </c>
      <c r="D358" s="11" t="s">
        <v>94</v>
      </c>
      <c r="E358" s="12" t="n">
        <v>979.62</v>
      </c>
      <c r="F358" s="12" t="n">
        <v>1656.42</v>
      </c>
    </row>
    <row r="359" customFormat="false" ht="15" hidden="false" customHeight="false" outlineLevel="0" collapsed="false">
      <c r="A359" s="13" t="n">
        <v>358</v>
      </c>
      <c r="B359" s="13" t="s">
        <v>153</v>
      </c>
      <c r="C359" s="13" t="s">
        <v>106</v>
      </c>
      <c r="D359" s="13" t="s">
        <v>32</v>
      </c>
      <c r="E359" s="14" t="n">
        <v>1139.32</v>
      </c>
      <c r="F359" s="14" t="n">
        <v>1857.67</v>
      </c>
    </row>
    <row r="360" customFormat="false" ht="15" hidden="false" customHeight="false" outlineLevel="0" collapsed="false">
      <c r="A360" s="11" t="n">
        <v>359</v>
      </c>
      <c r="B360" s="11" t="s">
        <v>120</v>
      </c>
      <c r="C360" s="11" t="s">
        <v>108</v>
      </c>
      <c r="D360" s="11" t="s">
        <v>34</v>
      </c>
      <c r="E360" s="12" t="n">
        <v>518.05</v>
      </c>
      <c r="F360" s="12" t="n">
        <v>971.23</v>
      </c>
    </row>
    <row r="361" customFormat="false" ht="15" hidden="false" customHeight="false" outlineLevel="0" collapsed="false">
      <c r="A361" s="13" t="n">
        <v>360</v>
      </c>
      <c r="B361" s="13" t="s">
        <v>130</v>
      </c>
      <c r="C361" s="13" t="s">
        <v>96</v>
      </c>
      <c r="D361" s="13" t="s">
        <v>34</v>
      </c>
      <c r="E361" s="14" t="n">
        <v>1036.37</v>
      </c>
      <c r="F361" s="14" t="n">
        <v>1975.78</v>
      </c>
    </row>
    <row r="362" customFormat="false" ht="15" hidden="false" customHeight="false" outlineLevel="0" collapsed="false">
      <c r="A362" s="11" t="n">
        <v>361</v>
      </c>
      <c r="B362" s="11" t="s">
        <v>103</v>
      </c>
      <c r="C362" s="11" t="s">
        <v>102</v>
      </c>
      <c r="D362" s="11" t="s">
        <v>42</v>
      </c>
      <c r="E362" s="12" t="n">
        <v>932.22</v>
      </c>
      <c r="F362" s="12" t="n">
        <v>1663.43</v>
      </c>
    </row>
    <row r="363" customFormat="false" ht="15" hidden="false" customHeight="false" outlineLevel="0" collapsed="false">
      <c r="A363" s="13" t="n">
        <v>362</v>
      </c>
      <c r="B363" s="13" t="s">
        <v>156</v>
      </c>
      <c r="C363" s="13" t="s">
        <v>93</v>
      </c>
      <c r="D363" s="13" t="s">
        <v>143</v>
      </c>
      <c r="E363" s="14" t="n">
        <v>185.15</v>
      </c>
      <c r="F363" s="14" t="n">
        <v>400.12</v>
      </c>
    </row>
    <row r="364" customFormat="false" ht="15" hidden="false" customHeight="false" outlineLevel="0" collapsed="false">
      <c r="A364" s="11" t="n">
        <v>363</v>
      </c>
      <c r="B364" s="11" t="s">
        <v>145</v>
      </c>
      <c r="C364" s="11" t="s">
        <v>93</v>
      </c>
      <c r="D364" s="11" t="s">
        <v>143</v>
      </c>
      <c r="E364" s="12" t="n">
        <v>918.32</v>
      </c>
      <c r="F364" s="12" t="n">
        <v>1620.2</v>
      </c>
    </row>
    <row r="365" customFormat="false" ht="15" hidden="false" customHeight="false" outlineLevel="0" collapsed="false">
      <c r="A365" s="13" t="n">
        <v>364</v>
      </c>
      <c r="B365" s="13" t="s">
        <v>101</v>
      </c>
      <c r="C365" s="13" t="s">
        <v>128</v>
      </c>
      <c r="D365" s="13" t="s">
        <v>42</v>
      </c>
      <c r="E365" s="14" t="n">
        <v>619.59</v>
      </c>
      <c r="F365" s="14" t="n">
        <v>1187.2</v>
      </c>
    </row>
    <row r="366" customFormat="false" ht="15" hidden="false" customHeight="false" outlineLevel="0" collapsed="false">
      <c r="A366" s="11" t="n">
        <v>365</v>
      </c>
      <c r="B366" s="11" t="s">
        <v>92</v>
      </c>
      <c r="C366" s="11" t="s">
        <v>98</v>
      </c>
      <c r="D366" s="11" t="s">
        <v>94</v>
      </c>
      <c r="E366" s="12" t="n">
        <v>333.06</v>
      </c>
      <c r="F366" s="12" t="n">
        <v>617.94</v>
      </c>
    </row>
    <row r="367" customFormat="false" ht="15" hidden="false" customHeight="false" outlineLevel="0" collapsed="false">
      <c r="A367" s="13" t="n">
        <v>366</v>
      </c>
      <c r="B367" s="13" t="s">
        <v>141</v>
      </c>
      <c r="C367" s="13" t="s">
        <v>98</v>
      </c>
      <c r="D367" s="13" t="s">
        <v>34</v>
      </c>
      <c r="E367" s="14" t="n">
        <v>638.98</v>
      </c>
      <c r="F367" s="14" t="n">
        <v>1099.54</v>
      </c>
    </row>
    <row r="368" customFormat="false" ht="15" hidden="false" customHeight="false" outlineLevel="0" collapsed="false">
      <c r="A368" s="11" t="n">
        <v>367</v>
      </c>
      <c r="B368" s="11" t="s">
        <v>141</v>
      </c>
      <c r="C368" s="11" t="s">
        <v>116</v>
      </c>
      <c r="D368" s="11" t="s">
        <v>34</v>
      </c>
      <c r="E368" s="12" t="n">
        <v>592.8</v>
      </c>
      <c r="F368" s="12" t="n">
        <v>929.83</v>
      </c>
    </row>
    <row r="369" customFormat="false" ht="15" hidden="false" customHeight="false" outlineLevel="0" collapsed="false">
      <c r="A369" s="13" t="n">
        <v>368</v>
      </c>
      <c r="B369" s="13" t="s">
        <v>147</v>
      </c>
      <c r="C369" s="13" t="s">
        <v>135</v>
      </c>
      <c r="D369" s="13" t="s">
        <v>113</v>
      </c>
      <c r="E369" s="14" t="n">
        <v>1104.4</v>
      </c>
      <c r="F369" s="14" t="n">
        <v>1569.29</v>
      </c>
    </row>
    <row r="370" customFormat="false" ht="15" hidden="false" customHeight="false" outlineLevel="0" collapsed="false">
      <c r="A370" s="11" t="n">
        <v>369</v>
      </c>
      <c r="B370" s="11" t="s">
        <v>100</v>
      </c>
      <c r="C370" s="11" t="s">
        <v>106</v>
      </c>
      <c r="D370" s="11" t="s">
        <v>42</v>
      </c>
      <c r="E370" s="12" t="n">
        <v>540.09</v>
      </c>
      <c r="F370" s="12" t="n">
        <v>1052.75</v>
      </c>
    </row>
    <row r="371" customFormat="false" ht="15" hidden="false" customHeight="false" outlineLevel="0" collapsed="false">
      <c r="A371" s="13" t="n">
        <v>370</v>
      </c>
      <c r="B371" s="13" t="s">
        <v>141</v>
      </c>
      <c r="C371" s="13" t="s">
        <v>124</v>
      </c>
      <c r="D371" s="13" t="s">
        <v>34</v>
      </c>
      <c r="E371" s="14" t="n">
        <v>461.93</v>
      </c>
      <c r="F371" s="14" t="n">
        <v>867.21</v>
      </c>
    </row>
    <row r="372" customFormat="false" ht="15" hidden="false" customHeight="false" outlineLevel="0" collapsed="false">
      <c r="A372" s="11" t="n">
        <v>371</v>
      </c>
      <c r="B372" s="11" t="s">
        <v>127</v>
      </c>
      <c r="C372" s="11" t="s">
        <v>104</v>
      </c>
      <c r="D372" s="11" t="s">
        <v>32</v>
      </c>
      <c r="E372" s="12" t="n">
        <v>231.43</v>
      </c>
      <c r="F372" s="12" t="n">
        <v>459.84</v>
      </c>
    </row>
    <row r="373" customFormat="false" ht="15" hidden="false" customHeight="false" outlineLevel="0" collapsed="false">
      <c r="A373" s="13" t="n">
        <v>372</v>
      </c>
      <c r="B373" s="13" t="s">
        <v>144</v>
      </c>
      <c r="C373" s="13" t="s">
        <v>128</v>
      </c>
      <c r="D373" s="13" t="s">
        <v>49</v>
      </c>
      <c r="E373" s="14" t="n">
        <v>390.34</v>
      </c>
      <c r="F373" s="14" t="n">
        <v>600.09</v>
      </c>
    </row>
    <row r="374" customFormat="false" ht="15" hidden="false" customHeight="false" outlineLevel="0" collapsed="false">
      <c r="A374" s="11" t="n">
        <v>373</v>
      </c>
      <c r="B374" s="11" t="s">
        <v>97</v>
      </c>
      <c r="C374" s="11" t="s">
        <v>116</v>
      </c>
      <c r="D374" s="11" t="s">
        <v>99</v>
      </c>
      <c r="E374" s="12" t="n">
        <v>74.48</v>
      </c>
      <c r="F374" s="12" t="n">
        <v>101.7</v>
      </c>
    </row>
    <row r="375" customFormat="false" ht="15" hidden="false" customHeight="false" outlineLevel="0" collapsed="false">
      <c r="A375" s="13" t="n">
        <v>374</v>
      </c>
      <c r="B375" s="13" t="s">
        <v>125</v>
      </c>
      <c r="C375" s="13" t="s">
        <v>96</v>
      </c>
      <c r="D375" s="13" t="s">
        <v>107</v>
      </c>
      <c r="E375" s="14" t="n">
        <v>106.83</v>
      </c>
      <c r="F375" s="14" t="n">
        <v>225.57</v>
      </c>
    </row>
    <row r="376" customFormat="false" ht="15" hidden="false" customHeight="false" outlineLevel="0" collapsed="false">
      <c r="A376" s="11" t="n">
        <v>375</v>
      </c>
      <c r="B376" s="11" t="s">
        <v>118</v>
      </c>
      <c r="C376" s="11" t="s">
        <v>90</v>
      </c>
      <c r="D376" s="11" t="s">
        <v>119</v>
      </c>
      <c r="E376" s="12" t="n">
        <v>136.21</v>
      </c>
      <c r="F376" s="12" t="n">
        <v>191.88</v>
      </c>
    </row>
    <row r="377" customFormat="false" ht="15" hidden="false" customHeight="false" outlineLevel="0" collapsed="false">
      <c r="A377" s="13" t="n">
        <v>376</v>
      </c>
      <c r="B377" s="13" t="s">
        <v>89</v>
      </c>
      <c r="C377" s="13" t="s">
        <v>90</v>
      </c>
      <c r="D377" s="13" t="s">
        <v>91</v>
      </c>
      <c r="E377" s="14" t="n">
        <v>968.3</v>
      </c>
      <c r="F377" s="14" t="n">
        <v>1512.44</v>
      </c>
    </row>
    <row r="378" customFormat="false" ht="15" hidden="false" customHeight="false" outlineLevel="0" collapsed="false">
      <c r="A378" s="11" t="n">
        <v>377</v>
      </c>
      <c r="B378" s="11" t="s">
        <v>156</v>
      </c>
      <c r="C378" s="11" t="s">
        <v>110</v>
      </c>
      <c r="D378" s="11" t="s">
        <v>143</v>
      </c>
      <c r="E378" s="12" t="n">
        <v>555.82</v>
      </c>
      <c r="F378" s="12" t="n">
        <v>1217.31</v>
      </c>
    </row>
    <row r="379" customFormat="false" ht="15" hidden="false" customHeight="false" outlineLevel="0" collapsed="false">
      <c r="A379" s="13" t="n">
        <v>378</v>
      </c>
      <c r="B379" s="13" t="s">
        <v>137</v>
      </c>
      <c r="C379" s="13" t="s">
        <v>135</v>
      </c>
      <c r="D379" s="13" t="s">
        <v>34</v>
      </c>
      <c r="E379" s="14" t="n">
        <v>446.83</v>
      </c>
      <c r="F379" s="14" t="n">
        <v>804.18</v>
      </c>
    </row>
    <row r="380" customFormat="false" ht="15" hidden="false" customHeight="false" outlineLevel="0" collapsed="false">
      <c r="A380" s="11" t="n">
        <v>379</v>
      </c>
      <c r="B380" s="11" t="s">
        <v>144</v>
      </c>
      <c r="C380" s="11" t="s">
        <v>96</v>
      </c>
      <c r="D380" s="11" t="s">
        <v>49</v>
      </c>
      <c r="E380" s="12" t="n">
        <v>750.08</v>
      </c>
      <c r="F380" s="12" t="n">
        <v>1154.16</v>
      </c>
    </row>
    <row r="381" customFormat="false" ht="15" hidden="false" customHeight="false" outlineLevel="0" collapsed="false">
      <c r="A381" s="13" t="n">
        <v>380</v>
      </c>
      <c r="B381" s="13" t="s">
        <v>153</v>
      </c>
      <c r="C381" s="13" t="s">
        <v>104</v>
      </c>
      <c r="D381" s="13" t="s">
        <v>32</v>
      </c>
      <c r="E381" s="14" t="n">
        <v>50.51</v>
      </c>
      <c r="F381" s="14" t="n">
        <v>93.19</v>
      </c>
    </row>
    <row r="382" customFormat="false" ht="15" hidden="false" customHeight="false" outlineLevel="0" collapsed="false">
      <c r="A382" s="11" t="n">
        <v>381</v>
      </c>
      <c r="B382" s="11" t="s">
        <v>123</v>
      </c>
      <c r="C382" s="11" t="s">
        <v>110</v>
      </c>
      <c r="D382" s="11" t="s">
        <v>32</v>
      </c>
      <c r="E382" s="12" t="n">
        <v>1084.63</v>
      </c>
      <c r="F382" s="12" t="n">
        <v>2074.32</v>
      </c>
    </row>
    <row r="383" customFormat="false" ht="15" hidden="false" customHeight="false" outlineLevel="0" collapsed="false">
      <c r="A383" s="13" t="n">
        <v>382</v>
      </c>
      <c r="B383" s="13" t="s">
        <v>125</v>
      </c>
      <c r="C383" s="13" t="s">
        <v>122</v>
      </c>
      <c r="D383" s="13" t="s">
        <v>107</v>
      </c>
      <c r="E383" s="14" t="n">
        <v>149.86</v>
      </c>
      <c r="F383" s="14" t="n">
        <v>243.49</v>
      </c>
    </row>
    <row r="384" customFormat="false" ht="15" hidden="false" customHeight="false" outlineLevel="0" collapsed="false">
      <c r="A384" s="11" t="n">
        <v>383</v>
      </c>
      <c r="B384" s="11" t="s">
        <v>103</v>
      </c>
      <c r="C384" s="11" t="s">
        <v>104</v>
      </c>
      <c r="D384" s="11" t="s">
        <v>42</v>
      </c>
      <c r="E384" s="12" t="n">
        <v>483.87</v>
      </c>
      <c r="F384" s="12" t="n">
        <v>1000.08</v>
      </c>
    </row>
    <row r="385" customFormat="false" ht="15" hidden="false" customHeight="false" outlineLevel="0" collapsed="false">
      <c r="A385" s="13" t="n">
        <v>384</v>
      </c>
      <c r="B385" s="13" t="s">
        <v>131</v>
      </c>
      <c r="C385" s="13" t="s">
        <v>98</v>
      </c>
      <c r="D385" s="13" t="s">
        <v>49</v>
      </c>
      <c r="E385" s="14" t="n">
        <v>274.4</v>
      </c>
      <c r="F385" s="14" t="n">
        <v>383.86</v>
      </c>
    </row>
    <row r="386" customFormat="false" ht="15" hidden="false" customHeight="false" outlineLevel="0" collapsed="false">
      <c r="A386" s="11" t="n">
        <v>385</v>
      </c>
      <c r="B386" s="11" t="s">
        <v>117</v>
      </c>
      <c r="C386" s="11" t="s">
        <v>128</v>
      </c>
      <c r="D386" s="11" t="s">
        <v>107</v>
      </c>
      <c r="E386" s="12" t="n">
        <v>841.36</v>
      </c>
      <c r="F386" s="12" t="n">
        <v>1182.75</v>
      </c>
    </row>
    <row r="387" customFormat="false" ht="15" hidden="false" customHeight="false" outlineLevel="0" collapsed="false">
      <c r="A387" s="13" t="n">
        <v>386</v>
      </c>
      <c r="B387" s="13" t="s">
        <v>97</v>
      </c>
      <c r="C387" s="13" t="s">
        <v>128</v>
      </c>
      <c r="D387" s="13" t="s">
        <v>99</v>
      </c>
      <c r="E387" s="14" t="n">
        <v>561.49</v>
      </c>
      <c r="F387" s="14" t="n">
        <v>1028.73</v>
      </c>
    </row>
    <row r="388" customFormat="false" ht="15" hidden="false" customHeight="false" outlineLevel="0" collapsed="false">
      <c r="A388" s="11" t="n">
        <v>387</v>
      </c>
      <c r="B388" s="11" t="s">
        <v>131</v>
      </c>
      <c r="C388" s="11" t="s">
        <v>122</v>
      </c>
      <c r="D388" s="11" t="s">
        <v>49</v>
      </c>
      <c r="E388" s="12" t="n">
        <v>1142.04</v>
      </c>
      <c r="F388" s="12" t="n">
        <v>1890.69</v>
      </c>
    </row>
    <row r="389" customFormat="false" ht="15" hidden="false" customHeight="false" outlineLevel="0" collapsed="false">
      <c r="A389" s="13" t="n">
        <v>388</v>
      </c>
      <c r="B389" s="13" t="s">
        <v>125</v>
      </c>
      <c r="C389" s="13" t="s">
        <v>90</v>
      </c>
      <c r="D389" s="13" t="s">
        <v>107</v>
      </c>
      <c r="E389" s="14" t="n">
        <v>607.11</v>
      </c>
      <c r="F389" s="14" t="n">
        <v>939.95</v>
      </c>
    </row>
    <row r="390" customFormat="false" ht="15" hidden="false" customHeight="false" outlineLevel="0" collapsed="false">
      <c r="A390" s="11" t="n">
        <v>389</v>
      </c>
      <c r="B390" s="11" t="s">
        <v>137</v>
      </c>
      <c r="C390" s="11" t="s">
        <v>121</v>
      </c>
      <c r="D390" s="11" t="s">
        <v>34</v>
      </c>
      <c r="E390" s="12" t="n">
        <v>851.19</v>
      </c>
      <c r="F390" s="12" t="n">
        <v>1655.71</v>
      </c>
    </row>
    <row r="391" customFormat="false" ht="15" hidden="false" customHeight="false" outlineLevel="0" collapsed="false">
      <c r="A391" s="13" t="n">
        <v>390</v>
      </c>
      <c r="B391" s="13" t="s">
        <v>139</v>
      </c>
      <c r="C391" s="13" t="s">
        <v>110</v>
      </c>
      <c r="D391" s="13" t="s">
        <v>111</v>
      </c>
      <c r="E391" s="14" t="n">
        <v>551.98</v>
      </c>
      <c r="F391" s="14" t="n">
        <v>855.92</v>
      </c>
    </row>
    <row r="392" customFormat="false" ht="15" hidden="false" customHeight="false" outlineLevel="0" collapsed="false">
      <c r="A392" s="11" t="n">
        <v>391</v>
      </c>
      <c r="B392" s="11" t="s">
        <v>89</v>
      </c>
      <c r="C392" s="11" t="s">
        <v>93</v>
      </c>
      <c r="D392" s="11" t="s">
        <v>91</v>
      </c>
      <c r="E392" s="12" t="n">
        <v>976.37</v>
      </c>
      <c r="F392" s="12" t="n">
        <v>1864.98</v>
      </c>
    </row>
    <row r="393" customFormat="false" ht="15" hidden="false" customHeight="false" outlineLevel="0" collapsed="false">
      <c r="A393" s="13" t="n">
        <v>392</v>
      </c>
      <c r="B393" s="13" t="s">
        <v>131</v>
      </c>
      <c r="C393" s="13" t="s">
        <v>98</v>
      </c>
      <c r="D393" s="13" t="s">
        <v>49</v>
      </c>
      <c r="E393" s="14" t="n">
        <v>1064.49</v>
      </c>
      <c r="F393" s="14" t="n">
        <v>1442.21</v>
      </c>
    </row>
    <row r="394" customFormat="false" ht="15" hidden="false" customHeight="false" outlineLevel="0" collapsed="false">
      <c r="A394" s="11" t="n">
        <v>393</v>
      </c>
      <c r="B394" s="11" t="s">
        <v>97</v>
      </c>
      <c r="C394" s="11" t="s">
        <v>122</v>
      </c>
      <c r="D394" s="11" t="s">
        <v>99</v>
      </c>
      <c r="E394" s="12" t="n">
        <v>1133.75</v>
      </c>
      <c r="F394" s="12" t="n">
        <v>2075.7</v>
      </c>
    </row>
    <row r="395" customFormat="false" ht="15" hidden="false" customHeight="false" outlineLevel="0" collapsed="false">
      <c r="A395" s="13" t="n">
        <v>394</v>
      </c>
      <c r="B395" s="13" t="s">
        <v>138</v>
      </c>
      <c r="C395" s="13" t="s">
        <v>108</v>
      </c>
      <c r="D395" s="13" t="s">
        <v>111</v>
      </c>
      <c r="E395" s="14" t="n">
        <v>105.95</v>
      </c>
      <c r="F395" s="14" t="n">
        <v>214.98</v>
      </c>
    </row>
    <row r="396" customFormat="false" ht="15" hidden="false" customHeight="false" outlineLevel="0" collapsed="false">
      <c r="A396" s="11" t="n">
        <v>395</v>
      </c>
      <c r="B396" s="11" t="s">
        <v>155</v>
      </c>
      <c r="C396" s="11" t="s">
        <v>124</v>
      </c>
      <c r="D396" s="11" t="s">
        <v>94</v>
      </c>
      <c r="E396" s="12" t="n">
        <v>1025.62</v>
      </c>
      <c r="F396" s="12" t="n">
        <v>2186.05</v>
      </c>
    </row>
    <row r="397" customFormat="false" ht="15" hidden="false" customHeight="false" outlineLevel="0" collapsed="false">
      <c r="A397" s="13" t="n">
        <v>396</v>
      </c>
      <c r="B397" s="13" t="s">
        <v>141</v>
      </c>
      <c r="C397" s="13" t="s">
        <v>128</v>
      </c>
      <c r="D397" s="13" t="s">
        <v>34</v>
      </c>
      <c r="E397" s="14" t="n">
        <v>817.56</v>
      </c>
      <c r="F397" s="14" t="n">
        <v>1285.14</v>
      </c>
    </row>
    <row r="398" customFormat="false" ht="15" hidden="false" customHeight="false" outlineLevel="0" collapsed="false">
      <c r="A398" s="11" t="n">
        <v>397</v>
      </c>
      <c r="B398" s="11" t="s">
        <v>146</v>
      </c>
      <c r="C398" s="11" t="s">
        <v>135</v>
      </c>
      <c r="D398" s="11" t="s">
        <v>107</v>
      </c>
      <c r="E398" s="12" t="n">
        <v>106.65</v>
      </c>
      <c r="F398" s="12" t="n">
        <v>191.5</v>
      </c>
    </row>
    <row r="399" customFormat="false" ht="15" hidden="false" customHeight="false" outlineLevel="0" collapsed="false">
      <c r="A399" s="13" t="n">
        <v>398</v>
      </c>
      <c r="B399" s="13" t="s">
        <v>115</v>
      </c>
      <c r="C399" s="13" t="s">
        <v>96</v>
      </c>
      <c r="D399" s="13" t="s">
        <v>32</v>
      </c>
      <c r="E399" s="14" t="n">
        <v>1018.07</v>
      </c>
      <c r="F399" s="14" t="n">
        <v>1888.04</v>
      </c>
    </row>
    <row r="400" customFormat="false" ht="15" hidden="false" customHeight="false" outlineLevel="0" collapsed="false">
      <c r="A400" s="11" t="n">
        <v>399</v>
      </c>
      <c r="B400" s="11" t="s">
        <v>129</v>
      </c>
      <c r="C400" s="11" t="s">
        <v>106</v>
      </c>
      <c r="D400" s="11" t="s">
        <v>111</v>
      </c>
      <c r="E400" s="12" t="n">
        <v>217.72</v>
      </c>
      <c r="F400" s="12" t="n">
        <v>414.27</v>
      </c>
    </row>
    <row r="401" customFormat="false" ht="15" hidden="false" customHeight="false" outlineLevel="0" collapsed="false">
      <c r="A401" s="13" t="n">
        <v>400</v>
      </c>
      <c r="B401" s="13" t="s">
        <v>131</v>
      </c>
      <c r="C401" s="13" t="s">
        <v>96</v>
      </c>
      <c r="D401" s="13" t="s">
        <v>49</v>
      </c>
      <c r="E401" s="14" t="n">
        <v>310.72</v>
      </c>
      <c r="F401" s="14" t="n">
        <v>562.75</v>
      </c>
    </row>
    <row r="402" customFormat="false" ht="15" hidden="false" customHeight="false" outlineLevel="0" collapsed="false">
      <c r="A402" s="11" t="n">
        <v>401</v>
      </c>
      <c r="B402" s="11" t="s">
        <v>117</v>
      </c>
      <c r="C402" s="11" t="s">
        <v>98</v>
      </c>
      <c r="D402" s="11" t="s">
        <v>107</v>
      </c>
      <c r="E402" s="12" t="n">
        <v>342.95</v>
      </c>
      <c r="F402" s="12" t="n">
        <v>600.27</v>
      </c>
    </row>
    <row r="403" customFormat="false" ht="15" hidden="false" customHeight="false" outlineLevel="0" collapsed="false">
      <c r="A403" s="13" t="n">
        <v>402</v>
      </c>
      <c r="B403" s="13" t="s">
        <v>134</v>
      </c>
      <c r="C403" s="13" t="s">
        <v>98</v>
      </c>
      <c r="D403" s="13" t="s">
        <v>49</v>
      </c>
      <c r="E403" s="14" t="n">
        <v>675.18</v>
      </c>
      <c r="F403" s="14" t="n">
        <v>1401.27</v>
      </c>
    </row>
    <row r="404" customFormat="false" ht="15" hidden="false" customHeight="false" outlineLevel="0" collapsed="false">
      <c r="A404" s="11" t="n">
        <v>403</v>
      </c>
      <c r="B404" s="11" t="s">
        <v>117</v>
      </c>
      <c r="C404" s="11" t="s">
        <v>96</v>
      </c>
      <c r="D404" s="11" t="s">
        <v>107</v>
      </c>
      <c r="E404" s="12" t="n">
        <v>416.67</v>
      </c>
      <c r="F404" s="12" t="n">
        <v>591.87</v>
      </c>
    </row>
    <row r="405" customFormat="false" ht="15" hidden="false" customHeight="false" outlineLevel="0" collapsed="false">
      <c r="A405" s="13" t="n">
        <v>404</v>
      </c>
      <c r="B405" s="13" t="s">
        <v>95</v>
      </c>
      <c r="C405" s="13" t="s">
        <v>128</v>
      </c>
      <c r="D405" s="13" t="s">
        <v>32</v>
      </c>
      <c r="E405" s="14" t="n">
        <v>302.27</v>
      </c>
      <c r="F405" s="14" t="n">
        <v>426.06</v>
      </c>
    </row>
    <row r="406" customFormat="false" ht="15" hidden="false" customHeight="false" outlineLevel="0" collapsed="false">
      <c r="A406" s="11" t="n">
        <v>405</v>
      </c>
      <c r="B406" s="11" t="s">
        <v>151</v>
      </c>
      <c r="C406" s="11" t="s">
        <v>124</v>
      </c>
      <c r="D406" s="11" t="s">
        <v>49</v>
      </c>
      <c r="E406" s="12" t="n">
        <v>1133.32</v>
      </c>
      <c r="F406" s="12" t="n">
        <v>2118.81</v>
      </c>
    </row>
    <row r="407" customFormat="false" ht="15" hidden="false" customHeight="false" outlineLevel="0" collapsed="false">
      <c r="A407" s="13" t="n">
        <v>406</v>
      </c>
      <c r="B407" s="13" t="s">
        <v>114</v>
      </c>
      <c r="C407" s="13" t="s">
        <v>135</v>
      </c>
      <c r="D407" s="13" t="s">
        <v>91</v>
      </c>
      <c r="E407" s="14" t="n">
        <v>83.87</v>
      </c>
      <c r="F407" s="14" t="n">
        <v>181.96</v>
      </c>
    </row>
    <row r="408" customFormat="false" ht="15" hidden="false" customHeight="false" outlineLevel="0" collapsed="false">
      <c r="A408" s="11" t="n">
        <v>407</v>
      </c>
      <c r="B408" s="11" t="s">
        <v>158</v>
      </c>
      <c r="C408" s="11" t="s">
        <v>135</v>
      </c>
      <c r="D408" s="11" t="s">
        <v>119</v>
      </c>
      <c r="E408" s="12" t="n">
        <v>726.5</v>
      </c>
      <c r="F408" s="12" t="n">
        <v>1098.44</v>
      </c>
    </row>
    <row r="409" customFormat="false" ht="15" hidden="false" customHeight="false" outlineLevel="0" collapsed="false">
      <c r="A409" s="13" t="n">
        <v>408</v>
      </c>
      <c r="B409" s="13" t="s">
        <v>156</v>
      </c>
      <c r="C409" s="13" t="s">
        <v>98</v>
      </c>
      <c r="D409" s="13" t="s">
        <v>143</v>
      </c>
      <c r="E409" s="14" t="n">
        <v>339.73</v>
      </c>
      <c r="F409" s="14" t="n">
        <v>726.31</v>
      </c>
    </row>
    <row r="410" customFormat="false" ht="15" hidden="false" customHeight="false" outlineLevel="0" collapsed="false">
      <c r="A410" s="11" t="n">
        <v>409</v>
      </c>
      <c r="B410" s="11" t="s">
        <v>140</v>
      </c>
      <c r="C410" s="11" t="s">
        <v>93</v>
      </c>
      <c r="D410" s="11" t="s">
        <v>119</v>
      </c>
      <c r="E410" s="12" t="n">
        <v>734.24</v>
      </c>
      <c r="F410" s="12" t="n">
        <v>1251.56</v>
      </c>
    </row>
    <row r="411" customFormat="false" ht="15" hidden="false" customHeight="false" outlineLevel="0" collapsed="false">
      <c r="A411" s="13" t="n">
        <v>410</v>
      </c>
      <c r="B411" s="13" t="s">
        <v>95</v>
      </c>
      <c r="C411" s="13" t="s">
        <v>96</v>
      </c>
      <c r="D411" s="13" t="s">
        <v>32</v>
      </c>
      <c r="E411" s="14" t="n">
        <v>1096.63</v>
      </c>
      <c r="F411" s="14" t="n">
        <v>2265.94</v>
      </c>
    </row>
    <row r="412" customFormat="false" ht="15" hidden="false" customHeight="false" outlineLevel="0" collapsed="false">
      <c r="A412" s="11" t="n">
        <v>411</v>
      </c>
      <c r="B412" s="11" t="s">
        <v>115</v>
      </c>
      <c r="C412" s="11" t="s">
        <v>135</v>
      </c>
      <c r="D412" s="11" t="s">
        <v>32</v>
      </c>
      <c r="E412" s="12" t="n">
        <v>192.36</v>
      </c>
      <c r="F412" s="12" t="n">
        <v>336.89</v>
      </c>
    </row>
    <row r="413" customFormat="false" ht="15" hidden="false" customHeight="false" outlineLevel="0" collapsed="false">
      <c r="A413" s="13" t="n">
        <v>412</v>
      </c>
      <c r="B413" s="13" t="s">
        <v>146</v>
      </c>
      <c r="C413" s="13" t="s">
        <v>98</v>
      </c>
      <c r="D413" s="13" t="s">
        <v>107</v>
      </c>
      <c r="E413" s="14" t="n">
        <v>338.94</v>
      </c>
      <c r="F413" s="14" t="n">
        <v>509.27</v>
      </c>
    </row>
    <row r="414" customFormat="false" ht="15" hidden="false" customHeight="false" outlineLevel="0" collapsed="false">
      <c r="A414" s="11" t="n">
        <v>413</v>
      </c>
      <c r="B414" s="11" t="s">
        <v>129</v>
      </c>
      <c r="C414" s="11" t="s">
        <v>98</v>
      </c>
      <c r="D414" s="11" t="s">
        <v>111</v>
      </c>
      <c r="E414" s="12" t="n">
        <v>324.21</v>
      </c>
      <c r="F414" s="12" t="n">
        <v>453.36</v>
      </c>
    </row>
    <row r="415" customFormat="false" ht="15" hidden="false" customHeight="false" outlineLevel="0" collapsed="false">
      <c r="A415" s="13" t="n">
        <v>414</v>
      </c>
      <c r="B415" s="13" t="s">
        <v>132</v>
      </c>
      <c r="C415" s="13" t="s">
        <v>122</v>
      </c>
      <c r="D415" s="13" t="s">
        <v>94</v>
      </c>
      <c r="E415" s="14" t="n">
        <v>327.19</v>
      </c>
      <c r="F415" s="14" t="n">
        <v>649.22</v>
      </c>
    </row>
    <row r="416" customFormat="false" ht="15" hidden="false" customHeight="false" outlineLevel="0" collapsed="false">
      <c r="A416" s="11" t="n">
        <v>415</v>
      </c>
      <c r="B416" s="11" t="s">
        <v>159</v>
      </c>
      <c r="C416" s="11" t="s">
        <v>135</v>
      </c>
      <c r="D416" s="11" t="s">
        <v>113</v>
      </c>
      <c r="E416" s="12" t="n">
        <v>911.89</v>
      </c>
      <c r="F416" s="12" t="n">
        <v>1835.91</v>
      </c>
    </row>
    <row r="417" customFormat="false" ht="15" hidden="false" customHeight="false" outlineLevel="0" collapsed="false">
      <c r="A417" s="13" t="n">
        <v>416</v>
      </c>
      <c r="B417" s="13" t="s">
        <v>140</v>
      </c>
      <c r="C417" s="13" t="s">
        <v>104</v>
      </c>
      <c r="D417" s="13" t="s">
        <v>119</v>
      </c>
      <c r="E417" s="14" t="n">
        <v>1025.49</v>
      </c>
      <c r="F417" s="14" t="n">
        <v>2151.31</v>
      </c>
    </row>
    <row r="418" customFormat="false" ht="15" hidden="false" customHeight="false" outlineLevel="0" collapsed="false">
      <c r="A418" s="11" t="n">
        <v>417</v>
      </c>
      <c r="B418" s="11" t="s">
        <v>150</v>
      </c>
      <c r="C418" s="11" t="s">
        <v>116</v>
      </c>
      <c r="D418" s="11" t="s">
        <v>143</v>
      </c>
      <c r="E418" s="12" t="n">
        <v>203.84</v>
      </c>
      <c r="F418" s="12" t="n">
        <v>409.84</v>
      </c>
    </row>
    <row r="419" customFormat="false" ht="15" hidden="false" customHeight="false" outlineLevel="0" collapsed="false">
      <c r="A419" s="13" t="n">
        <v>418</v>
      </c>
      <c r="B419" s="13" t="s">
        <v>144</v>
      </c>
      <c r="C419" s="13" t="s">
        <v>90</v>
      </c>
      <c r="D419" s="13" t="s">
        <v>49</v>
      </c>
      <c r="E419" s="14" t="n">
        <v>152.23</v>
      </c>
      <c r="F419" s="14" t="n">
        <v>278.2</v>
      </c>
    </row>
    <row r="420" customFormat="false" ht="15" hidden="false" customHeight="false" outlineLevel="0" collapsed="false">
      <c r="A420" s="11" t="n">
        <v>419</v>
      </c>
      <c r="B420" s="11" t="s">
        <v>144</v>
      </c>
      <c r="C420" s="11" t="s">
        <v>135</v>
      </c>
      <c r="D420" s="11" t="s">
        <v>49</v>
      </c>
      <c r="E420" s="12" t="n">
        <v>80.79</v>
      </c>
      <c r="F420" s="12" t="n">
        <v>175.3</v>
      </c>
    </row>
    <row r="421" customFormat="false" ht="15" hidden="false" customHeight="false" outlineLevel="0" collapsed="false">
      <c r="A421" s="13" t="n">
        <v>420</v>
      </c>
      <c r="B421" s="13" t="s">
        <v>125</v>
      </c>
      <c r="C421" s="13" t="s">
        <v>121</v>
      </c>
      <c r="D421" s="13" t="s">
        <v>107</v>
      </c>
      <c r="E421" s="14" t="n">
        <v>687.51</v>
      </c>
      <c r="F421" s="14" t="n">
        <v>1320.36</v>
      </c>
    </row>
    <row r="422" customFormat="false" ht="15" hidden="false" customHeight="false" outlineLevel="0" collapsed="false">
      <c r="A422" s="11" t="n">
        <v>421</v>
      </c>
      <c r="B422" s="11" t="s">
        <v>115</v>
      </c>
      <c r="C422" s="11" t="s">
        <v>104</v>
      </c>
      <c r="D422" s="11" t="s">
        <v>32</v>
      </c>
      <c r="E422" s="12" t="n">
        <v>1093.93</v>
      </c>
      <c r="F422" s="12" t="n">
        <v>1515.89</v>
      </c>
    </row>
    <row r="423" customFormat="false" ht="15" hidden="false" customHeight="false" outlineLevel="0" collapsed="false">
      <c r="A423" s="13" t="n">
        <v>422</v>
      </c>
      <c r="B423" s="13" t="s">
        <v>141</v>
      </c>
      <c r="C423" s="13" t="s">
        <v>135</v>
      </c>
      <c r="D423" s="13" t="s">
        <v>34</v>
      </c>
      <c r="E423" s="14" t="n">
        <v>597.91</v>
      </c>
      <c r="F423" s="14" t="n">
        <v>1085.89</v>
      </c>
    </row>
    <row r="424" customFormat="false" ht="15" hidden="false" customHeight="false" outlineLevel="0" collapsed="false">
      <c r="A424" s="11" t="n">
        <v>423</v>
      </c>
      <c r="B424" s="11" t="s">
        <v>95</v>
      </c>
      <c r="C424" s="11" t="s">
        <v>122</v>
      </c>
      <c r="D424" s="11" t="s">
        <v>32</v>
      </c>
      <c r="E424" s="12" t="n">
        <v>70.27</v>
      </c>
      <c r="F424" s="12" t="n">
        <v>111.04</v>
      </c>
    </row>
    <row r="425" customFormat="false" ht="15" hidden="false" customHeight="false" outlineLevel="0" collapsed="false">
      <c r="A425" s="13" t="n">
        <v>424</v>
      </c>
      <c r="B425" s="13" t="s">
        <v>100</v>
      </c>
      <c r="C425" s="13" t="s">
        <v>121</v>
      </c>
      <c r="D425" s="13" t="s">
        <v>42</v>
      </c>
      <c r="E425" s="14" t="n">
        <v>1084.24</v>
      </c>
      <c r="F425" s="14" t="n">
        <v>2298.82</v>
      </c>
    </row>
    <row r="426" customFormat="false" ht="15" hidden="false" customHeight="false" outlineLevel="0" collapsed="false">
      <c r="A426" s="11" t="n">
        <v>425</v>
      </c>
      <c r="B426" s="11" t="s">
        <v>152</v>
      </c>
      <c r="C426" s="11" t="s">
        <v>128</v>
      </c>
      <c r="D426" s="11" t="s">
        <v>42</v>
      </c>
      <c r="E426" s="12" t="n">
        <v>177.82</v>
      </c>
      <c r="F426" s="12" t="n">
        <v>387.11</v>
      </c>
    </row>
    <row r="427" customFormat="false" ht="15" hidden="false" customHeight="false" outlineLevel="0" collapsed="false">
      <c r="A427" s="13" t="n">
        <v>426</v>
      </c>
      <c r="B427" s="13" t="s">
        <v>133</v>
      </c>
      <c r="C427" s="13" t="s">
        <v>90</v>
      </c>
      <c r="D427" s="13" t="s">
        <v>42</v>
      </c>
      <c r="E427" s="14" t="n">
        <v>186.77</v>
      </c>
      <c r="F427" s="14" t="n">
        <v>316.34</v>
      </c>
    </row>
    <row r="428" customFormat="false" ht="15" hidden="false" customHeight="false" outlineLevel="0" collapsed="false">
      <c r="A428" s="11" t="n">
        <v>427</v>
      </c>
      <c r="B428" s="11" t="s">
        <v>114</v>
      </c>
      <c r="C428" s="11" t="s">
        <v>106</v>
      </c>
      <c r="D428" s="11" t="s">
        <v>91</v>
      </c>
      <c r="E428" s="12" t="n">
        <v>643.09</v>
      </c>
      <c r="F428" s="12" t="n">
        <v>901.29</v>
      </c>
    </row>
    <row r="429" customFormat="false" ht="15" hidden="false" customHeight="false" outlineLevel="0" collapsed="false">
      <c r="A429" s="13" t="n">
        <v>428</v>
      </c>
      <c r="B429" s="13" t="s">
        <v>153</v>
      </c>
      <c r="C429" s="13" t="s">
        <v>98</v>
      </c>
      <c r="D429" s="13" t="s">
        <v>32</v>
      </c>
      <c r="E429" s="14" t="n">
        <v>66.7</v>
      </c>
      <c r="F429" s="14" t="n">
        <v>108.66</v>
      </c>
    </row>
    <row r="430" customFormat="false" ht="15" hidden="false" customHeight="false" outlineLevel="0" collapsed="false">
      <c r="A430" s="11" t="n">
        <v>429</v>
      </c>
      <c r="B430" s="11" t="s">
        <v>151</v>
      </c>
      <c r="C430" s="11" t="s">
        <v>110</v>
      </c>
      <c r="D430" s="11" t="s">
        <v>49</v>
      </c>
      <c r="E430" s="12" t="n">
        <v>534.33</v>
      </c>
      <c r="F430" s="12" t="n">
        <v>953.79</v>
      </c>
    </row>
    <row r="431" customFormat="false" ht="15" hidden="false" customHeight="false" outlineLevel="0" collapsed="false">
      <c r="A431" s="13" t="n">
        <v>430</v>
      </c>
      <c r="B431" s="13" t="s">
        <v>138</v>
      </c>
      <c r="C431" s="13" t="s">
        <v>90</v>
      </c>
      <c r="D431" s="13" t="s">
        <v>111</v>
      </c>
      <c r="E431" s="14" t="n">
        <v>1060.15</v>
      </c>
      <c r="F431" s="14" t="n">
        <v>1801.3</v>
      </c>
    </row>
    <row r="432" customFormat="false" ht="15" hidden="false" customHeight="false" outlineLevel="0" collapsed="false">
      <c r="A432" s="11" t="n">
        <v>431</v>
      </c>
      <c r="B432" s="11" t="s">
        <v>133</v>
      </c>
      <c r="C432" s="11" t="s">
        <v>122</v>
      </c>
      <c r="D432" s="11" t="s">
        <v>42</v>
      </c>
      <c r="E432" s="12" t="n">
        <v>746.65</v>
      </c>
      <c r="F432" s="12" t="n">
        <v>1638.79</v>
      </c>
    </row>
    <row r="433" customFormat="false" ht="15" hidden="false" customHeight="false" outlineLevel="0" collapsed="false">
      <c r="A433" s="13" t="n">
        <v>432</v>
      </c>
      <c r="B433" s="13" t="s">
        <v>117</v>
      </c>
      <c r="C433" s="13" t="s">
        <v>96</v>
      </c>
      <c r="D433" s="13" t="s">
        <v>107</v>
      </c>
      <c r="E433" s="14" t="n">
        <v>184.43</v>
      </c>
      <c r="F433" s="14" t="n">
        <v>258.82</v>
      </c>
    </row>
    <row r="434" customFormat="false" ht="15" hidden="false" customHeight="false" outlineLevel="0" collapsed="false">
      <c r="A434" s="11" t="n">
        <v>433</v>
      </c>
      <c r="B434" s="11" t="s">
        <v>142</v>
      </c>
      <c r="C434" s="11" t="s">
        <v>124</v>
      </c>
      <c r="D434" s="11" t="s">
        <v>143</v>
      </c>
      <c r="E434" s="12" t="n">
        <v>803.36</v>
      </c>
      <c r="F434" s="12" t="n">
        <v>1164.02</v>
      </c>
    </row>
    <row r="435" customFormat="false" ht="15" hidden="false" customHeight="false" outlineLevel="0" collapsed="false">
      <c r="A435" s="13" t="n">
        <v>434</v>
      </c>
      <c r="B435" s="13" t="s">
        <v>130</v>
      </c>
      <c r="C435" s="13" t="s">
        <v>98</v>
      </c>
      <c r="D435" s="13" t="s">
        <v>34</v>
      </c>
      <c r="E435" s="14" t="n">
        <v>1089.21</v>
      </c>
      <c r="F435" s="14" t="n">
        <v>1475.6</v>
      </c>
    </row>
    <row r="436" customFormat="false" ht="15" hidden="false" customHeight="false" outlineLevel="0" collapsed="false">
      <c r="A436" s="11" t="n">
        <v>435</v>
      </c>
      <c r="B436" s="11" t="s">
        <v>127</v>
      </c>
      <c r="C436" s="11" t="s">
        <v>102</v>
      </c>
      <c r="D436" s="11" t="s">
        <v>32</v>
      </c>
      <c r="E436" s="12" t="n">
        <v>653.68</v>
      </c>
      <c r="F436" s="12" t="n">
        <v>1126.47</v>
      </c>
    </row>
    <row r="437" customFormat="false" ht="15" hidden="false" customHeight="false" outlineLevel="0" collapsed="false">
      <c r="A437" s="13" t="n">
        <v>436</v>
      </c>
      <c r="B437" s="13" t="s">
        <v>146</v>
      </c>
      <c r="C437" s="13" t="s">
        <v>106</v>
      </c>
      <c r="D437" s="13" t="s">
        <v>107</v>
      </c>
      <c r="E437" s="14" t="n">
        <v>523.57</v>
      </c>
      <c r="F437" s="14" t="n">
        <v>741.45</v>
      </c>
    </row>
    <row r="438" customFormat="false" ht="15" hidden="false" customHeight="false" outlineLevel="0" collapsed="false">
      <c r="A438" s="11" t="n">
        <v>437</v>
      </c>
      <c r="B438" s="11" t="s">
        <v>133</v>
      </c>
      <c r="C438" s="11" t="s">
        <v>110</v>
      </c>
      <c r="D438" s="11" t="s">
        <v>42</v>
      </c>
      <c r="E438" s="12" t="n">
        <v>519.73</v>
      </c>
      <c r="F438" s="12" t="n">
        <v>956.44</v>
      </c>
    </row>
    <row r="439" customFormat="false" ht="15" hidden="false" customHeight="false" outlineLevel="0" collapsed="false">
      <c r="A439" s="13" t="n">
        <v>438</v>
      </c>
      <c r="B439" s="13" t="s">
        <v>130</v>
      </c>
      <c r="C439" s="13" t="s">
        <v>102</v>
      </c>
      <c r="D439" s="13" t="s">
        <v>34</v>
      </c>
      <c r="E439" s="14" t="n">
        <v>1119.28</v>
      </c>
      <c r="F439" s="14" t="n">
        <v>2078.03</v>
      </c>
    </row>
    <row r="440" customFormat="false" ht="15" hidden="false" customHeight="false" outlineLevel="0" collapsed="false">
      <c r="A440" s="11" t="n">
        <v>439</v>
      </c>
      <c r="B440" s="11" t="s">
        <v>148</v>
      </c>
      <c r="C440" s="11" t="s">
        <v>90</v>
      </c>
      <c r="D440" s="11" t="s">
        <v>99</v>
      </c>
      <c r="E440" s="12" t="n">
        <v>569.02</v>
      </c>
      <c r="F440" s="12" t="n">
        <v>967.02</v>
      </c>
    </row>
    <row r="441" customFormat="false" ht="15" hidden="false" customHeight="false" outlineLevel="0" collapsed="false">
      <c r="A441" s="13" t="n">
        <v>440</v>
      </c>
      <c r="B441" s="13" t="s">
        <v>144</v>
      </c>
      <c r="C441" s="13" t="s">
        <v>102</v>
      </c>
      <c r="D441" s="13" t="s">
        <v>49</v>
      </c>
      <c r="E441" s="14" t="n">
        <v>71.14</v>
      </c>
      <c r="F441" s="14" t="n">
        <v>111.25</v>
      </c>
    </row>
    <row r="442" customFormat="false" ht="15" hidden="false" customHeight="false" outlineLevel="0" collapsed="false">
      <c r="A442" s="11" t="n">
        <v>441</v>
      </c>
      <c r="B442" s="11" t="s">
        <v>118</v>
      </c>
      <c r="C442" s="11" t="s">
        <v>90</v>
      </c>
      <c r="D442" s="11" t="s">
        <v>119</v>
      </c>
      <c r="E442" s="12" t="n">
        <v>114</v>
      </c>
      <c r="F442" s="12" t="n">
        <v>157.56</v>
      </c>
    </row>
    <row r="443" customFormat="false" ht="15" hidden="false" customHeight="false" outlineLevel="0" collapsed="false">
      <c r="A443" s="13" t="n">
        <v>442</v>
      </c>
      <c r="B443" s="13" t="s">
        <v>140</v>
      </c>
      <c r="C443" s="13" t="s">
        <v>135</v>
      </c>
      <c r="D443" s="13" t="s">
        <v>119</v>
      </c>
      <c r="E443" s="14" t="n">
        <v>31.47</v>
      </c>
      <c r="F443" s="14" t="n">
        <v>60.88</v>
      </c>
    </row>
    <row r="444" customFormat="false" ht="15" hidden="false" customHeight="false" outlineLevel="0" collapsed="false">
      <c r="A444" s="11" t="n">
        <v>443</v>
      </c>
      <c r="B444" s="11" t="s">
        <v>118</v>
      </c>
      <c r="C444" s="11" t="s">
        <v>104</v>
      </c>
      <c r="D444" s="11" t="s">
        <v>119</v>
      </c>
      <c r="E444" s="12" t="n">
        <v>912.96</v>
      </c>
      <c r="F444" s="12" t="n">
        <v>1318.54</v>
      </c>
    </row>
    <row r="445" customFormat="false" ht="15" hidden="false" customHeight="false" outlineLevel="0" collapsed="false">
      <c r="A445" s="13" t="n">
        <v>444</v>
      </c>
      <c r="B445" s="13" t="s">
        <v>150</v>
      </c>
      <c r="C445" s="13" t="s">
        <v>116</v>
      </c>
      <c r="D445" s="13" t="s">
        <v>143</v>
      </c>
      <c r="E445" s="14" t="n">
        <v>1058.48</v>
      </c>
      <c r="F445" s="14" t="n">
        <v>1433.85</v>
      </c>
    </row>
    <row r="446" customFormat="false" ht="15" hidden="false" customHeight="false" outlineLevel="0" collapsed="false">
      <c r="A446" s="11" t="n">
        <v>445</v>
      </c>
      <c r="B446" s="11" t="s">
        <v>139</v>
      </c>
      <c r="C446" s="11" t="s">
        <v>122</v>
      </c>
      <c r="D446" s="11" t="s">
        <v>111</v>
      </c>
      <c r="E446" s="12" t="n">
        <v>575.8</v>
      </c>
      <c r="F446" s="12" t="n">
        <v>899.89</v>
      </c>
    </row>
    <row r="447" customFormat="false" ht="15" hidden="false" customHeight="false" outlineLevel="0" collapsed="false">
      <c r="A447" s="13" t="n">
        <v>446</v>
      </c>
      <c r="B447" s="13" t="s">
        <v>159</v>
      </c>
      <c r="C447" s="13" t="s">
        <v>96</v>
      </c>
      <c r="D447" s="13" t="s">
        <v>113</v>
      </c>
      <c r="E447" s="14" t="n">
        <v>1169.09</v>
      </c>
      <c r="F447" s="14" t="n">
        <v>1938.59</v>
      </c>
    </row>
    <row r="448" customFormat="false" ht="15" hidden="false" customHeight="false" outlineLevel="0" collapsed="false">
      <c r="A448" s="11" t="n">
        <v>447</v>
      </c>
      <c r="B448" s="11" t="s">
        <v>109</v>
      </c>
      <c r="C448" s="11" t="s">
        <v>121</v>
      </c>
      <c r="D448" s="11" t="s">
        <v>111</v>
      </c>
      <c r="E448" s="12" t="n">
        <v>642.43</v>
      </c>
      <c r="F448" s="12" t="n">
        <v>1100.94</v>
      </c>
    </row>
    <row r="449" customFormat="false" ht="15" hidden="false" customHeight="false" outlineLevel="0" collapsed="false">
      <c r="A449" s="13" t="n">
        <v>448</v>
      </c>
      <c r="B449" s="13" t="s">
        <v>158</v>
      </c>
      <c r="C449" s="13" t="s">
        <v>93</v>
      </c>
      <c r="D449" s="13" t="s">
        <v>119</v>
      </c>
      <c r="E449" s="14" t="n">
        <v>961.99</v>
      </c>
      <c r="F449" s="14" t="n">
        <v>1653.13</v>
      </c>
    </row>
    <row r="450" customFormat="false" ht="15" hidden="false" customHeight="false" outlineLevel="0" collapsed="false">
      <c r="A450" s="11" t="n">
        <v>449</v>
      </c>
      <c r="B450" s="11" t="s">
        <v>140</v>
      </c>
      <c r="C450" s="11" t="s">
        <v>108</v>
      </c>
      <c r="D450" s="11" t="s">
        <v>119</v>
      </c>
      <c r="E450" s="12" t="n">
        <v>830.35</v>
      </c>
      <c r="F450" s="12" t="n">
        <v>1547.35</v>
      </c>
    </row>
    <row r="451" customFormat="false" ht="15" hidden="false" customHeight="false" outlineLevel="0" collapsed="false">
      <c r="A451" s="13" t="n">
        <v>450</v>
      </c>
      <c r="B451" s="13" t="s">
        <v>141</v>
      </c>
      <c r="C451" s="13" t="s">
        <v>90</v>
      </c>
      <c r="D451" s="13" t="s">
        <v>34</v>
      </c>
      <c r="E451" s="14" t="n">
        <v>995.69</v>
      </c>
      <c r="F451" s="14" t="n">
        <v>1812.4</v>
      </c>
    </row>
    <row r="452" customFormat="false" ht="15" hidden="false" customHeight="false" outlineLevel="0" collapsed="false">
      <c r="A452" s="11" t="n">
        <v>451</v>
      </c>
      <c r="B452" s="11" t="s">
        <v>136</v>
      </c>
      <c r="C452" s="11" t="s">
        <v>96</v>
      </c>
      <c r="D452" s="11" t="s">
        <v>42</v>
      </c>
      <c r="E452" s="12" t="n">
        <v>709.64</v>
      </c>
      <c r="F452" s="12" t="n">
        <v>1028.78</v>
      </c>
    </row>
    <row r="453" customFormat="false" ht="15" hidden="false" customHeight="false" outlineLevel="0" collapsed="false">
      <c r="A453" s="13" t="n">
        <v>452</v>
      </c>
      <c r="B453" s="13" t="s">
        <v>126</v>
      </c>
      <c r="C453" s="13" t="s">
        <v>106</v>
      </c>
      <c r="D453" s="13" t="s">
        <v>34</v>
      </c>
      <c r="E453" s="14" t="n">
        <v>1141.56</v>
      </c>
      <c r="F453" s="14" t="n">
        <v>2115.41</v>
      </c>
    </row>
    <row r="454" customFormat="false" ht="15" hidden="false" customHeight="false" outlineLevel="0" collapsed="false">
      <c r="A454" s="11" t="n">
        <v>453</v>
      </c>
      <c r="B454" s="11" t="s">
        <v>130</v>
      </c>
      <c r="C454" s="11" t="s">
        <v>121</v>
      </c>
      <c r="D454" s="11" t="s">
        <v>34</v>
      </c>
      <c r="E454" s="12" t="n">
        <v>444.42</v>
      </c>
      <c r="F454" s="12" t="n">
        <v>770.89</v>
      </c>
    </row>
    <row r="455" customFormat="false" ht="15" hidden="false" customHeight="false" outlineLevel="0" collapsed="false">
      <c r="A455" s="13" t="n">
        <v>454</v>
      </c>
      <c r="B455" s="13" t="s">
        <v>137</v>
      </c>
      <c r="C455" s="13" t="s">
        <v>128</v>
      </c>
      <c r="D455" s="13" t="s">
        <v>34</v>
      </c>
      <c r="E455" s="14" t="n">
        <v>445.8</v>
      </c>
      <c r="F455" s="14" t="n">
        <v>785.72</v>
      </c>
    </row>
    <row r="456" customFormat="false" ht="15" hidden="false" customHeight="false" outlineLevel="0" collapsed="false">
      <c r="A456" s="11" t="n">
        <v>455</v>
      </c>
      <c r="B456" s="11" t="s">
        <v>136</v>
      </c>
      <c r="C456" s="11" t="s">
        <v>110</v>
      </c>
      <c r="D456" s="11" t="s">
        <v>42</v>
      </c>
      <c r="E456" s="12" t="n">
        <v>516.05</v>
      </c>
      <c r="F456" s="12" t="n">
        <v>1060.19</v>
      </c>
    </row>
    <row r="457" customFormat="false" ht="15" hidden="false" customHeight="false" outlineLevel="0" collapsed="false">
      <c r="A457" s="13" t="n">
        <v>456</v>
      </c>
      <c r="B457" s="13" t="s">
        <v>152</v>
      </c>
      <c r="C457" s="13" t="s">
        <v>90</v>
      </c>
      <c r="D457" s="13" t="s">
        <v>42</v>
      </c>
      <c r="E457" s="14" t="n">
        <v>830.42</v>
      </c>
      <c r="F457" s="14" t="n">
        <v>1753.03</v>
      </c>
    </row>
    <row r="458" customFormat="false" ht="15" hidden="false" customHeight="false" outlineLevel="0" collapsed="false">
      <c r="A458" s="11" t="n">
        <v>457</v>
      </c>
      <c r="B458" s="11" t="s">
        <v>154</v>
      </c>
      <c r="C458" s="11" t="s">
        <v>124</v>
      </c>
      <c r="D458" s="11" t="s">
        <v>99</v>
      </c>
      <c r="E458" s="12" t="n">
        <v>136.18</v>
      </c>
      <c r="F458" s="12" t="n">
        <v>263.36</v>
      </c>
    </row>
    <row r="459" customFormat="false" ht="15" hidden="false" customHeight="false" outlineLevel="0" collapsed="false">
      <c r="A459" s="13" t="n">
        <v>458</v>
      </c>
      <c r="B459" s="13" t="s">
        <v>117</v>
      </c>
      <c r="C459" s="13" t="s">
        <v>104</v>
      </c>
      <c r="D459" s="13" t="s">
        <v>107</v>
      </c>
      <c r="E459" s="14" t="n">
        <v>717.72</v>
      </c>
      <c r="F459" s="14" t="n">
        <v>1462.1</v>
      </c>
    </row>
    <row r="460" customFormat="false" ht="15" hidden="false" customHeight="false" outlineLevel="0" collapsed="false">
      <c r="A460" s="11" t="n">
        <v>459</v>
      </c>
      <c r="B460" s="11" t="s">
        <v>100</v>
      </c>
      <c r="C460" s="11" t="s">
        <v>128</v>
      </c>
      <c r="D460" s="11" t="s">
        <v>42</v>
      </c>
      <c r="E460" s="12" t="n">
        <v>566.41</v>
      </c>
      <c r="F460" s="12" t="n">
        <v>1187.49</v>
      </c>
    </row>
    <row r="461" customFormat="false" ht="15" hidden="false" customHeight="false" outlineLevel="0" collapsed="false">
      <c r="A461" s="13" t="n">
        <v>460</v>
      </c>
      <c r="B461" s="13" t="s">
        <v>129</v>
      </c>
      <c r="C461" s="13" t="s">
        <v>124</v>
      </c>
      <c r="D461" s="13" t="s">
        <v>111</v>
      </c>
      <c r="E461" s="14" t="n">
        <v>885.4</v>
      </c>
      <c r="F461" s="14" t="n">
        <v>1596.72</v>
      </c>
    </row>
    <row r="462" customFormat="false" ht="15" hidden="false" customHeight="false" outlineLevel="0" collapsed="false">
      <c r="A462" s="11" t="n">
        <v>461</v>
      </c>
      <c r="B462" s="11" t="s">
        <v>147</v>
      </c>
      <c r="C462" s="11" t="s">
        <v>106</v>
      </c>
      <c r="D462" s="11" t="s">
        <v>113</v>
      </c>
      <c r="E462" s="12" t="n">
        <v>122.37</v>
      </c>
      <c r="F462" s="12" t="n">
        <v>235.01</v>
      </c>
    </row>
    <row r="463" customFormat="false" ht="15" hidden="false" customHeight="false" outlineLevel="0" collapsed="false">
      <c r="A463" s="13" t="n">
        <v>462</v>
      </c>
      <c r="B463" s="13" t="s">
        <v>141</v>
      </c>
      <c r="C463" s="13" t="s">
        <v>104</v>
      </c>
      <c r="D463" s="13" t="s">
        <v>34</v>
      </c>
      <c r="E463" s="14" t="n">
        <v>910.08</v>
      </c>
      <c r="F463" s="14" t="n">
        <v>1845.6</v>
      </c>
    </row>
    <row r="464" customFormat="false" ht="15" hidden="false" customHeight="false" outlineLevel="0" collapsed="false">
      <c r="A464" s="11" t="n">
        <v>463</v>
      </c>
      <c r="B464" s="11" t="s">
        <v>105</v>
      </c>
      <c r="C464" s="11" t="s">
        <v>116</v>
      </c>
      <c r="D464" s="11" t="s">
        <v>107</v>
      </c>
      <c r="E464" s="12" t="n">
        <v>271.17</v>
      </c>
      <c r="F464" s="12" t="n">
        <v>388.22</v>
      </c>
    </row>
    <row r="465" customFormat="false" ht="15" hidden="false" customHeight="false" outlineLevel="0" collapsed="false">
      <c r="A465" s="13" t="n">
        <v>464</v>
      </c>
      <c r="B465" s="13" t="s">
        <v>146</v>
      </c>
      <c r="C465" s="13" t="s">
        <v>98</v>
      </c>
      <c r="D465" s="13" t="s">
        <v>107</v>
      </c>
      <c r="E465" s="14" t="n">
        <v>677.83</v>
      </c>
      <c r="F465" s="14" t="n">
        <v>937.14</v>
      </c>
    </row>
    <row r="466" customFormat="false" ht="15" hidden="false" customHeight="false" outlineLevel="0" collapsed="false">
      <c r="A466" s="11" t="n">
        <v>465</v>
      </c>
      <c r="B466" s="11" t="s">
        <v>153</v>
      </c>
      <c r="C466" s="11" t="s">
        <v>93</v>
      </c>
      <c r="D466" s="11" t="s">
        <v>32</v>
      </c>
      <c r="E466" s="12" t="n">
        <v>991.21</v>
      </c>
      <c r="F466" s="12" t="n">
        <v>1370.56</v>
      </c>
    </row>
    <row r="467" customFormat="false" ht="15" hidden="false" customHeight="false" outlineLevel="0" collapsed="false">
      <c r="A467" s="13" t="n">
        <v>466</v>
      </c>
      <c r="B467" s="13" t="s">
        <v>134</v>
      </c>
      <c r="C467" s="13" t="s">
        <v>98</v>
      </c>
      <c r="D467" s="13" t="s">
        <v>49</v>
      </c>
      <c r="E467" s="14" t="n">
        <v>493.07</v>
      </c>
      <c r="F467" s="14" t="n">
        <v>937.62</v>
      </c>
    </row>
    <row r="468" customFormat="false" ht="15" hidden="false" customHeight="false" outlineLevel="0" collapsed="false">
      <c r="A468" s="11" t="n">
        <v>467</v>
      </c>
      <c r="B468" s="11" t="s">
        <v>145</v>
      </c>
      <c r="C468" s="11" t="s">
        <v>106</v>
      </c>
      <c r="D468" s="11" t="s">
        <v>143</v>
      </c>
      <c r="E468" s="12" t="n">
        <v>886.24</v>
      </c>
      <c r="F468" s="12" t="n">
        <v>1496.4</v>
      </c>
    </row>
    <row r="469" customFormat="false" ht="15" hidden="false" customHeight="false" outlineLevel="0" collapsed="false">
      <c r="A469" s="13" t="n">
        <v>468</v>
      </c>
      <c r="B469" s="13" t="s">
        <v>101</v>
      </c>
      <c r="C469" s="13" t="s">
        <v>93</v>
      </c>
      <c r="D469" s="13" t="s">
        <v>42</v>
      </c>
      <c r="E469" s="14" t="n">
        <v>88.79</v>
      </c>
      <c r="F469" s="14" t="n">
        <v>187.91</v>
      </c>
    </row>
    <row r="470" customFormat="false" ht="15" hidden="false" customHeight="false" outlineLevel="0" collapsed="false">
      <c r="A470" s="11" t="n">
        <v>469</v>
      </c>
      <c r="B470" s="11" t="s">
        <v>115</v>
      </c>
      <c r="C470" s="11" t="s">
        <v>124</v>
      </c>
      <c r="D470" s="11" t="s">
        <v>32</v>
      </c>
      <c r="E470" s="12" t="n">
        <v>431.81</v>
      </c>
      <c r="F470" s="12" t="n">
        <v>906.99</v>
      </c>
    </row>
    <row r="471" customFormat="false" ht="15" hidden="false" customHeight="false" outlineLevel="0" collapsed="false">
      <c r="A471" s="13" t="n">
        <v>470</v>
      </c>
      <c r="B471" s="13" t="s">
        <v>144</v>
      </c>
      <c r="C471" s="13" t="s">
        <v>104</v>
      </c>
      <c r="D471" s="13" t="s">
        <v>49</v>
      </c>
      <c r="E471" s="14" t="n">
        <v>161.05</v>
      </c>
      <c r="F471" s="14" t="n">
        <v>277.39</v>
      </c>
    </row>
    <row r="472" customFormat="false" ht="15" hidden="false" customHeight="false" outlineLevel="0" collapsed="false">
      <c r="A472" s="11" t="n">
        <v>471</v>
      </c>
      <c r="B472" s="11" t="s">
        <v>127</v>
      </c>
      <c r="C472" s="11" t="s">
        <v>90</v>
      </c>
      <c r="D472" s="11" t="s">
        <v>32</v>
      </c>
      <c r="E472" s="12" t="n">
        <v>106.11</v>
      </c>
      <c r="F472" s="12" t="n">
        <v>206.86</v>
      </c>
    </row>
    <row r="473" customFormat="false" ht="15" hidden="false" customHeight="false" outlineLevel="0" collapsed="false">
      <c r="A473" s="13" t="n">
        <v>472</v>
      </c>
      <c r="B473" s="13" t="s">
        <v>130</v>
      </c>
      <c r="C473" s="13" t="s">
        <v>124</v>
      </c>
      <c r="D473" s="13" t="s">
        <v>34</v>
      </c>
      <c r="E473" s="14" t="n">
        <v>495.96</v>
      </c>
      <c r="F473" s="14" t="n">
        <v>1008.99</v>
      </c>
    </row>
    <row r="474" customFormat="false" ht="15" hidden="false" customHeight="false" outlineLevel="0" collapsed="false">
      <c r="A474" s="11" t="n">
        <v>473</v>
      </c>
      <c r="B474" s="11" t="s">
        <v>153</v>
      </c>
      <c r="C474" s="11" t="s">
        <v>116</v>
      </c>
      <c r="D474" s="11" t="s">
        <v>32</v>
      </c>
      <c r="E474" s="12" t="n">
        <v>1033.69</v>
      </c>
      <c r="F474" s="12" t="n">
        <v>2207.07</v>
      </c>
    </row>
    <row r="475" customFormat="false" ht="15" hidden="false" customHeight="false" outlineLevel="0" collapsed="false">
      <c r="A475" s="13" t="n">
        <v>474</v>
      </c>
      <c r="B475" s="13" t="s">
        <v>150</v>
      </c>
      <c r="C475" s="13" t="s">
        <v>110</v>
      </c>
      <c r="D475" s="13" t="s">
        <v>143</v>
      </c>
      <c r="E475" s="14" t="n">
        <v>472.13</v>
      </c>
      <c r="F475" s="14" t="n">
        <v>1033.42</v>
      </c>
    </row>
    <row r="476" customFormat="false" ht="15" hidden="false" customHeight="false" outlineLevel="0" collapsed="false">
      <c r="A476" s="11" t="n">
        <v>475</v>
      </c>
      <c r="B476" s="11" t="s">
        <v>149</v>
      </c>
      <c r="C476" s="11" t="s">
        <v>90</v>
      </c>
      <c r="D476" s="11" t="s">
        <v>49</v>
      </c>
      <c r="E476" s="12" t="n">
        <v>441.3</v>
      </c>
      <c r="F476" s="12" t="n">
        <v>963.66</v>
      </c>
    </row>
    <row r="477" customFormat="false" ht="15" hidden="false" customHeight="false" outlineLevel="0" collapsed="false">
      <c r="A477" s="13" t="n">
        <v>476</v>
      </c>
      <c r="B477" s="13" t="s">
        <v>127</v>
      </c>
      <c r="C477" s="13" t="s">
        <v>116</v>
      </c>
      <c r="D477" s="13" t="s">
        <v>32</v>
      </c>
      <c r="E477" s="14" t="n">
        <v>593.49</v>
      </c>
      <c r="F477" s="14" t="n">
        <v>1268.41</v>
      </c>
    </row>
    <row r="478" customFormat="false" ht="15" hidden="false" customHeight="false" outlineLevel="0" collapsed="false">
      <c r="A478" s="11" t="n">
        <v>477</v>
      </c>
      <c r="B478" s="11" t="s">
        <v>105</v>
      </c>
      <c r="C478" s="11" t="s">
        <v>124</v>
      </c>
      <c r="D478" s="11" t="s">
        <v>107</v>
      </c>
      <c r="E478" s="12" t="n">
        <v>190.58</v>
      </c>
      <c r="F478" s="12" t="n">
        <v>310.13</v>
      </c>
    </row>
    <row r="479" customFormat="false" ht="15" hidden="false" customHeight="false" outlineLevel="0" collapsed="false">
      <c r="A479" s="13" t="n">
        <v>478</v>
      </c>
      <c r="B479" s="13" t="s">
        <v>152</v>
      </c>
      <c r="C479" s="13" t="s">
        <v>104</v>
      </c>
      <c r="D479" s="13" t="s">
        <v>42</v>
      </c>
      <c r="E479" s="14" t="n">
        <v>69.51</v>
      </c>
      <c r="F479" s="14" t="n">
        <v>126.31</v>
      </c>
    </row>
    <row r="480" customFormat="false" ht="15" hidden="false" customHeight="false" outlineLevel="0" collapsed="false">
      <c r="A480" s="11" t="n">
        <v>479</v>
      </c>
      <c r="B480" s="11" t="s">
        <v>125</v>
      </c>
      <c r="C480" s="11" t="s">
        <v>135</v>
      </c>
      <c r="D480" s="11" t="s">
        <v>107</v>
      </c>
      <c r="E480" s="12" t="n">
        <v>743.12</v>
      </c>
      <c r="F480" s="12" t="n">
        <v>1014.8</v>
      </c>
    </row>
    <row r="481" customFormat="false" ht="15" hidden="false" customHeight="false" outlineLevel="0" collapsed="false">
      <c r="A481" s="13" t="n">
        <v>480</v>
      </c>
      <c r="B481" s="13" t="s">
        <v>139</v>
      </c>
      <c r="C481" s="13" t="s">
        <v>116</v>
      </c>
      <c r="D481" s="13" t="s">
        <v>111</v>
      </c>
      <c r="E481" s="14" t="n">
        <v>963.9</v>
      </c>
      <c r="F481" s="14" t="n">
        <v>1680.68</v>
      </c>
    </row>
    <row r="482" customFormat="false" ht="15" hidden="false" customHeight="false" outlineLevel="0" collapsed="false">
      <c r="A482" s="11" t="n">
        <v>481</v>
      </c>
      <c r="B482" s="11" t="s">
        <v>126</v>
      </c>
      <c r="C482" s="11" t="s">
        <v>98</v>
      </c>
      <c r="D482" s="11" t="s">
        <v>34</v>
      </c>
      <c r="E482" s="12" t="n">
        <v>1150.95</v>
      </c>
      <c r="F482" s="12" t="n">
        <v>2189.14</v>
      </c>
    </row>
    <row r="483" customFormat="false" ht="15" hidden="false" customHeight="false" outlineLevel="0" collapsed="false">
      <c r="A483" s="13" t="n">
        <v>482</v>
      </c>
      <c r="B483" s="13" t="s">
        <v>155</v>
      </c>
      <c r="C483" s="13" t="s">
        <v>93</v>
      </c>
      <c r="D483" s="13" t="s">
        <v>94</v>
      </c>
      <c r="E483" s="14" t="n">
        <v>1094.97</v>
      </c>
      <c r="F483" s="14" t="n">
        <v>2238.82</v>
      </c>
    </row>
    <row r="484" customFormat="false" ht="15" hidden="false" customHeight="false" outlineLevel="0" collapsed="false">
      <c r="A484" s="11" t="n">
        <v>483</v>
      </c>
      <c r="B484" s="11" t="s">
        <v>147</v>
      </c>
      <c r="C484" s="11" t="s">
        <v>122</v>
      </c>
      <c r="D484" s="11" t="s">
        <v>113</v>
      </c>
      <c r="E484" s="12" t="n">
        <v>252.11</v>
      </c>
      <c r="F484" s="12" t="n">
        <v>530.81</v>
      </c>
    </row>
    <row r="485" customFormat="false" ht="15" hidden="false" customHeight="false" outlineLevel="0" collapsed="false">
      <c r="A485" s="13" t="n">
        <v>484</v>
      </c>
      <c r="B485" s="13" t="s">
        <v>151</v>
      </c>
      <c r="C485" s="13" t="s">
        <v>90</v>
      </c>
      <c r="D485" s="13" t="s">
        <v>49</v>
      </c>
      <c r="E485" s="14" t="n">
        <v>81.27</v>
      </c>
      <c r="F485" s="14" t="n">
        <v>113.23</v>
      </c>
    </row>
    <row r="486" customFormat="false" ht="15" hidden="false" customHeight="false" outlineLevel="0" collapsed="false">
      <c r="A486" s="11" t="n">
        <v>485</v>
      </c>
      <c r="B486" s="11" t="s">
        <v>146</v>
      </c>
      <c r="C486" s="11" t="s">
        <v>135</v>
      </c>
      <c r="D486" s="11" t="s">
        <v>107</v>
      </c>
      <c r="E486" s="12" t="n">
        <v>476.57</v>
      </c>
      <c r="F486" s="12" t="n">
        <v>862.08</v>
      </c>
    </row>
    <row r="487" customFormat="false" ht="15" hidden="false" customHeight="false" outlineLevel="0" collapsed="false">
      <c r="A487" s="13" t="n">
        <v>486</v>
      </c>
      <c r="B487" s="13" t="s">
        <v>159</v>
      </c>
      <c r="C487" s="13" t="s">
        <v>96</v>
      </c>
      <c r="D487" s="13" t="s">
        <v>113</v>
      </c>
      <c r="E487" s="14" t="n">
        <v>1190.88</v>
      </c>
      <c r="F487" s="14" t="n">
        <v>2587.2</v>
      </c>
    </row>
    <row r="488" customFormat="false" ht="15" hidden="false" customHeight="false" outlineLevel="0" collapsed="false">
      <c r="A488" s="11" t="n">
        <v>487</v>
      </c>
      <c r="B488" s="11" t="s">
        <v>101</v>
      </c>
      <c r="C488" s="11" t="s">
        <v>98</v>
      </c>
      <c r="D488" s="11" t="s">
        <v>42</v>
      </c>
      <c r="E488" s="12" t="n">
        <v>858.13</v>
      </c>
      <c r="F488" s="12" t="n">
        <v>1748.54</v>
      </c>
    </row>
    <row r="489" customFormat="false" ht="15" hidden="false" customHeight="false" outlineLevel="0" collapsed="false">
      <c r="A489" s="13" t="n">
        <v>488</v>
      </c>
      <c r="B489" s="13" t="s">
        <v>92</v>
      </c>
      <c r="C489" s="13" t="s">
        <v>110</v>
      </c>
      <c r="D489" s="13" t="s">
        <v>94</v>
      </c>
      <c r="E489" s="14" t="n">
        <v>1146.27</v>
      </c>
      <c r="F489" s="14" t="n">
        <v>2284.51</v>
      </c>
    </row>
    <row r="490" customFormat="false" ht="15" hidden="false" customHeight="false" outlineLevel="0" collapsed="false">
      <c r="A490" s="11" t="n">
        <v>489</v>
      </c>
      <c r="B490" s="11" t="s">
        <v>152</v>
      </c>
      <c r="C490" s="11" t="s">
        <v>135</v>
      </c>
      <c r="D490" s="11" t="s">
        <v>42</v>
      </c>
      <c r="E490" s="12" t="n">
        <v>88.44</v>
      </c>
      <c r="F490" s="12" t="n">
        <v>172.13</v>
      </c>
    </row>
    <row r="491" customFormat="false" ht="15" hidden="false" customHeight="false" outlineLevel="0" collapsed="false">
      <c r="A491" s="13" t="n">
        <v>490</v>
      </c>
      <c r="B491" s="13" t="s">
        <v>95</v>
      </c>
      <c r="C491" s="13" t="s">
        <v>98</v>
      </c>
      <c r="D491" s="13" t="s">
        <v>32</v>
      </c>
      <c r="E491" s="14" t="n">
        <v>785.38</v>
      </c>
      <c r="F491" s="14" t="n">
        <v>1336.7</v>
      </c>
    </row>
    <row r="492" customFormat="false" ht="15" hidden="false" customHeight="false" outlineLevel="0" collapsed="false">
      <c r="A492" s="11" t="n">
        <v>491</v>
      </c>
      <c r="B492" s="11" t="s">
        <v>145</v>
      </c>
      <c r="C492" s="11" t="s">
        <v>116</v>
      </c>
      <c r="D492" s="11" t="s">
        <v>143</v>
      </c>
      <c r="E492" s="12" t="n">
        <v>736.93</v>
      </c>
      <c r="F492" s="12" t="n">
        <v>1528.91</v>
      </c>
    </row>
    <row r="493" customFormat="false" ht="15" hidden="false" customHeight="false" outlineLevel="0" collapsed="false">
      <c r="A493" s="13" t="n">
        <v>492</v>
      </c>
      <c r="B493" s="13" t="s">
        <v>114</v>
      </c>
      <c r="C493" s="13" t="s">
        <v>93</v>
      </c>
      <c r="D493" s="13" t="s">
        <v>91</v>
      </c>
      <c r="E493" s="14" t="n">
        <v>1066.79</v>
      </c>
      <c r="F493" s="14" t="n">
        <v>1788.2</v>
      </c>
    </row>
    <row r="494" customFormat="false" ht="15" hidden="false" customHeight="false" outlineLevel="0" collapsed="false">
      <c r="A494" s="11" t="n">
        <v>493</v>
      </c>
      <c r="B494" s="11" t="s">
        <v>92</v>
      </c>
      <c r="C494" s="11" t="s">
        <v>98</v>
      </c>
      <c r="D494" s="11" t="s">
        <v>94</v>
      </c>
      <c r="E494" s="12" t="n">
        <v>1021.21</v>
      </c>
      <c r="F494" s="12" t="n">
        <v>1591.28</v>
      </c>
    </row>
    <row r="495" customFormat="false" ht="15" hidden="false" customHeight="false" outlineLevel="0" collapsed="false">
      <c r="A495" s="13" t="n">
        <v>494</v>
      </c>
      <c r="B495" s="13" t="s">
        <v>123</v>
      </c>
      <c r="C495" s="13" t="s">
        <v>124</v>
      </c>
      <c r="D495" s="13" t="s">
        <v>32</v>
      </c>
      <c r="E495" s="14" t="n">
        <v>959.21</v>
      </c>
      <c r="F495" s="14" t="n">
        <v>1527</v>
      </c>
    </row>
    <row r="496" customFormat="false" ht="15" hidden="false" customHeight="false" outlineLevel="0" collapsed="false">
      <c r="A496" s="11" t="n">
        <v>495</v>
      </c>
      <c r="B496" s="11" t="s">
        <v>118</v>
      </c>
      <c r="C496" s="11" t="s">
        <v>122</v>
      </c>
      <c r="D496" s="11" t="s">
        <v>119</v>
      </c>
      <c r="E496" s="12" t="n">
        <v>738.56</v>
      </c>
      <c r="F496" s="12" t="n">
        <v>1029.03</v>
      </c>
    </row>
    <row r="497" customFormat="false" ht="15" hidden="false" customHeight="false" outlineLevel="0" collapsed="false">
      <c r="A497" s="13" t="n">
        <v>496</v>
      </c>
      <c r="B497" s="13" t="s">
        <v>95</v>
      </c>
      <c r="C497" s="13" t="s">
        <v>128</v>
      </c>
      <c r="D497" s="13" t="s">
        <v>32</v>
      </c>
      <c r="E497" s="14" t="n">
        <v>672.02</v>
      </c>
      <c r="F497" s="14" t="n">
        <v>1045.79</v>
      </c>
    </row>
    <row r="498" customFormat="false" ht="15" hidden="false" customHeight="false" outlineLevel="0" collapsed="false">
      <c r="A498" s="11" t="n">
        <v>497</v>
      </c>
      <c r="B498" s="11" t="s">
        <v>133</v>
      </c>
      <c r="C498" s="11" t="s">
        <v>93</v>
      </c>
      <c r="D498" s="11" t="s">
        <v>42</v>
      </c>
      <c r="E498" s="12" t="n">
        <v>32.49</v>
      </c>
      <c r="F498" s="12" t="n">
        <v>57.35</v>
      </c>
    </row>
    <row r="499" customFormat="false" ht="15" hidden="false" customHeight="false" outlineLevel="0" collapsed="false">
      <c r="A499" s="13" t="n">
        <v>498</v>
      </c>
      <c r="B499" s="13" t="s">
        <v>112</v>
      </c>
      <c r="C499" s="13" t="s">
        <v>124</v>
      </c>
      <c r="D499" s="13" t="s">
        <v>113</v>
      </c>
      <c r="E499" s="14" t="n">
        <v>42.97</v>
      </c>
      <c r="F499" s="14" t="n">
        <v>89.01</v>
      </c>
    </row>
    <row r="500" customFormat="false" ht="15" hidden="false" customHeight="false" outlineLevel="0" collapsed="false">
      <c r="A500" s="11" t="n">
        <v>499</v>
      </c>
      <c r="B500" s="11" t="s">
        <v>109</v>
      </c>
      <c r="C500" s="11" t="s">
        <v>96</v>
      </c>
      <c r="D500" s="11" t="s">
        <v>111</v>
      </c>
      <c r="E500" s="12" t="n">
        <v>451.47</v>
      </c>
      <c r="F500" s="12" t="n">
        <v>992.38</v>
      </c>
    </row>
    <row r="501" customFormat="false" ht="15" hidden="false" customHeight="false" outlineLevel="0" collapsed="false">
      <c r="A501" s="13" t="n">
        <v>500</v>
      </c>
      <c r="B501" s="13" t="s">
        <v>146</v>
      </c>
      <c r="C501" s="13" t="s">
        <v>102</v>
      </c>
      <c r="D501" s="13" t="s">
        <v>107</v>
      </c>
      <c r="E501" s="14" t="n">
        <v>1133.7</v>
      </c>
      <c r="F501" s="14" t="n">
        <v>1576.52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"/>
  </cols>
  <sheetData>
    <row r="1" customFormat="false" ht="19.7" hidden="false" customHeight="false" outlineLevel="0" collapsed="false">
      <c r="A1" s="15" t="s">
        <v>160</v>
      </c>
      <c r="B1" s="15"/>
      <c r="C1" s="15"/>
      <c r="D1" s="15"/>
    </row>
    <row r="2" customFormat="false" ht="15" hidden="false" customHeight="false" outlineLevel="0" collapsed="false">
      <c r="A2" s="16" t="s">
        <v>161</v>
      </c>
      <c r="B2" s="16"/>
      <c r="C2" s="16"/>
      <c r="D2" s="16"/>
    </row>
    <row r="4" customFormat="false" ht="15" hidden="false" customHeight="false" outlineLevel="0" collapsed="false">
      <c r="A4" s="17" t="s">
        <v>162</v>
      </c>
      <c r="B4" s="17" t="s">
        <v>163</v>
      </c>
      <c r="C4" s="17" t="s">
        <v>164</v>
      </c>
    </row>
    <row r="5" customFormat="false" ht="15" hidden="false" customHeight="false" outlineLevel="0" collapsed="false">
      <c r="A5" s="18" t="s">
        <v>165</v>
      </c>
      <c r="B5" s="18" t="n">
        <f aca="false">SUBTOTAL(103,BASE_CALCULADA!A2:A1201)</f>
        <v>1200</v>
      </c>
      <c r="C5" s="19" t="s">
        <v>166</v>
      </c>
    </row>
    <row r="6" customFormat="false" ht="15" hidden="false" customHeight="false" outlineLevel="0" collapsed="false">
      <c r="A6" s="18" t="s">
        <v>167</v>
      </c>
      <c r="B6" s="20" t="n">
        <f aca="false">SUM(BASE_CALCULADA!K2:K1201)</f>
        <v>4277277.57</v>
      </c>
      <c r="C6" s="19" t="s">
        <v>168</v>
      </c>
    </row>
    <row r="7" customFormat="false" ht="15" hidden="false" customHeight="false" outlineLevel="0" collapsed="false">
      <c r="A7" s="18" t="s">
        <v>169</v>
      </c>
      <c r="B7" s="20" t="n">
        <f aca="false">SUM(BASE_CALCULADA!L2:L1201)</f>
        <v>1898728.66</v>
      </c>
      <c r="C7" s="19" t="s">
        <v>170</v>
      </c>
    </row>
    <row r="8" customFormat="false" ht="15" hidden="false" customHeight="false" outlineLevel="0" collapsed="false">
      <c r="A8" s="18" t="s">
        <v>171</v>
      </c>
      <c r="B8" s="20" t="n">
        <f aca="false">SUM(BASE_CALCULADA!I2:I1201)</f>
        <v>1791334.55</v>
      </c>
      <c r="C8" s="19" t="s">
        <v>172</v>
      </c>
    </row>
    <row r="9" customFormat="false" ht="15" hidden="false" customHeight="false" outlineLevel="0" collapsed="false">
      <c r="A9" s="18" t="s">
        <v>173</v>
      </c>
      <c r="B9" s="18" t="n">
        <f aca="false">SUMIFS(BASE_CALCULADA!K2:K1201,BASE_CALCULADA!N2:N1201,"Concluída")</f>
        <v>2521178.69</v>
      </c>
      <c r="C9" s="19" t="s">
        <v>174</v>
      </c>
    </row>
    <row r="10" customFormat="false" ht="15" hidden="false" customHeight="false" outlineLevel="0" collapsed="false">
      <c r="A10" s="18" t="s">
        <v>175</v>
      </c>
      <c r="B10" s="18" t="n">
        <f aca="false">SUMIFS(BASE_CALCULADA!K2:K1201,BASE_CALCULADA!X2:X1201,"Revisão")</f>
        <v>803684.53</v>
      </c>
      <c r="C10" s="19" t="s">
        <v>176</v>
      </c>
    </row>
    <row r="11" customFormat="false" ht="15" hidden="false" customHeight="false" outlineLevel="0" collapsed="false">
      <c r="A11" s="18" t="s">
        <v>177</v>
      </c>
      <c r="B11" s="20" t="n">
        <f aca="false">AVERAGE(BASE_CALCULADA!K2:K1201)</f>
        <v>3564.397975</v>
      </c>
      <c r="C11" s="19" t="s">
        <v>178</v>
      </c>
    </row>
    <row r="12" customFormat="false" ht="15" hidden="false" customHeight="false" outlineLevel="0" collapsed="false">
      <c r="A12" s="18" t="s">
        <v>179</v>
      </c>
      <c r="B12" s="18" t="n">
        <f aca="false">AVERAGE(BASE_CALCULADA!M2:M1201)</f>
        <v>6.18375</v>
      </c>
      <c r="C12" s="19" t="s">
        <v>180</v>
      </c>
    </row>
    <row r="13" customFormat="false" ht="15" hidden="false" customHeight="false" outlineLevel="0" collapsed="false">
      <c r="A13" s="18" t="s">
        <v>181</v>
      </c>
      <c r="B13" s="18" t="n">
        <f aca="false">ROUND(AVERAGE(BASE_CALCULADA!L2:L1201),2)</f>
        <v>1582.27</v>
      </c>
      <c r="C13" s="19" t="s">
        <v>182</v>
      </c>
    </row>
    <row r="14" customFormat="false" ht="15" hidden="false" customHeight="false" outlineLevel="0" collapsed="false">
      <c r="A14" s="18" t="s">
        <v>183</v>
      </c>
      <c r="B14" s="18" t="n">
        <f aca="false">COUNTIF(BASE_CALCULADA!N2:N1201,"Concluída")</f>
        <v>692</v>
      </c>
      <c r="C14" s="19" t="s">
        <v>184</v>
      </c>
    </row>
    <row r="15" customFormat="false" ht="15" hidden="false" customHeight="false" outlineLevel="0" collapsed="false">
      <c r="A15" s="18" t="s">
        <v>185</v>
      </c>
      <c r="B15" s="18" t="n">
        <f aca="false">COUNTIF(BASE_CALCULADA!N2:N1201,"Cancelada")</f>
        <v>179</v>
      </c>
      <c r="C15" s="19" t="s">
        <v>184</v>
      </c>
    </row>
    <row r="16" customFormat="false" ht="15" hidden="false" customHeight="false" outlineLevel="0" collapsed="false">
      <c r="A16" s="18" t="s">
        <v>186</v>
      </c>
      <c r="B16" s="18" t="n">
        <f aca="false">COUNTIF(BASE_CALCULADA!W2:W1201,"OK")</f>
        <v>1200</v>
      </c>
      <c r="C16" s="19" t="s">
        <v>187</v>
      </c>
    </row>
    <row r="17" customFormat="false" ht="15" hidden="false" customHeight="false" outlineLevel="0" collapsed="false">
      <c r="A17" s="18" t="s">
        <v>188</v>
      </c>
      <c r="B17" s="18" t="n">
        <f aca="false">COUNTIF(BASE_CALCULADA!W2:W1201,"ERRO")</f>
        <v>0</v>
      </c>
      <c r="C17" s="19" t="s">
        <v>187</v>
      </c>
    </row>
    <row r="18" customFormat="false" ht="15" hidden="false" customHeight="false" outlineLevel="0" collapsed="false">
      <c r="A18" s="18" t="s">
        <v>189</v>
      </c>
      <c r="B18" s="18" t="str">
        <f aca="false">IF(COUNTIF(BASE_CALCULADA!W2:W1201,"ERRO")=0,"BASE ÍNTEGRA","VERIFICAR ERROS")</f>
        <v>BASE ÍNTEGRA</v>
      </c>
      <c r="C18" s="19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5" t="s">
        <v>191</v>
      </c>
      <c r="B1" s="15"/>
      <c r="C1" s="15"/>
      <c r="D1" s="15"/>
      <c r="E1" s="15"/>
    </row>
    <row r="3" customFormat="false" ht="21.75" hidden="false" customHeight="true" outlineLevel="0" collapsed="false">
      <c r="A3" s="1" t="s">
        <v>29</v>
      </c>
      <c r="B3" s="1" t="s">
        <v>192</v>
      </c>
      <c r="C3" s="1" t="s">
        <v>193</v>
      </c>
      <c r="D3" s="1" t="s">
        <v>194</v>
      </c>
      <c r="E3" s="1" t="s">
        <v>195</v>
      </c>
    </row>
    <row r="4" customFormat="false" ht="15" hidden="false" customHeight="false" outlineLevel="0" collapsed="false">
      <c r="A4" s="11" t="s">
        <v>47</v>
      </c>
      <c r="B4" s="11" t="n">
        <f aca="false">COUNTIF(BASE_CALCULADA!X2:X1201,A4)</f>
        <v>122</v>
      </c>
      <c r="C4" s="12" t="n">
        <f aca="false">SUMIFS(BASE_CALCULADA!K2:K1201,BASE_CALCULADA!X2:X1201,A4)</f>
        <v>414272.65</v>
      </c>
      <c r="D4" s="12" t="n">
        <f aca="false">SUMIFS(BASE_CALCULADA!L2:L1201,BASE_CALCULADA!X2:X1201,A4)</f>
        <v>184650.04</v>
      </c>
      <c r="E4" s="12" t="n">
        <f aca="false">IF(B4=0,0,ROUND(C4/B4,2))</f>
        <v>3395.68</v>
      </c>
    </row>
    <row r="5" customFormat="false" ht="15" hidden="false" customHeight="false" outlineLevel="0" collapsed="false">
      <c r="A5" s="13" t="s">
        <v>32</v>
      </c>
      <c r="B5" s="13" t="n">
        <f aca="false">COUNTIF(BASE_CALCULADA!X2:X1201,A5)</f>
        <v>142</v>
      </c>
      <c r="C5" s="14" t="n">
        <f aca="false">SUMIFS(BASE_CALCULADA!K2:K1201,BASE_CALCULADA!X2:X1201,A5)</f>
        <v>499599.34</v>
      </c>
      <c r="D5" s="14" t="n">
        <f aca="false">SUMIFS(BASE_CALCULADA!L2:L1201,BASE_CALCULADA!X2:X1201,A5)</f>
        <v>221995.45</v>
      </c>
      <c r="E5" s="14" t="n">
        <f aca="false">IF(B5=0,0,ROUND(C5/B5,2))</f>
        <v>3518.31</v>
      </c>
    </row>
    <row r="6" customFormat="false" ht="15" hidden="false" customHeight="false" outlineLevel="0" collapsed="false">
      <c r="A6" s="11" t="s">
        <v>49</v>
      </c>
      <c r="B6" s="11" t="n">
        <f aca="false">COUNTIF(BASE_CALCULADA!X2:X1201,A6)</f>
        <v>134</v>
      </c>
      <c r="C6" s="12" t="n">
        <f aca="false">SUMIFS(BASE_CALCULADA!K2:K1201,BASE_CALCULADA!X2:X1201,A6)</f>
        <v>510555.79</v>
      </c>
      <c r="D6" s="12" t="n">
        <f aca="false">SUMIFS(BASE_CALCULADA!L2:L1201,BASE_CALCULADA!X2:X1201,A6)</f>
        <v>228946.23</v>
      </c>
      <c r="E6" s="12" t="n">
        <f aca="false">IF(B6=0,0,ROUND(C6/B6,2))</f>
        <v>3810.12</v>
      </c>
    </row>
    <row r="7" customFormat="false" ht="15" hidden="false" customHeight="false" outlineLevel="0" collapsed="false">
      <c r="A7" s="13" t="s">
        <v>40</v>
      </c>
      <c r="B7" s="13" t="n">
        <f aca="false">COUNTIF(BASE_CALCULADA!X2:X1201,A7)</f>
        <v>127</v>
      </c>
      <c r="C7" s="14" t="n">
        <f aca="false">SUMIFS(BASE_CALCULADA!K2:K1201,BASE_CALCULADA!X2:X1201,A7)</f>
        <v>394254.45</v>
      </c>
      <c r="D7" s="14" t="n">
        <f aca="false">SUMIFS(BASE_CALCULADA!L2:L1201,BASE_CALCULADA!X2:X1201,A7)</f>
        <v>172890.14</v>
      </c>
      <c r="E7" s="14" t="n">
        <f aca="false">IF(B7=0,0,ROUND(C7/B7,2))</f>
        <v>3104.37</v>
      </c>
    </row>
    <row r="8" customFormat="false" ht="15" hidden="false" customHeight="false" outlineLevel="0" collapsed="false">
      <c r="A8" s="11" t="s">
        <v>42</v>
      </c>
      <c r="B8" s="11" t="n">
        <f aca="false">COUNTIF(BASE_CALCULADA!X2:X1201,A8)</f>
        <v>155</v>
      </c>
      <c r="C8" s="12" t="n">
        <f aca="false">SUMIFS(BASE_CALCULADA!K2:K1201,BASE_CALCULADA!X2:X1201,A8)</f>
        <v>576258.22</v>
      </c>
      <c r="D8" s="12" t="n">
        <f aca="false">SUMIFS(BASE_CALCULADA!L2:L1201,BASE_CALCULADA!X2:X1201,A8)</f>
        <v>255208.55</v>
      </c>
      <c r="E8" s="12" t="n">
        <f aca="false">IF(B8=0,0,ROUND(C8/B8,2))</f>
        <v>3717.79</v>
      </c>
    </row>
    <row r="9" customFormat="false" ht="15" hidden="false" customHeight="false" outlineLevel="0" collapsed="false">
      <c r="A9" s="13" t="s">
        <v>36</v>
      </c>
      <c r="B9" s="13" t="n">
        <f aca="false">COUNTIF(BASE_CALCULADA!X2:X1201,A9)</f>
        <v>131</v>
      </c>
      <c r="C9" s="14" t="n">
        <f aca="false">SUMIFS(BASE_CALCULADA!K2:K1201,BASE_CALCULADA!X2:X1201,A9)</f>
        <v>457418.18</v>
      </c>
      <c r="D9" s="14" t="n">
        <f aca="false">SUMIFS(BASE_CALCULADA!L2:L1201,BASE_CALCULADA!X2:X1201,A9)</f>
        <v>201663.72</v>
      </c>
      <c r="E9" s="14" t="n">
        <f aca="false">IF(B9=0,0,ROUND(C9/B9,2))</f>
        <v>3491.74</v>
      </c>
    </row>
    <row r="10" customFormat="false" ht="15" hidden="false" customHeight="false" outlineLevel="0" collapsed="false">
      <c r="A10" s="11" t="s">
        <v>38</v>
      </c>
      <c r="B10" s="11" t="n">
        <f aca="false">COUNTIF(BASE_CALCULADA!X2:X1201,A10)</f>
        <v>218</v>
      </c>
      <c r="C10" s="12" t="n">
        <f aca="false">SUMIFS(BASE_CALCULADA!K2:K1201,BASE_CALCULADA!X2:X1201,A10)</f>
        <v>803684.53</v>
      </c>
      <c r="D10" s="12" t="n">
        <f aca="false">SUMIFS(BASE_CALCULADA!L2:L1201,BASE_CALCULADA!X2:X1201,A10)</f>
        <v>355433.87</v>
      </c>
      <c r="E10" s="12" t="n">
        <f aca="false">IF(B10=0,0,ROUND(C10/B10,2))</f>
        <v>3686.63</v>
      </c>
    </row>
    <row r="11" customFormat="false" ht="15" hidden="false" customHeight="false" outlineLevel="0" collapsed="false">
      <c r="A11" s="13" t="s">
        <v>34</v>
      </c>
      <c r="B11" s="13" t="n">
        <f aca="false">COUNTIF(BASE_CALCULADA!X2:X1201,A11)</f>
        <v>171</v>
      </c>
      <c r="C11" s="14" t="n">
        <f aca="false">SUMIFS(BASE_CALCULADA!K2:K1201,BASE_CALCULADA!X2:X1201,A11)</f>
        <v>621234.41</v>
      </c>
      <c r="D11" s="14" t="n">
        <f aca="false">SUMIFS(BASE_CALCULADA!L2:L1201,BASE_CALCULADA!X2:X1201,A11)</f>
        <v>277940.66</v>
      </c>
      <c r="E11" s="14" t="n">
        <f aca="false">IF(B11=0,0,ROUND(C11/B11,2))</f>
        <v>3632.95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5" t="s">
        <v>196</v>
      </c>
      <c r="B1" s="15"/>
      <c r="C1" s="15"/>
    </row>
    <row r="3" customFormat="false" ht="15" hidden="false" customHeight="false" outlineLevel="0" collapsed="false">
      <c r="A3" s="21" t="s">
        <v>197</v>
      </c>
      <c r="B3" s="21" t="s">
        <v>163</v>
      </c>
      <c r="C3" s="21" t="s">
        <v>198</v>
      </c>
    </row>
    <row r="4" customFormat="false" ht="15" hidden="false" customHeight="false" outlineLevel="0" collapsed="false">
      <c r="A4" s="18" t="s">
        <v>199</v>
      </c>
      <c r="B4" s="18" t="n">
        <f aca="false">ROUND((AVERAGE(DIM_PECA!F2:F501)/AVERAGE(DIM_PECA!E2:E501)-1)*100,1)</f>
        <v>75.9</v>
      </c>
      <c r="C4" s="19" t="s">
        <v>200</v>
      </c>
    </row>
    <row r="5" customFormat="false" ht="15" hidden="false" customHeight="false" outlineLevel="0" collapsed="false">
      <c r="A5" s="18" t="s">
        <v>201</v>
      </c>
      <c r="B5" s="18" t="n">
        <f aca="false">ROUND(AVERAGE(BASE_CALCULADA!S2:S1201),2)</f>
        <v>6645.05</v>
      </c>
      <c r="C5" s="19" t="s">
        <v>202</v>
      </c>
    </row>
    <row r="6" customFormat="false" ht="15" hidden="false" customHeight="false" outlineLevel="0" collapsed="false">
      <c r="A6" s="18" t="s">
        <v>203</v>
      </c>
      <c r="B6" s="18" t="n">
        <f aca="false">ROUND(AVERAGE(BASE_CALCULADA!L2:L1201)/AVERAGE(BASE_CALCULADA!K2:K1201)*100,1)</f>
        <v>44.4</v>
      </c>
      <c r="C6" s="19" t="s">
        <v>204</v>
      </c>
    </row>
    <row r="7" customFormat="false" ht="15" hidden="false" customHeight="false" outlineLevel="0" collapsed="false">
      <c r="A7" s="18" t="s">
        <v>205</v>
      </c>
      <c r="B7" s="18" t="n">
        <f aca="false">ROUND(AVERAGE(DIM_SERVICO!D2:D151),2)</f>
        <v>1096.79</v>
      </c>
      <c r="C7" s="19" t="s">
        <v>206</v>
      </c>
    </row>
    <row r="8" customFormat="false" ht="15" hidden="false" customHeight="false" outlineLevel="0" collapsed="false">
      <c r="A8" s="18" t="s">
        <v>207</v>
      </c>
      <c r="B8" s="22" t="n">
        <v>1200</v>
      </c>
      <c r="C8" s="19" t="s">
        <v>208</v>
      </c>
    </row>
    <row r="9" customFormat="false" ht="15" hidden="false" customHeight="false" outlineLevel="0" collapsed="false">
      <c r="A9" s="18" t="s">
        <v>209</v>
      </c>
      <c r="B9" s="22" t="s">
        <v>210</v>
      </c>
      <c r="C9" s="19" t="s">
        <v>211</v>
      </c>
    </row>
    <row r="12" customFormat="false" ht="15" hidden="false" customHeight="false" outlineLevel="0" collapsed="false">
      <c r="A12" s="23" t="s">
        <v>212</v>
      </c>
    </row>
    <row r="13" customFormat="false" ht="15" hidden="false" customHeight="false" outlineLevel="0" collapsed="false">
      <c r="A13" s="16" t="s">
        <v>213</v>
      </c>
      <c r="B13" s="16"/>
      <c r="C13" s="16"/>
      <c r="D13" s="16"/>
      <c r="E13" s="16"/>
    </row>
    <row r="14" customFormat="false" ht="15" hidden="false" customHeight="false" outlineLevel="0" collapsed="false">
      <c r="A14" s="16" t="s">
        <v>214</v>
      </c>
      <c r="B14" s="16"/>
      <c r="C14" s="16"/>
      <c r="D14" s="16"/>
      <c r="E14" s="16"/>
    </row>
    <row r="15" customFormat="false" ht="15" hidden="false" customHeight="false" outlineLevel="0" collapsed="false">
      <c r="A15" s="16" t="s">
        <v>215</v>
      </c>
      <c r="B15" s="16"/>
      <c r="C15" s="16"/>
      <c r="D15" s="16"/>
      <c r="E15" s="16"/>
    </row>
    <row r="16" customFormat="false" ht="15" hidden="false" customHeight="false" outlineLevel="0" collapsed="false">
      <c r="A16" s="16" t="s">
        <v>216</v>
      </c>
      <c r="B16" s="16"/>
      <c r="C16" s="16"/>
      <c r="D16" s="16"/>
      <c r="E16" s="16"/>
    </row>
    <row r="17" customFormat="false" ht="15" hidden="false" customHeight="false" outlineLevel="0" collapsed="false">
      <c r="A17" s="16" t="s">
        <v>217</v>
      </c>
      <c r="B17" s="16"/>
      <c r="C17" s="16"/>
      <c r="D17" s="16"/>
      <c r="E17" s="16"/>
    </row>
  </sheetData>
  <mergeCells count="6">
    <mergeCell ref="A1:C1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2026-06-20T18:09:47Z</dcterms:created>
  <dc:creator>openpyxl</dc:creator>
  <dc:description/>
  <dc:language>en-US</dc:language>
  <cp:lastModifiedBy/>
  <dcterms:modified xsi:type="dcterms:W3CDTF">2026-06-20T18:09:49Z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